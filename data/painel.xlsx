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4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43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46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49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52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55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56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59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Q:\Moveedu\"/>
    </mc:Choice>
  </mc:AlternateContent>
  <xr:revisionPtr revIDLastSave="0" documentId="13_ncr:1_{0C624C94-E5F8-415C-B714-2C23D45A4CE6}" xr6:coauthVersionLast="47" xr6:coauthVersionMax="47" xr10:uidLastSave="{00000000-0000-0000-0000-000000000000}"/>
  <bookViews>
    <workbookView xWindow="-120" yWindow="-120" windowWidth="25440" windowHeight="15390" tabRatio="638" firstSheet="1" activeTab="1" xr2:uid="{00000000-000D-0000-FFFF-FFFF00000000}"/>
  </bookViews>
  <sheets>
    <sheet name="FLUXO" sheetId="5" state="hidden" r:id="rId1"/>
    <sheet name="AJUIZADOS" sheetId="19" r:id="rId2"/>
    <sheet name="LEGENDA" sheetId="27" r:id="rId3"/>
    <sheet name="BASE DE DADOS" sheetId="25" r:id="rId4"/>
    <sheet name="AJUIZADOS - AC CURSOS" sheetId="24" r:id="rId5"/>
    <sheet name="PAINEL Novo" sheetId="23" state="hidden" r:id="rId6"/>
  </sheets>
  <definedNames>
    <definedName name="_xlnm._FilterDatabase" localSheetId="1" hidden="1">AJUIZADOS!$A$1:$Q$259</definedName>
    <definedName name="_xlnm._FilterDatabase" localSheetId="4" hidden="1">'AJUIZADOS - AC CURSOS'!$A$1:$O$145</definedName>
    <definedName name="_xlnm._FilterDatabase" localSheetId="3" hidden="1">'BASE DE DADOS'!$A$1:$B$2739</definedName>
    <definedName name="_xlnm._FilterDatabase" localSheetId="0" hidden="1">FLUXO!$A$1:$T$783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75" i="19" l="1"/>
  <c r="A276" i="19"/>
  <c r="A277" i="19"/>
  <c r="A278" i="19"/>
  <c r="A279" i="19"/>
  <c r="A280" i="19"/>
  <c r="A281" i="19"/>
  <c r="A282" i="19"/>
  <c r="A283" i="19"/>
  <c r="A284" i="19"/>
  <c r="A285" i="19"/>
  <c r="A286" i="19"/>
  <c r="A287" i="19"/>
  <c r="A288" i="19"/>
  <c r="A289" i="19"/>
  <c r="A290" i="19"/>
  <c r="A291" i="19"/>
  <c r="A292" i="19"/>
  <c r="A293" i="19"/>
  <c r="A294" i="19"/>
  <c r="A295" i="19"/>
  <c r="A270" i="19"/>
  <c r="A265" i="19"/>
  <c r="A266" i="19"/>
  <c r="A267" i="19"/>
  <c r="A268" i="19"/>
  <c r="A269" i="19"/>
  <c r="A271" i="19"/>
  <c r="A272" i="19"/>
  <c r="A273" i="19"/>
  <c r="A274" i="19"/>
  <c r="A264" i="19"/>
  <c r="A262" i="19"/>
  <c r="A261" i="19"/>
  <c r="A260" i="19"/>
  <c r="A263" i="19"/>
  <c r="A259" i="19"/>
  <c r="A22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29" i="19"/>
  <c r="A128" i="19"/>
  <c r="A127" i="19"/>
  <c r="A126" i="19"/>
  <c r="A125" i="19"/>
  <c r="A123" i="19"/>
  <c r="A122" i="19"/>
  <c r="A121" i="19"/>
  <c r="A119" i="19"/>
  <c r="A118" i="19"/>
  <c r="A117" i="19"/>
  <c r="A116" i="19"/>
  <c r="A115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69" i="19"/>
  <c r="A68" i="19"/>
  <c r="A67" i="19"/>
  <c r="A66" i="19"/>
  <c r="A65" i="19"/>
  <c r="A64" i="19"/>
  <c r="A63" i="19"/>
  <c r="A61" i="19"/>
  <c r="A60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39" i="19"/>
  <c r="A37" i="19"/>
  <c r="A36" i="19"/>
  <c r="A35" i="19"/>
  <c r="A34" i="19"/>
  <c r="A33" i="19"/>
  <c r="A32" i="19"/>
  <c r="A31" i="19"/>
  <c r="A30" i="19"/>
  <c r="A29" i="19"/>
  <c r="A28" i="19"/>
  <c r="A26" i="19"/>
  <c r="A25" i="19"/>
  <c r="A24" i="19"/>
  <c r="A23" i="19"/>
  <c r="A22" i="19"/>
  <c r="A21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5" i="19"/>
  <c r="A4" i="19"/>
  <c r="A3" i="19"/>
  <c r="A2" i="19"/>
  <c r="G14" i="5" l="1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13" i="5"/>
  <c r="G12" i="5"/>
  <c r="G11" i="5"/>
  <c r="G10" i="5"/>
  <c r="G9" i="5"/>
  <c r="G8" i="5"/>
  <c r="G7" i="5"/>
  <c r="G6" i="5"/>
  <c r="G5" i="5"/>
  <c r="G4" i="5"/>
  <c r="G3" i="5"/>
  <c r="G2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2" i="5"/>
  <c r="T783" i="5" l="1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2" i="5"/>
  <c r="S783" i="5"/>
  <c r="R783" i="5"/>
  <c r="Q783" i="5"/>
  <c r="P783" i="5"/>
  <c r="N783" i="5"/>
  <c r="M783" i="5"/>
  <c r="L783" i="5"/>
  <c r="K783" i="5"/>
  <c r="J783" i="5"/>
  <c r="I783" i="5"/>
  <c r="F783" i="5"/>
  <c r="E783" i="5"/>
  <c r="S782" i="5"/>
  <c r="R782" i="5"/>
  <c r="Q782" i="5"/>
  <c r="P782" i="5"/>
  <c r="N782" i="5"/>
  <c r="M782" i="5"/>
  <c r="L782" i="5"/>
  <c r="K782" i="5"/>
  <c r="J782" i="5"/>
  <c r="I782" i="5"/>
  <c r="F782" i="5"/>
  <c r="E782" i="5"/>
  <c r="S781" i="5"/>
  <c r="R781" i="5"/>
  <c r="Q781" i="5"/>
  <c r="P781" i="5"/>
  <c r="N781" i="5"/>
  <c r="M781" i="5"/>
  <c r="L781" i="5"/>
  <c r="K781" i="5"/>
  <c r="J781" i="5"/>
  <c r="I781" i="5"/>
  <c r="F781" i="5"/>
  <c r="E781" i="5"/>
  <c r="S780" i="5"/>
  <c r="R780" i="5"/>
  <c r="Q780" i="5"/>
  <c r="P780" i="5"/>
  <c r="N780" i="5"/>
  <c r="M780" i="5"/>
  <c r="L780" i="5"/>
  <c r="K780" i="5"/>
  <c r="J780" i="5"/>
  <c r="I780" i="5"/>
  <c r="F780" i="5"/>
  <c r="E780" i="5"/>
  <c r="S779" i="5"/>
  <c r="R779" i="5"/>
  <c r="Q779" i="5"/>
  <c r="P779" i="5"/>
  <c r="N779" i="5"/>
  <c r="M779" i="5"/>
  <c r="L779" i="5"/>
  <c r="K779" i="5"/>
  <c r="J779" i="5"/>
  <c r="I779" i="5"/>
  <c r="F779" i="5"/>
  <c r="E779" i="5"/>
  <c r="S778" i="5"/>
  <c r="R778" i="5"/>
  <c r="Q778" i="5"/>
  <c r="P778" i="5"/>
  <c r="N778" i="5"/>
  <c r="M778" i="5"/>
  <c r="L778" i="5"/>
  <c r="K778" i="5"/>
  <c r="J778" i="5"/>
  <c r="I778" i="5"/>
  <c r="F778" i="5"/>
  <c r="E778" i="5"/>
  <c r="S777" i="5"/>
  <c r="R777" i="5"/>
  <c r="Q777" i="5"/>
  <c r="P777" i="5"/>
  <c r="N777" i="5"/>
  <c r="M777" i="5"/>
  <c r="L777" i="5"/>
  <c r="K777" i="5"/>
  <c r="J777" i="5"/>
  <c r="I777" i="5"/>
  <c r="F777" i="5"/>
  <c r="E777" i="5"/>
  <c r="S776" i="5"/>
  <c r="R776" i="5"/>
  <c r="Q776" i="5"/>
  <c r="P776" i="5"/>
  <c r="N776" i="5"/>
  <c r="M776" i="5"/>
  <c r="L776" i="5"/>
  <c r="K776" i="5"/>
  <c r="J776" i="5"/>
  <c r="I776" i="5"/>
  <c r="F776" i="5"/>
  <c r="E776" i="5"/>
  <c r="S775" i="5" l="1"/>
  <c r="S774" i="5"/>
  <c r="S773" i="5"/>
  <c r="S772" i="5"/>
  <c r="S771" i="5"/>
  <c r="S770" i="5"/>
  <c r="S769" i="5"/>
  <c r="S768" i="5"/>
  <c r="S767" i="5"/>
  <c r="S766" i="5"/>
  <c r="S765" i="5"/>
  <c r="S764" i="5"/>
  <c r="S763" i="5"/>
  <c r="S762" i="5"/>
  <c r="S761" i="5"/>
  <c r="S760" i="5"/>
  <c r="S759" i="5"/>
  <c r="S758" i="5"/>
  <c r="S757" i="5"/>
  <c r="S756" i="5"/>
  <c r="S755" i="5"/>
  <c r="S754" i="5"/>
  <c r="S753" i="5"/>
  <c r="S752" i="5"/>
  <c r="S751" i="5"/>
  <c r="S750" i="5"/>
  <c r="S749" i="5"/>
  <c r="S748" i="5"/>
  <c r="S747" i="5"/>
  <c r="S746" i="5"/>
  <c r="S745" i="5"/>
  <c r="S744" i="5"/>
  <c r="S743" i="5"/>
  <c r="S742" i="5"/>
  <c r="S741" i="5"/>
  <c r="S740" i="5"/>
  <c r="S739" i="5"/>
  <c r="S738" i="5"/>
  <c r="S737" i="5"/>
  <c r="S736" i="5"/>
  <c r="S735" i="5"/>
  <c r="S734" i="5"/>
  <c r="S733" i="5"/>
  <c r="S732" i="5"/>
  <c r="S731" i="5"/>
  <c r="S730" i="5"/>
  <c r="S729" i="5"/>
  <c r="S728" i="5"/>
  <c r="S727" i="5"/>
  <c r="S726" i="5"/>
  <c r="S725" i="5"/>
  <c r="S724" i="5"/>
  <c r="S723" i="5"/>
  <c r="S722" i="5"/>
  <c r="S721" i="5"/>
  <c r="S720" i="5"/>
  <c r="S719" i="5"/>
  <c r="S718" i="5"/>
  <c r="S717" i="5"/>
  <c r="S716" i="5"/>
  <c r="S715" i="5"/>
  <c r="S714" i="5"/>
  <c r="S713" i="5"/>
  <c r="S712" i="5"/>
  <c r="S711" i="5"/>
  <c r="S710" i="5"/>
  <c r="S709" i="5"/>
  <c r="S708" i="5"/>
  <c r="S707" i="5"/>
  <c r="S706" i="5"/>
  <c r="S705" i="5"/>
  <c r="S704" i="5"/>
  <c r="S703" i="5"/>
  <c r="S702" i="5"/>
  <c r="S701" i="5"/>
  <c r="S700" i="5"/>
  <c r="S699" i="5"/>
  <c r="S698" i="5"/>
  <c r="S697" i="5"/>
  <c r="S696" i="5"/>
  <c r="S695" i="5"/>
  <c r="S694" i="5"/>
  <c r="S693" i="5"/>
  <c r="S692" i="5"/>
  <c r="S691" i="5"/>
  <c r="S690" i="5"/>
  <c r="S689" i="5"/>
  <c r="S688" i="5"/>
  <c r="S687" i="5"/>
  <c r="S686" i="5"/>
  <c r="S685" i="5"/>
  <c r="S684" i="5"/>
  <c r="S683" i="5"/>
  <c r="S682" i="5"/>
  <c r="S681" i="5"/>
  <c r="S680" i="5"/>
  <c r="S679" i="5"/>
  <c r="S678" i="5"/>
  <c r="S677" i="5"/>
  <c r="S676" i="5"/>
  <c r="S675" i="5"/>
  <c r="S674" i="5"/>
  <c r="S673" i="5"/>
  <c r="S672" i="5"/>
  <c r="S671" i="5"/>
  <c r="S670" i="5"/>
  <c r="S669" i="5"/>
  <c r="S668" i="5"/>
  <c r="S667" i="5"/>
  <c r="S666" i="5"/>
  <c r="S665" i="5"/>
  <c r="S664" i="5"/>
  <c r="S663" i="5"/>
  <c r="S662" i="5"/>
  <c r="S661" i="5"/>
  <c r="S660" i="5"/>
  <c r="S659" i="5"/>
  <c r="S658" i="5"/>
  <c r="S657" i="5"/>
  <c r="S656" i="5"/>
  <c r="S655" i="5"/>
  <c r="S654" i="5"/>
  <c r="S653" i="5"/>
  <c r="S652" i="5"/>
  <c r="S651" i="5"/>
  <c r="S650" i="5"/>
  <c r="S649" i="5"/>
  <c r="S648" i="5"/>
  <c r="S647" i="5"/>
  <c r="S646" i="5"/>
  <c r="S645" i="5"/>
  <c r="S644" i="5"/>
  <c r="S643" i="5"/>
  <c r="S642" i="5"/>
  <c r="S641" i="5"/>
  <c r="S640" i="5"/>
  <c r="S639" i="5"/>
  <c r="S638" i="5"/>
  <c r="S637" i="5"/>
  <c r="S636" i="5"/>
  <c r="S635" i="5"/>
  <c r="S634" i="5"/>
  <c r="S633" i="5"/>
  <c r="S632" i="5"/>
  <c r="S631" i="5"/>
  <c r="S630" i="5"/>
  <c r="S629" i="5"/>
  <c r="S628" i="5"/>
  <c r="S627" i="5"/>
  <c r="S626" i="5"/>
  <c r="S625" i="5"/>
  <c r="S624" i="5"/>
  <c r="S623" i="5"/>
  <c r="S622" i="5"/>
  <c r="S621" i="5"/>
  <c r="S620" i="5"/>
  <c r="S619" i="5"/>
  <c r="S618" i="5"/>
  <c r="S617" i="5"/>
  <c r="S616" i="5"/>
  <c r="S615" i="5"/>
  <c r="S614" i="5"/>
  <c r="S613" i="5"/>
  <c r="S612" i="5"/>
  <c r="S611" i="5"/>
  <c r="S610" i="5"/>
  <c r="S609" i="5"/>
  <c r="S608" i="5"/>
  <c r="S607" i="5"/>
  <c r="S606" i="5"/>
  <c r="S605" i="5"/>
  <c r="S604" i="5"/>
  <c r="S603" i="5"/>
  <c r="S602" i="5"/>
  <c r="S601" i="5"/>
  <c r="S600" i="5"/>
  <c r="S599" i="5"/>
  <c r="S598" i="5"/>
  <c r="S597" i="5"/>
  <c r="S596" i="5"/>
  <c r="S595" i="5"/>
  <c r="S594" i="5"/>
  <c r="S593" i="5"/>
  <c r="S592" i="5"/>
  <c r="S591" i="5"/>
  <c r="S590" i="5"/>
  <c r="S589" i="5"/>
  <c r="S588" i="5"/>
  <c r="S587" i="5"/>
  <c r="S586" i="5"/>
  <c r="S585" i="5"/>
  <c r="S584" i="5"/>
  <c r="S583" i="5"/>
  <c r="S582" i="5"/>
  <c r="S581" i="5"/>
  <c r="S580" i="5"/>
  <c r="S579" i="5"/>
  <c r="S578" i="5"/>
  <c r="S577" i="5"/>
  <c r="S576" i="5"/>
  <c r="S575" i="5"/>
  <c r="S574" i="5"/>
  <c r="S573" i="5"/>
  <c r="S572" i="5"/>
  <c r="S571" i="5"/>
  <c r="S570" i="5"/>
  <c r="S569" i="5"/>
  <c r="S568" i="5"/>
  <c r="S567" i="5"/>
  <c r="S566" i="5"/>
  <c r="S565" i="5"/>
  <c r="S564" i="5"/>
  <c r="S563" i="5"/>
  <c r="S562" i="5"/>
  <c r="S561" i="5"/>
  <c r="S560" i="5"/>
  <c r="S559" i="5"/>
  <c r="S558" i="5"/>
  <c r="S557" i="5"/>
  <c r="S556" i="5"/>
  <c r="S555" i="5"/>
  <c r="S554" i="5"/>
  <c r="S553" i="5"/>
  <c r="S552" i="5"/>
  <c r="S551" i="5"/>
  <c r="S550" i="5"/>
  <c r="S549" i="5"/>
  <c r="S548" i="5"/>
  <c r="S547" i="5"/>
  <c r="S546" i="5"/>
  <c r="S545" i="5"/>
  <c r="S544" i="5"/>
  <c r="S543" i="5"/>
  <c r="S542" i="5"/>
  <c r="S541" i="5"/>
  <c r="S540" i="5"/>
  <c r="S539" i="5"/>
  <c r="S538" i="5"/>
  <c r="S537" i="5"/>
  <c r="S536" i="5"/>
  <c r="S535" i="5"/>
  <c r="S534" i="5"/>
  <c r="S533" i="5"/>
  <c r="S532" i="5"/>
  <c r="S531" i="5"/>
  <c r="S530" i="5"/>
  <c r="S529" i="5"/>
  <c r="S528" i="5"/>
  <c r="S527" i="5"/>
  <c r="S526" i="5"/>
  <c r="S525" i="5"/>
  <c r="S524" i="5"/>
  <c r="S523" i="5"/>
  <c r="S522" i="5"/>
  <c r="S521" i="5"/>
  <c r="S520" i="5"/>
  <c r="S519" i="5"/>
  <c r="S518" i="5"/>
  <c r="S517" i="5"/>
  <c r="S516" i="5"/>
  <c r="S515" i="5"/>
  <c r="S514" i="5"/>
  <c r="S513" i="5"/>
  <c r="S512" i="5"/>
  <c r="S511" i="5"/>
  <c r="S510" i="5"/>
  <c r="S509" i="5"/>
  <c r="S508" i="5"/>
  <c r="S507" i="5"/>
  <c r="S506" i="5"/>
  <c r="S505" i="5"/>
  <c r="S504" i="5"/>
  <c r="S503" i="5"/>
  <c r="S502" i="5"/>
  <c r="S501" i="5"/>
  <c r="S500" i="5"/>
  <c r="S499" i="5"/>
  <c r="S498" i="5"/>
  <c r="S497" i="5"/>
  <c r="S496" i="5"/>
  <c r="S495" i="5"/>
  <c r="S494" i="5"/>
  <c r="S493" i="5"/>
  <c r="S492" i="5"/>
  <c r="S491" i="5"/>
  <c r="S490" i="5"/>
  <c r="S489" i="5"/>
  <c r="S488" i="5"/>
  <c r="S487" i="5"/>
  <c r="S486" i="5"/>
  <c r="S485" i="5"/>
  <c r="S484" i="5"/>
  <c r="S483" i="5"/>
  <c r="S482" i="5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S465" i="5"/>
  <c r="S464" i="5"/>
  <c r="S463" i="5"/>
  <c r="S462" i="5"/>
  <c r="S461" i="5"/>
  <c r="S460" i="5"/>
  <c r="S459" i="5"/>
  <c r="S458" i="5"/>
  <c r="S457" i="5"/>
  <c r="S456" i="5"/>
  <c r="S455" i="5"/>
  <c r="S454" i="5"/>
  <c r="S453" i="5"/>
  <c r="S452" i="5"/>
  <c r="S451" i="5"/>
  <c r="S450" i="5"/>
  <c r="S449" i="5"/>
  <c r="S448" i="5"/>
  <c r="S447" i="5"/>
  <c r="S446" i="5"/>
  <c r="S445" i="5"/>
  <c r="S444" i="5"/>
  <c r="S443" i="5"/>
  <c r="S442" i="5"/>
  <c r="S441" i="5"/>
  <c r="S440" i="5"/>
  <c r="S439" i="5"/>
  <c r="S438" i="5"/>
  <c r="S437" i="5"/>
  <c r="S436" i="5"/>
  <c r="S435" i="5"/>
  <c r="S434" i="5"/>
  <c r="S433" i="5"/>
  <c r="S432" i="5"/>
  <c r="S431" i="5"/>
  <c r="S430" i="5"/>
  <c r="S429" i="5"/>
  <c r="S428" i="5"/>
  <c r="S427" i="5"/>
  <c r="S426" i="5"/>
  <c r="S425" i="5"/>
  <c r="S424" i="5"/>
  <c r="S423" i="5"/>
  <c r="S422" i="5"/>
  <c r="S421" i="5"/>
  <c r="S420" i="5"/>
  <c r="S419" i="5"/>
  <c r="S418" i="5"/>
  <c r="S417" i="5"/>
  <c r="S416" i="5"/>
  <c r="S415" i="5"/>
  <c r="S414" i="5"/>
  <c r="S413" i="5"/>
  <c r="S412" i="5"/>
  <c r="S411" i="5"/>
  <c r="S410" i="5"/>
  <c r="S409" i="5"/>
  <c r="S408" i="5"/>
  <c r="S407" i="5"/>
  <c r="S406" i="5"/>
  <c r="S405" i="5"/>
  <c r="S404" i="5"/>
  <c r="S403" i="5"/>
  <c r="S402" i="5"/>
  <c r="S401" i="5"/>
  <c r="S400" i="5"/>
  <c r="S399" i="5"/>
  <c r="S398" i="5"/>
  <c r="S397" i="5"/>
  <c r="S396" i="5"/>
  <c r="S395" i="5"/>
  <c r="S394" i="5"/>
  <c r="S393" i="5"/>
  <c r="S392" i="5"/>
  <c r="S391" i="5"/>
  <c r="S390" i="5"/>
  <c r="S389" i="5"/>
  <c r="S388" i="5"/>
  <c r="S387" i="5"/>
  <c r="S386" i="5"/>
  <c r="S385" i="5"/>
  <c r="S384" i="5"/>
  <c r="S383" i="5"/>
  <c r="S382" i="5"/>
  <c r="S381" i="5"/>
  <c r="S380" i="5"/>
  <c r="S379" i="5"/>
  <c r="S378" i="5"/>
  <c r="S377" i="5"/>
  <c r="S376" i="5"/>
  <c r="S375" i="5"/>
  <c r="S374" i="5"/>
  <c r="S373" i="5"/>
  <c r="S372" i="5"/>
  <c r="S371" i="5"/>
  <c r="S370" i="5"/>
  <c r="S369" i="5"/>
  <c r="S368" i="5"/>
  <c r="S367" i="5"/>
  <c r="S366" i="5"/>
  <c r="S365" i="5"/>
  <c r="S364" i="5"/>
  <c r="S363" i="5"/>
  <c r="S362" i="5"/>
  <c r="S361" i="5"/>
  <c r="S360" i="5"/>
  <c r="S359" i="5"/>
  <c r="S358" i="5"/>
  <c r="S357" i="5"/>
  <c r="S356" i="5"/>
  <c r="S355" i="5"/>
  <c r="S354" i="5"/>
  <c r="S353" i="5"/>
  <c r="S352" i="5"/>
  <c r="S351" i="5"/>
  <c r="S350" i="5"/>
  <c r="S349" i="5"/>
  <c r="S348" i="5"/>
  <c r="S347" i="5"/>
  <c r="S346" i="5"/>
  <c r="S345" i="5"/>
  <c r="S344" i="5"/>
  <c r="S343" i="5"/>
  <c r="S342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S2" i="5"/>
  <c r="R775" i="5"/>
  <c r="R774" i="5"/>
  <c r="R773" i="5"/>
  <c r="R772" i="5"/>
  <c r="R771" i="5"/>
  <c r="R770" i="5"/>
  <c r="R769" i="5"/>
  <c r="R768" i="5"/>
  <c r="R767" i="5"/>
  <c r="R766" i="5"/>
  <c r="R765" i="5"/>
  <c r="R764" i="5"/>
  <c r="R763" i="5"/>
  <c r="R762" i="5"/>
  <c r="R761" i="5"/>
  <c r="R760" i="5"/>
  <c r="R759" i="5"/>
  <c r="R758" i="5"/>
  <c r="R757" i="5"/>
  <c r="R756" i="5"/>
  <c r="R755" i="5"/>
  <c r="R754" i="5"/>
  <c r="R753" i="5"/>
  <c r="R752" i="5"/>
  <c r="R751" i="5"/>
  <c r="R750" i="5"/>
  <c r="R749" i="5"/>
  <c r="R748" i="5"/>
  <c r="R747" i="5"/>
  <c r="R746" i="5"/>
  <c r="R745" i="5"/>
  <c r="R744" i="5"/>
  <c r="R743" i="5"/>
  <c r="R742" i="5"/>
  <c r="R741" i="5"/>
  <c r="R740" i="5"/>
  <c r="R739" i="5"/>
  <c r="R738" i="5"/>
  <c r="R737" i="5"/>
  <c r="R736" i="5"/>
  <c r="R735" i="5"/>
  <c r="R734" i="5"/>
  <c r="R733" i="5"/>
  <c r="R732" i="5"/>
  <c r="R731" i="5"/>
  <c r="R730" i="5"/>
  <c r="R729" i="5"/>
  <c r="R728" i="5"/>
  <c r="R727" i="5"/>
  <c r="R726" i="5"/>
  <c r="R725" i="5"/>
  <c r="R724" i="5"/>
  <c r="R723" i="5"/>
  <c r="R722" i="5"/>
  <c r="R721" i="5"/>
  <c r="R720" i="5"/>
  <c r="R719" i="5"/>
  <c r="R718" i="5"/>
  <c r="R717" i="5"/>
  <c r="R716" i="5"/>
  <c r="R715" i="5"/>
  <c r="R714" i="5"/>
  <c r="R713" i="5"/>
  <c r="R712" i="5"/>
  <c r="R711" i="5"/>
  <c r="R710" i="5"/>
  <c r="R709" i="5"/>
  <c r="R708" i="5"/>
  <c r="R707" i="5"/>
  <c r="R706" i="5"/>
  <c r="R705" i="5"/>
  <c r="R704" i="5"/>
  <c r="R703" i="5"/>
  <c r="R702" i="5"/>
  <c r="R701" i="5"/>
  <c r="R700" i="5"/>
  <c r="R699" i="5"/>
  <c r="R698" i="5"/>
  <c r="R697" i="5"/>
  <c r="R696" i="5"/>
  <c r="R695" i="5"/>
  <c r="R694" i="5"/>
  <c r="R693" i="5"/>
  <c r="R692" i="5"/>
  <c r="R691" i="5"/>
  <c r="R690" i="5"/>
  <c r="R689" i="5"/>
  <c r="R688" i="5"/>
  <c r="R687" i="5"/>
  <c r="R686" i="5"/>
  <c r="R685" i="5"/>
  <c r="R684" i="5"/>
  <c r="R683" i="5"/>
  <c r="R682" i="5"/>
  <c r="R681" i="5"/>
  <c r="R680" i="5"/>
  <c r="R679" i="5"/>
  <c r="R678" i="5"/>
  <c r="R677" i="5"/>
  <c r="R676" i="5"/>
  <c r="R675" i="5"/>
  <c r="R674" i="5"/>
  <c r="R673" i="5"/>
  <c r="R672" i="5"/>
  <c r="R671" i="5"/>
  <c r="R670" i="5"/>
  <c r="R669" i="5"/>
  <c r="R668" i="5"/>
  <c r="R667" i="5"/>
  <c r="R666" i="5"/>
  <c r="R665" i="5"/>
  <c r="R664" i="5"/>
  <c r="R663" i="5"/>
  <c r="R662" i="5"/>
  <c r="R661" i="5"/>
  <c r="R660" i="5"/>
  <c r="R659" i="5"/>
  <c r="R658" i="5"/>
  <c r="R657" i="5"/>
  <c r="R656" i="5"/>
  <c r="R655" i="5"/>
  <c r="R654" i="5"/>
  <c r="R653" i="5"/>
  <c r="R652" i="5"/>
  <c r="R651" i="5"/>
  <c r="R650" i="5"/>
  <c r="R649" i="5"/>
  <c r="R648" i="5"/>
  <c r="R647" i="5"/>
  <c r="R646" i="5"/>
  <c r="R645" i="5"/>
  <c r="R644" i="5"/>
  <c r="R643" i="5"/>
  <c r="R642" i="5"/>
  <c r="R641" i="5"/>
  <c r="R640" i="5"/>
  <c r="R639" i="5"/>
  <c r="R638" i="5"/>
  <c r="R637" i="5"/>
  <c r="R636" i="5"/>
  <c r="R635" i="5"/>
  <c r="R634" i="5"/>
  <c r="R633" i="5"/>
  <c r="R632" i="5"/>
  <c r="R631" i="5"/>
  <c r="R630" i="5"/>
  <c r="R629" i="5"/>
  <c r="R628" i="5"/>
  <c r="R627" i="5"/>
  <c r="R626" i="5"/>
  <c r="R625" i="5"/>
  <c r="R624" i="5"/>
  <c r="R623" i="5"/>
  <c r="R622" i="5"/>
  <c r="R621" i="5"/>
  <c r="R620" i="5"/>
  <c r="R619" i="5"/>
  <c r="R618" i="5"/>
  <c r="R617" i="5"/>
  <c r="R616" i="5"/>
  <c r="R615" i="5"/>
  <c r="R614" i="5"/>
  <c r="R613" i="5"/>
  <c r="R612" i="5"/>
  <c r="R611" i="5"/>
  <c r="R610" i="5"/>
  <c r="R609" i="5"/>
  <c r="R608" i="5"/>
  <c r="R607" i="5"/>
  <c r="R606" i="5"/>
  <c r="R605" i="5"/>
  <c r="R604" i="5"/>
  <c r="R603" i="5"/>
  <c r="R602" i="5"/>
  <c r="R601" i="5"/>
  <c r="R600" i="5"/>
  <c r="R599" i="5"/>
  <c r="R598" i="5"/>
  <c r="R597" i="5"/>
  <c r="R596" i="5"/>
  <c r="R595" i="5"/>
  <c r="R594" i="5"/>
  <c r="R593" i="5"/>
  <c r="R592" i="5"/>
  <c r="R591" i="5"/>
  <c r="R590" i="5"/>
  <c r="R589" i="5"/>
  <c r="R588" i="5"/>
  <c r="R587" i="5"/>
  <c r="R586" i="5"/>
  <c r="R585" i="5"/>
  <c r="R584" i="5"/>
  <c r="R583" i="5"/>
  <c r="R582" i="5"/>
  <c r="R581" i="5"/>
  <c r="R580" i="5"/>
  <c r="R579" i="5"/>
  <c r="R578" i="5"/>
  <c r="R577" i="5"/>
  <c r="R576" i="5"/>
  <c r="R575" i="5"/>
  <c r="R574" i="5"/>
  <c r="R573" i="5"/>
  <c r="R572" i="5"/>
  <c r="R571" i="5"/>
  <c r="R570" i="5"/>
  <c r="R569" i="5"/>
  <c r="R568" i="5"/>
  <c r="R567" i="5"/>
  <c r="R566" i="5"/>
  <c r="R565" i="5"/>
  <c r="R564" i="5"/>
  <c r="R563" i="5"/>
  <c r="R562" i="5"/>
  <c r="R561" i="5"/>
  <c r="R560" i="5"/>
  <c r="R559" i="5"/>
  <c r="R558" i="5"/>
  <c r="R557" i="5"/>
  <c r="R556" i="5"/>
  <c r="R555" i="5"/>
  <c r="R554" i="5"/>
  <c r="R553" i="5"/>
  <c r="R552" i="5"/>
  <c r="R551" i="5"/>
  <c r="R550" i="5"/>
  <c r="R549" i="5"/>
  <c r="R548" i="5"/>
  <c r="R547" i="5"/>
  <c r="R546" i="5"/>
  <c r="R545" i="5"/>
  <c r="R544" i="5"/>
  <c r="R543" i="5"/>
  <c r="R542" i="5"/>
  <c r="R541" i="5"/>
  <c r="R540" i="5"/>
  <c r="R539" i="5"/>
  <c r="R538" i="5"/>
  <c r="R537" i="5"/>
  <c r="R536" i="5"/>
  <c r="R535" i="5"/>
  <c r="R534" i="5"/>
  <c r="R533" i="5"/>
  <c r="R532" i="5"/>
  <c r="R531" i="5"/>
  <c r="R530" i="5"/>
  <c r="R529" i="5"/>
  <c r="R528" i="5"/>
  <c r="R527" i="5"/>
  <c r="R526" i="5"/>
  <c r="R525" i="5"/>
  <c r="R524" i="5"/>
  <c r="R523" i="5"/>
  <c r="R522" i="5"/>
  <c r="R521" i="5"/>
  <c r="R520" i="5"/>
  <c r="R519" i="5"/>
  <c r="R518" i="5"/>
  <c r="R517" i="5"/>
  <c r="R516" i="5"/>
  <c r="R515" i="5"/>
  <c r="R514" i="5"/>
  <c r="R513" i="5"/>
  <c r="R512" i="5"/>
  <c r="R511" i="5"/>
  <c r="R510" i="5"/>
  <c r="R509" i="5"/>
  <c r="R508" i="5"/>
  <c r="R507" i="5"/>
  <c r="R506" i="5"/>
  <c r="R505" i="5"/>
  <c r="R504" i="5"/>
  <c r="R503" i="5"/>
  <c r="R502" i="5"/>
  <c r="R501" i="5"/>
  <c r="R500" i="5"/>
  <c r="R499" i="5"/>
  <c r="R498" i="5"/>
  <c r="R497" i="5"/>
  <c r="R496" i="5"/>
  <c r="R495" i="5"/>
  <c r="R494" i="5"/>
  <c r="R493" i="5"/>
  <c r="R492" i="5"/>
  <c r="R491" i="5"/>
  <c r="R490" i="5"/>
  <c r="R489" i="5"/>
  <c r="R488" i="5"/>
  <c r="R487" i="5"/>
  <c r="R486" i="5"/>
  <c r="R485" i="5"/>
  <c r="R484" i="5"/>
  <c r="R483" i="5"/>
  <c r="R482" i="5"/>
  <c r="R481" i="5"/>
  <c r="R480" i="5"/>
  <c r="R479" i="5"/>
  <c r="R478" i="5"/>
  <c r="R477" i="5"/>
  <c r="R476" i="5"/>
  <c r="R475" i="5"/>
  <c r="R474" i="5"/>
  <c r="R473" i="5"/>
  <c r="R472" i="5"/>
  <c r="R471" i="5"/>
  <c r="R470" i="5"/>
  <c r="R469" i="5"/>
  <c r="R468" i="5"/>
  <c r="R467" i="5"/>
  <c r="R466" i="5"/>
  <c r="R465" i="5"/>
  <c r="R464" i="5"/>
  <c r="R463" i="5"/>
  <c r="R462" i="5"/>
  <c r="R461" i="5"/>
  <c r="R460" i="5"/>
  <c r="R459" i="5"/>
  <c r="R458" i="5"/>
  <c r="R457" i="5"/>
  <c r="R456" i="5"/>
  <c r="R455" i="5"/>
  <c r="R454" i="5"/>
  <c r="R453" i="5"/>
  <c r="R452" i="5"/>
  <c r="R451" i="5"/>
  <c r="R450" i="5"/>
  <c r="R449" i="5"/>
  <c r="R448" i="5"/>
  <c r="R447" i="5"/>
  <c r="R446" i="5"/>
  <c r="R445" i="5"/>
  <c r="R444" i="5"/>
  <c r="R443" i="5"/>
  <c r="R442" i="5"/>
  <c r="R441" i="5"/>
  <c r="R440" i="5"/>
  <c r="R439" i="5"/>
  <c r="R438" i="5"/>
  <c r="R437" i="5"/>
  <c r="R436" i="5"/>
  <c r="R435" i="5"/>
  <c r="R434" i="5"/>
  <c r="R433" i="5"/>
  <c r="R432" i="5"/>
  <c r="R431" i="5"/>
  <c r="R430" i="5"/>
  <c r="R429" i="5"/>
  <c r="R428" i="5"/>
  <c r="R427" i="5"/>
  <c r="R426" i="5"/>
  <c r="R425" i="5"/>
  <c r="R424" i="5"/>
  <c r="R423" i="5"/>
  <c r="R422" i="5"/>
  <c r="R421" i="5"/>
  <c r="R420" i="5"/>
  <c r="R419" i="5"/>
  <c r="R418" i="5"/>
  <c r="R417" i="5"/>
  <c r="R416" i="5"/>
  <c r="R415" i="5"/>
  <c r="R414" i="5"/>
  <c r="R413" i="5"/>
  <c r="R412" i="5"/>
  <c r="R411" i="5"/>
  <c r="R410" i="5"/>
  <c r="R409" i="5"/>
  <c r="R408" i="5"/>
  <c r="R407" i="5"/>
  <c r="R406" i="5"/>
  <c r="R405" i="5"/>
  <c r="R404" i="5"/>
  <c r="R403" i="5"/>
  <c r="R402" i="5"/>
  <c r="R401" i="5"/>
  <c r="R400" i="5"/>
  <c r="R399" i="5"/>
  <c r="R398" i="5"/>
  <c r="R397" i="5"/>
  <c r="R396" i="5"/>
  <c r="R395" i="5"/>
  <c r="R394" i="5"/>
  <c r="R393" i="5"/>
  <c r="R392" i="5"/>
  <c r="R391" i="5"/>
  <c r="R390" i="5"/>
  <c r="R389" i="5"/>
  <c r="R388" i="5"/>
  <c r="R387" i="5"/>
  <c r="R386" i="5"/>
  <c r="R385" i="5"/>
  <c r="R384" i="5"/>
  <c r="R383" i="5"/>
  <c r="R382" i="5"/>
  <c r="R381" i="5"/>
  <c r="R380" i="5"/>
  <c r="R379" i="5"/>
  <c r="R378" i="5"/>
  <c r="R377" i="5"/>
  <c r="R376" i="5"/>
  <c r="R375" i="5"/>
  <c r="R374" i="5"/>
  <c r="R373" i="5"/>
  <c r="R372" i="5"/>
  <c r="R371" i="5"/>
  <c r="R370" i="5"/>
  <c r="R369" i="5"/>
  <c r="R368" i="5"/>
  <c r="R367" i="5"/>
  <c r="R366" i="5"/>
  <c r="R365" i="5"/>
  <c r="R364" i="5"/>
  <c r="R363" i="5"/>
  <c r="R362" i="5"/>
  <c r="R361" i="5"/>
  <c r="R360" i="5"/>
  <c r="R359" i="5"/>
  <c r="R358" i="5"/>
  <c r="R357" i="5"/>
  <c r="R356" i="5"/>
  <c r="R355" i="5"/>
  <c r="R354" i="5"/>
  <c r="R353" i="5"/>
  <c r="R352" i="5"/>
  <c r="R351" i="5"/>
  <c r="R350" i="5"/>
  <c r="R349" i="5"/>
  <c r="R348" i="5"/>
  <c r="R347" i="5"/>
  <c r="R346" i="5"/>
  <c r="R345" i="5"/>
  <c r="R344" i="5"/>
  <c r="R343" i="5"/>
  <c r="R342" i="5"/>
  <c r="R341" i="5"/>
  <c r="R340" i="5"/>
  <c r="R339" i="5"/>
  <c r="R338" i="5"/>
  <c r="R337" i="5"/>
  <c r="R336" i="5"/>
  <c r="R335" i="5"/>
  <c r="R334" i="5"/>
  <c r="R333" i="5"/>
  <c r="R332" i="5"/>
  <c r="R331" i="5"/>
  <c r="R330" i="5"/>
  <c r="R329" i="5"/>
  <c r="R328" i="5"/>
  <c r="R327" i="5"/>
  <c r="R326" i="5"/>
  <c r="R325" i="5"/>
  <c r="R324" i="5"/>
  <c r="R323" i="5"/>
  <c r="R322" i="5"/>
  <c r="R321" i="5"/>
  <c r="R320" i="5"/>
  <c r="R319" i="5"/>
  <c r="R318" i="5"/>
  <c r="R317" i="5"/>
  <c r="R316" i="5"/>
  <c r="R315" i="5"/>
  <c r="R314" i="5"/>
  <c r="R313" i="5"/>
  <c r="R312" i="5"/>
  <c r="R311" i="5"/>
  <c r="R310" i="5"/>
  <c r="R309" i="5"/>
  <c r="R308" i="5"/>
  <c r="R307" i="5"/>
  <c r="R306" i="5"/>
  <c r="R305" i="5"/>
  <c r="R304" i="5"/>
  <c r="R303" i="5"/>
  <c r="R302" i="5"/>
  <c r="R301" i="5"/>
  <c r="R300" i="5"/>
  <c r="R299" i="5"/>
  <c r="R298" i="5"/>
  <c r="R297" i="5"/>
  <c r="R296" i="5"/>
  <c r="R295" i="5"/>
  <c r="R294" i="5"/>
  <c r="R293" i="5"/>
  <c r="R292" i="5"/>
  <c r="R291" i="5"/>
  <c r="R290" i="5"/>
  <c r="R289" i="5"/>
  <c r="R288" i="5"/>
  <c r="R287" i="5"/>
  <c r="R286" i="5"/>
  <c r="R285" i="5"/>
  <c r="R284" i="5"/>
  <c r="R283" i="5"/>
  <c r="R282" i="5"/>
  <c r="R281" i="5"/>
  <c r="R280" i="5"/>
  <c r="R279" i="5"/>
  <c r="R278" i="5"/>
  <c r="R277" i="5"/>
  <c r="R276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R261" i="5"/>
  <c r="R260" i="5"/>
  <c r="R259" i="5"/>
  <c r="R258" i="5"/>
  <c r="R257" i="5"/>
  <c r="R256" i="5"/>
  <c r="R255" i="5"/>
  <c r="R254" i="5"/>
  <c r="R253" i="5"/>
  <c r="R252" i="5"/>
  <c r="R251" i="5"/>
  <c r="R250" i="5"/>
  <c r="R249" i="5"/>
  <c r="R248" i="5"/>
  <c r="R247" i="5"/>
  <c r="R246" i="5"/>
  <c r="R245" i="5"/>
  <c r="R244" i="5"/>
  <c r="R243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  <c r="Q775" i="5" l="1"/>
  <c r="Q774" i="5"/>
  <c r="Q773" i="5"/>
  <c r="Q772" i="5"/>
  <c r="Q771" i="5"/>
  <c r="Q770" i="5"/>
  <c r="Q769" i="5"/>
  <c r="Q768" i="5"/>
  <c r="Q767" i="5"/>
  <c r="Q766" i="5"/>
  <c r="Q765" i="5"/>
  <c r="Q764" i="5"/>
  <c r="Q763" i="5"/>
  <c r="Q762" i="5"/>
  <c r="Q761" i="5"/>
  <c r="Q760" i="5"/>
  <c r="Q759" i="5"/>
  <c r="Q758" i="5"/>
  <c r="Q757" i="5"/>
  <c r="Q756" i="5"/>
  <c r="Q755" i="5"/>
  <c r="Q754" i="5"/>
  <c r="Q753" i="5"/>
  <c r="Q752" i="5"/>
  <c r="Q751" i="5"/>
  <c r="Q750" i="5"/>
  <c r="Q749" i="5"/>
  <c r="Q748" i="5"/>
  <c r="Q747" i="5"/>
  <c r="Q746" i="5"/>
  <c r="Q745" i="5"/>
  <c r="Q744" i="5"/>
  <c r="Q743" i="5"/>
  <c r="Q742" i="5"/>
  <c r="Q741" i="5"/>
  <c r="Q740" i="5"/>
  <c r="Q739" i="5"/>
  <c r="Q738" i="5"/>
  <c r="Q737" i="5"/>
  <c r="Q736" i="5"/>
  <c r="Q735" i="5"/>
  <c r="Q734" i="5"/>
  <c r="Q733" i="5"/>
  <c r="Q732" i="5"/>
  <c r="Q731" i="5"/>
  <c r="Q730" i="5"/>
  <c r="Q729" i="5"/>
  <c r="Q728" i="5"/>
  <c r="Q727" i="5"/>
  <c r="Q726" i="5"/>
  <c r="Q725" i="5"/>
  <c r="Q724" i="5"/>
  <c r="Q723" i="5"/>
  <c r="Q722" i="5"/>
  <c r="Q721" i="5"/>
  <c r="Q720" i="5"/>
  <c r="Q719" i="5"/>
  <c r="Q718" i="5"/>
  <c r="Q717" i="5"/>
  <c r="Q716" i="5"/>
  <c r="Q715" i="5"/>
  <c r="Q714" i="5"/>
  <c r="Q713" i="5"/>
  <c r="Q712" i="5"/>
  <c r="Q711" i="5"/>
  <c r="Q710" i="5"/>
  <c r="Q709" i="5"/>
  <c r="Q708" i="5"/>
  <c r="Q707" i="5"/>
  <c r="Q706" i="5"/>
  <c r="Q705" i="5"/>
  <c r="Q704" i="5"/>
  <c r="Q703" i="5"/>
  <c r="Q702" i="5"/>
  <c r="Q701" i="5"/>
  <c r="Q700" i="5"/>
  <c r="Q699" i="5"/>
  <c r="Q698" i="5"/>
  <c r="Q697" i="5"/>
  <c r="Q696" i="5"/>
  <c r="Q695" i="5"/>
  <c r="Q694" i="5"/>
  <c r="Q693" i="5"/>
  <c r="Q692" i="5"/>
  <c r="Q691" i="5"/>
  <c r="Q690" i="5"/>
  <c r="Q689" i="5"/>
  <c r="Q688" i="5"/>
  <c r="Q687" i="5"/>
  <c r="Q686" i="5"/>
  <c r="Q685" i="5"/>
  <c r="Q684" i="5"/>
  <c r="Q683" i="5"/>
  <c r="Q682" i="5"/>
  <c r="Q681" i="5"/>
  <c r="Q680" i="5"/>
  <c r="Q679" i="5"/>
  <c r="Q678" i="5"/>
  <c r="Q677" i="5"/>
  <c r="Q676" i="5"/>
  <c r="Q675" i="5"/>
  <c r="Q674" i="5"/>
  <c r="Q673" i="5"/>
  <c r="Q672" i="5"/>
  <c r="Q671" i="5"/>
  <c r="Q670" i="5"/>
  <c r="Q669" i="5"/>
  <c r="Q668" i="5"/>
  <c r="Q667" i="5"/>
  <c r="Q666" i="5"/>
  <c r="Q665" i="5"/>
  <c r="Q664" i="5"/>
  <c r="Q663" i="5"/>
  <c r="Q662" i="5"/>
  <c r="Q661" i="5"/>
  <c r="Q660" i="5"/>
  <c r="Q659" i="5"/>
  <c r="Q658" i="5"/>
  <c r="Q657" i="5"/>
  <c r="Q656" i="5"/>
  <c r="Q655" i="5"/>
  <c r="Q654" i="5"/>
  <c r="Q653" i="5"/>
  <c r="Q652" i="5"/>
  <c r="Q651" i="5"/>
  <c r="Q650" i="5"/>
  <c r="Q649" i="5"/>
  <c r="Q648" i="5"/>
  <c r="Q647" i="5"/>
  <c r="Q646" i="5"/>
  <c r="Q645" i="5"/>
  <c r="Q644" i="5"/>
  <c r="Q643" i="5"/>
  <c r="Q642" i="5"/>
  <c r="Q641" i="5"/>
  <c r="Q640" i="5"/>
  <c r="Q639" i="5"/>
  <c r="Q638" i="5"/>
  <c r="Q637" i="5"/>
  <c r="Q636" i="5"/>
  <c r="Q635" i="5"/>
  <c r="Q634" i="5"/>
  <c r="Q633" i="5"/>
  <c r="Q632" i="5"/>
  <c r="Q631" i="5"/>
  <c r="Q630" i="5"/>
  <c r="Q629" i="5"/>
  <c r="Q628" i="5"/>
  <c r="Q627" i="5"/>
  <c r="Q626" i="5"/>
  <c r="Q625" i="5"/>
  <c r="Q624" i="5"/>
  <c r="Q623" i="5"/>
  <c r="Q622" i="5"/>
  <c r="Q621" i="5"/>
  <c r="Q620" i="5"/>
  <c r="Q619" i="5"/>
  <c r="Q618" i="5"/>
  <c r="Q617" i="5"/>
  <c r="Q616" i="5"/>
  <c r="Q615" i="5"/>
  <c r="Q614" i="5"/>
  <c r="Q613" i="5"/>
  <c r="Q612" i="5"/>
  <c r="Q611" i="5"/>
  <c r="Q610" i="5"/>
  <c r="Q609" i="5"/>
  <c r="Q608" i="5"/>
  <c r="Q607" i="5"/>
  <c r="Q606" i="5"/>
  <c r="Q605" i="5"/>
  <c r="Q604" i="5"/>
  <c r="Q603" i="5"/>
  <c r="Q602" i="5"/>
  <c r="Q601" i="5"/>
  <c r="Q600" i="5"/>
  <c r="Q599" i="5"/>
  <c r="Q598" i="5"/>
  <c r="Q597" i="5"/>
  <c r="Q596" i="5"/>
  <c r="Q595" i="5"/>
  <c r="Q594" i="5"/>
  <c r="Q593" i="5"/>
  <c r="Q592" i="5"/>
  <c r="Q591" i="5"/>
  <c r="Q590" i="5"/>
  <c r="Q589" i="5"/>
  <c r="Q588" i="5"/>
  <c r="Q587" i="5"/>
  <c r="Q586" i="5"/>
  <c r="Q585" i="5"/>
  <c r="Q584" i="5"/>
  <c r="Q583" i="5"/>
  <c r="Q582" i="5"/>
  <c r="Q581" i="5"/>
  <c r="Q580" i="5"/>
  <c r="Q579" i="5"/>
  <c r="Q578" i="5"/>
  <c r="Q577" i="5"/>
  <c r="Q576" i="5"/>
  <c r="Q575" i="5"/>
  <c r="Q574" i="5"/>
  <c r="Q573" i="5"/>
  <c r="Q572" i="5"/>
  <c r="Q571" i="5"/>
  <c r="Q570" i="5"/>
  <c r="Q569" i="5"/>
  <c r="Q568" i="5"/>
  <c r="Q567" i="5"/>
  <c r="Q566" i="5"/>
  <c r="Q565" i="5"/>
  <c r="Q564" i="5"/>
  <c r="Q563" i="5"/>
  <c r="Q562" i="5"/>
  <c r="Q561" i="5"/>
  <c r="Q560" i="5"/>
  <c r="Q559" i="5"/>
  <c r="Q558" i="5"/>
  <c r="Q557" i="5"/>
  <c r="Q556" i="5"/>
  <c r="Q555" i="5"/>
  <c r="Q554" i="5"/>
  <c r="Q553" i="5"/>
  <c r="Q552" i="5"/>
  <c r="Q551" i="5"/>
  <c r="Q550" i="5"/>
  <c r="Q549" i="5"/>
  <c r="Q548" i="5"/>
  <c r="Q547" i="5"/>
  <c r="Q546" i="5"/>
  <c r="Q545" i="5"/>
  <c r="Q544" i="5"/>
  <c r="Q543" i="5"/>
  <c r="Q542" i="5"/>
  <c r="Q541" i="5"/>
  <c r="Q540" i="5"/>
  <c r="Q539" i="5"/>
  <c r="Q538" i="5"/>
  <c r="Q537" i="5"/>
  <c r="Q536" i="5"/>
  <c r="Q535" i="5"/>
  <c r="Q534" i="5"/>
  <c r="Q533" i="5"/>
  <c r="Q532" i="5"/>
  <c r="Q531" i="5"/>
  <c r="Q530" i="5"/>
  <c r="Q529" i="5"/>
  <c r="Q528" i="5"/>
  <c r="Q527" i="5"/>
  <c r="Q526" i="5"/>
  <c r="Q525" i="5"/>
  <c r="Q524" i="5"/>
  <c r="Q523" i="5"/>
  <c r="Q522" i="5"/>
  <c r="Q521" i="5"/>
  <c r="Q520" i="5"/>
  <c r="Q519" i="5"/>
  <c r="Q518" i="5"/>
  <c r="Q517" i="5"/>
  <c r="Q516" i="5"/>
  <c r="Q515" i="5"/>
  <c r="Q514" i="5"/>
  <c r="Q513" i="5"/>
  <c r="Q512" i="5"/>
  <c r="Q511" i="5"/>
  <c r="Q510" i="5"/>
  <c r="Q509" i="5"/>
  <c r="Q508" i="5"/>
  <c r="Q507" i="5"/>
  <c r="Q506" i="5"/>
  <c r="Q505" i="5"/>
  <c r="Q504" i="5"/>
  <c r="Q503" i="5"/>
  <c r="Q502" i="5"/>
  <c r="Q501" i="5"/>
  <c r="Q500" i="5"/>
  <c r="Q499" i="5"/>
  <c r="Q498" i="5"/>
  <c r="Q497" i="5"/>
  <c r="Q496" i="5"/>
  <c r="Q495" i="5"/>
  <c r="Q494" i="5"/>
  <c r="Q493" i="5"/>
  <c r="Q492" i="5"/>
  <c r="Q491" i="5"/>
  <c r="Q490" i="5"/>
  <c r="Q489" i="5"/>
  <c r="Q488" i="5"/>
  <c r="Q487" i="5"/>
  <c r="Q486" i="5"/>
  <c r="Q485" i="5"/>
  <c r="Q484" i="5"/>
  <c r="Q483" i="5"/>
  <c r="Q482" i="5"/>
  <c r="Q481" i="5"/>
  <c r="Q480" i="5"/>
  <c r="Q479" i="5"/>
  <c r="Q478" i="5"/>
  <c r="Q477" i="5"/>
  <c r="Q476" i="5"/>
  <c r="Q475" i="5"/>
  <c r="Q474" i="5"/>
  <c r="Q473" i="5"/>
  <c r="Q472" i="5"/>
  <c r="Q471" i="5"/>
  <c r="Q470" i="5"/>
  <c r="Q469" i="5"/>
  <c r="Q468" i="5"/>
  <c r="Q467" i="5"/>
  <c r="Q466" i="5"/>
  <c r="Q465" i="5"/>
  <c r="Q464" i="5"/>
  <c r="Q463" i="5"/>
  <c r="Q462" i="5"/>
  <c r="Q461" i="5"/>
  <c r="Q460" i="5"/>
  <c r="Q459" i="5"/>
  <c r="Q458" i="5"/>
  <c r="Q457" i="5"/>
  <c r="Q456" i="5"/>
  <c r="Q455" i="5"/>
  <c r="Q454" i="5"/>
  <c r="Q453" i="5"/>
  <c r="Q452" i="5"/>
  <c r="Q451" i="5"/>
  <c r="Q450" i="5"/>
  <c r="Q449" i="5"/>
  <c r="Q448" i="5"/>
  <c r="Q447" i="5"/>
  <c r="Q446" i="5"/>
  <c r="Q445" i="5"/>
  <c r="Q444" i="5"/>
  <c r="Q443" i="5"/>
  <c r="Q442" i="5"/>
  <c r="Q441" i="5"/>
  <c r="Q440" i="5"/>
  <c r="Q439" i="5"/>
  <c r="Q438" i="5"/>
  <c r="Q437" i="5"/>
  <c r="Q436" i="5"/>
  <c r="Q435" i="5"/>
  <c r="Q434" i="5"/>
  <c r="Q433" i="5"/>
  <c r="Q432" i="5"/>
  <c r="Q431" i="5"/>
  <c r="Q430" i="5"/>
  <c r="Q429" i="5"/>
  <c r="Q428" i="5"/>
  <c r="Q427" i="5"/>
  <c r="Q426" i="5"/>
  <c r="Q425" i="5"/>
  <c r="Q424" i="5"/>
  <c r="Q423" i="5"/>
  <c r="Q422" i="5"/>
  <c r="Q421" i="5"/>
  <c r="Q420" i="5"/>
  <c r="Q419" i="5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3" i="5"/>
  <c r="Q402" i="5"/>
  <c r="Q401" i="5"/>
  <c r="Q400" i="5"/>
  <c r="Q399" i="5"/>
  <c r="Q398" i="5"/>
  <c r="Q397" i="5"/>
  <c r="Q396" i="5"/>
  <c r="Q395" i="5"/>
  <c r="Q394" i="5"/>
  <c r="Q393" i="5"/>
  <c r="Q392" i="5"/>
  <c r="Q391" i="5"/>
  <c r="Q390" i="5"/>
  <c r="Q389" i="5"/>
  <c r="Q388" i="5"/>
  <c r="Q387" i="5"/>
  <c r="Q386" i="5"/>
  <c r="Q385" i="5"/>
  <c r="Q384" i="5"/>
  <c r="Q383" i="5"/>
  <c r="Q382" i="5"/>
  <c r="Q381" i="5"/>
  <c r="Q380" i="5"/>
  <c r="Q379" i="5"/>
  <c r="Q378" i="5"/>
  <c r="Q377" i="5"/>
  <c r="Q376" i="5"/>
  <c r="Q375" i="5"/>
  <c r="Q374" i="5"/>
  <c r="Q373" i="5"/>
  <c r="Q372" i="5"/>
  <c r="Q371" i="5"/>
  <c r="Q370" i="5"/>
  <c r="Q369" i="5"/>
  <c r="Q368" i="5"/>
  <c r="Q367" i="5"/>
  <c r="Q366" i="5"/>
  <c r="Q365" i="5"/>
  <c r="Q364" i="5"/>
  <c r="Q363" i="5"/>
  <c r="Q362" i="5"/>
  <c r="Q361" i="5"/>
  <c r="Q360" i="5"/>
  <c r="Q359" i="5"/>
  <c r="Q358" i="5"/>
  <c r="Q357" i="5"/>
  <c r="Q356" i="5"/>
  <c r="Q355" i="5"/>
  <c r="Q354" i="5"/>
  <c r="Q353" i="5"/>
  <c r="Q352" i="5"/>
  <c r="Q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6" i="5"/>
  <c r="Q325" i="5"/>
  <c r="Q324" i="5"/>
  <c r="Q323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P775" i="5"/>
  <c r="N775" i="5"/>
  <c r="M775" i="5"/>
  <c r="L775" i="5"/>
  <c r="K775" i="5"/>
  <c r="J775" i="5"/>
  <c r="I775" i="5"/>
  <c r="F775" i="5"/>
  <c r="E775" i="5"/>
  <c r="P774" i="5"/>
  <c r="N774" i="5"/>
  <c r="M774" i="5"/>
  <c r="L774" i="5"/>
  <c r="K774" i="5"/>
  <c r="J774" i="5"/>
  <c r="I774" i="5"/>
  <c r="F774" i="5"/>
  <c r="E774" i="5"/>
  <c r="P773" i="5"/>
  <c r="N773" i="5"/>
  <c r="M773" i="5"/>
  <c r="L773" i="5"/>
  <c r="K773" i="5"/>
  <c r="J773" i="5"/>
  <c r="I773" i="5"/>
  <c r="F773" i="5"/>
  <c r="E773" i="5"/>
  <c r="P772" i="5"/>
  <c r="N772" i="5"/>
  <c r="M772" i="5"/>
  <c r="L772" i="5"/>
  <c r="K772" i="5"/>
  <c r="J772" i="5"/>
  <c r="I772" i="5"/>
  <c r="F772" i="5"/>
  <c r="E772" i="5"/>
  <c r="P771" i="5"/>
  <c r="N771" i="5"/>
  <c r="M771" i="5"/>
  <c r="L771" i="5"/>
  <c r="K771" i="5"/>
  <c r="J771" i="5"/>
  <c r="I771" i="5"/>
  <c r="F771" i="5"/>
  <c r="E771" i="5"/>
  <c r="P770" i="5"/>
  <c r="N770" i="5"/>
  <c r="M770" i="5"/>
  <c r="L770" i="5"/>
  <c r="K770" i="5"/>
  <c r="J770" i="5"/>
  <c r="I770" i="5"/>
  <c r="F770" i="5"/>
  <c r="E770" i="5"/>
  <c r="P769" i="5"/>
  <c r="N769" i="5"/>
  <c r="M769" i="5"/>
  <c r="L769" i="5"/>
  <c r="K769" i="5"/>
  <c r="J769" i="5"/>
  <c r="I769" i="5"/>
  <c r="F769" i="5"/>
  <c r="E769" i="5"/>
  <c r="P768" i="5"/>
  <c r="N768" i="5"/>
  <c r="M768" i="5"/>
  <c r="L768" i="5"/>
  <c r="K768" i="5"/>
  <c r="J768" i="5"/>
  <c r="I768" i="5"/>
  <c r="F768" i="5"/>
  <c r="E768" i="5"/>
  <c r="P767" i="5"/>
  <c r="N767" i="5"/>
  <c r="M767" i="5"/>
  <c r="L767" i="5"/>
  <c r="K767" i="5"/>
  <c r="J767" i="5"/>
  <c r="I767" i="5"/>
  <c r="F767" i="5"/>
  <c r="E767" i="5"/>
  <c r="P766" i="5"/>
  <c r="N766" i="5"/>
  <c r="M766" i="5"/>
  <c r="L766" i="5"/>
  <c r="K766" i="5"/>
  <c r="J766" i="5"/>
  <c r="I766" i="5"/>
  <c r="F766" i="5"/>
  <c r="E766" i="5"/>
  <c r="P765" i="5"/>
  <c r="N765" i="5"/>
  <c r="M765" i="5"/>
  <c r="L765" i="5"/>
  <c r="K765" i="5"/>
  <c r="J765" i="5"/>
  <c r="I765" i="5"/>
  <c r="F765" i="5"/>
  <c r="E765" i="5"/>
  <c r="P764" i="5"/>
  <c r="N764" i="5"/>
  <c r="M764" i="5"/>
  <c r="L764" i="5"/>
  <c r="K764" i="5"/>
  <c r="J764" i="5"/>
  <c r="I764" i="5"/>
  <c r="F764" i="5"/>
  <c r="E764" i="5"/>
  <c r="P763" i="5"/>
  <c r="N763" i="5"/>
  <c r="M763" i="5"/>
  <c r="L763" i="5"/>
  <c r="K763" i="5"/>
  <c r="J763" i="5"/>
  <c r="I763" i="5"/>
  <c r="F763" i="5"/>
  <c r="E763" i="5"/>
  <c r="P762" i="5"/>
  <c r="N762" i="5"/>
  <c r="M762" i="5"/>
  <c r="L762" i="5"/>
  <c r="K762" i="5"/>
  <c r="J762" i="5"/>
  <c r="I762" i="5"/>
  <c r="F762" i="5"/>
  <c r="E762" i="5"/>
  <c r="P761" i="5"/>
  <c r="N761" i="5"/>
  <c r="M761" i="5"/>
  <c r="L761" i="5"/>
  <c r="K761" i="5"/>
  <c r="J761" i="5"/>
  <c r="I761" i="5"/>
  <c r="F761" i="5"/>
  <c r="E761" i="5"/>
  <c r="P760" i="5"/>
  <c r="N760" i="5"/>
  <c r="M760" i="5"/>
  <c r="L760" i="5"/>
  <c r="K760" i="5"/>
  <c r="J760" i="5"/>
  <c r="I760" i="5"/>
  <c r="F760" i="5"/>
  <c r="E760" i="5"/>
  <c r="P759" i="5"/>
  <c r="N759" i="5"/>
  <c r="M759" i="5"/>
  <c r="L759" i="5"/>
  <c r="K759" i="5"/>
  <c r="J759" i="5"/>
  <c r="I759" i="5"/>
  <c r="F759" i="5"/>
  <c r="E759" i="5"/>
  <c r="P758" i="5"/>
  <c r="N758" i="5"/>
  <c r="M758" i="5"/>
  <c r="L758" i="5"/>
  <c r="K758" i="5"/>
  <c r="J758" i="5"/>
  <c r="I758" i="5"/>
  <c r="F758" i="5"/>
  <c r="E758" i="5"/>
  <c r="P757" i="5"/>
  <c r="N757" i="5"/>
  <c r="M757" i="5"/>
  <c r="L757" i="5"/>
  <c r="K757" i="5"/>
  <c r="J757" i="5"/>
  <c r="I757" i="5"/>
  <c r="F757" i="5"/>
  <c r="E757" i="5"/>
  <c r="P756" i="5"/>
  <c r="N756" i="5"/>
  <c r="M756" i="5"/>
  <c r="L756" i="5"/>
  <c r="K756" i="5"/>
  <c r="J756" i="5"/>
  <c r="I756" i="5"/>
  <c r="F756" i="5"/>
  <c r="E756" i="5"/>
  <c r="P755" i="5"/>
  <c r="N755" i="5"/>
  <c r="M755" i="5"/>
  <c r="L755" i="5"/>
  <c r="K755" i="5"/>
  <c r="J755" i="5"/>
  <c r="I755" i="5"/>
  <c r="F755" i="5"/>
  <c r="E755" i="5"/>
  <c r="P754" i="5"/>
  <c r="N754" i="5"/>
  <c r="M754" i="5"/>
  <c r="L754" i="5"/>
  <c r="K754" i="5"/>
  <c r="J754" i="5"/>
  <c r="I754" i="5"/>
  <c r="F754" i="5"/>
  <c r="E754" i="5"/>
  <c r="P753" i="5"/>
  <c r="N753" i="5"/>
  <c r="M753" i="5"/>
  <c r="L753" i="5"/>
  <c r="K753" i="5"/>
  <c r="J753" i="5"/>
  <c r="I753" i="5"/>
  <c r="F753" i="5"/>
  <c r="E753" i="5"/>
  <c r="P752" i="5"/>
  <c r="N752" i="5"/>
  <c r="M752" i="5"/>
  <c r="L752" i="5"/>
  <c r="K752" i="5"/>
  <c r="J752" i="5"/>
  <c r="I752" i="5"/>
  <c r="F752" i="5"/>
  <c r="E752" i="5"/>
  <c r="P751" i="5"/>
  <c r="N751" i="5"/>
  <c r="M751" i="5"/>
  <c r="L751" i="5"/>
  <c r="K751" i="5"/>
  <c r="J751" i="5"/>
  <c r="I751" i="5"/>
  <c r="F751" i="5"/>
  <c r="E751" i="5"/>
  <c r="P750" i="5"/>
  <c r="N750" i="5"/>
  <c r="M750" i="5"/>
  <c r="L750" i="5"/>
  <c r="K750" i="5"/>
  <c r="J750" i="5"/>
  <c r="I750" i="5"/>
  <c r="F750" i="5"/>
  <c r="E750" i="5"/>
  <c r="P749" i="5"/>
  <c r="N749" i="5"/>
  <c r="M749" i="5"/>
  <c r="L749" i="5"/>
  <c r="K749" i="5"/>
  <c r="J749" i="5"/>
  <c r="I749" i="5"/>
  <c r="F749" i="5"/>
  <c r="E749" i="5"/>
  <c r="P748" i="5"/>
  <c r="N748" i="5"/>
  <c r="M748" i="5"/>
  <c r="L748" i="5"/>
  <c r="K748" i="5"/>
  <c r="J748" i="5"/>
  <c r="I748" i="5"/>
  <c r="F748" i="5"/>
  <c r="E748" i="5"/>
  <c r="P747" i="5"/>
  <c r="N747" i="5"/>
  <c r="M747" i="5"/>
  <c r="L747" i="5"/>
  <c r="K747" i="5"/>
  <c r="J747" i="5"/>
  <c r="I747" i="5"/>
  <c r="F747" i="5"/>
  <c r="E747" i="5"/>
  <c r="P746" i="5"/>
  <c r="N746" i="5"/>
  <c r="M746" i="5"/>
  <c r="L746" i="5"/>
  <c r="K746" i="5"/>
  <c r="J746" i="5"/>
  <c r="I746" i="5"/>
  <c r="F746" i="5"/>
  <c r="E746" i="5"/>
  <c r="P745" i="5"/>
  <c r="N745" i="5"/>
  <c r="M745" i="5"/>
  <c r="L745" i="5"/>
  <c r="K745" i="5"/>
  <c r="J745" i="5"/>
  <c r="I745" i="5"/>
  <c r="F745" i="5"/>
  <c r="E745" i="5"/>
  <c r="P744" i="5"/>
  <c r="N744" i="5"/>
  <c r="M744" i="5"/>
  <c r="L744" i="5"/>
  <c r="K744" i="5"/>
  <c r="J744" i="5"/>
  <c r="I744" i="5"/>
  <c r="F744" i="5"/>
  <c r="E744" i="5"/>
  <c r="P743" i="5"/>
  <c r="N743" i="5"/>
  <c r="M743" i="5"/>
  <c r="L743" i="5"/>
  <c r="K743" i="5"/>
  <c r="J743" i="5"/>
  <c r="I743" i="5"/>
  <c r="F743" i="5"/>
  <c r="E743" i="5"/>
  <c r="P742" i="5"/>
  <c r="N742" i="5"/>
  <c r="M742" i="5"/>
  <c r="L742" i="5"/>
  <c r="K742" i="5"/>
  <c r="J742" i="5"/>
  <c r="I742" i="5"/>
  <c r="F742" i="5"/>
  <c r="E742" i="5"/>
  <c r="P741" i="5"/>
  <c r="N741" i="5"/>
  <c r="M741" i="5"/>
  <c r="L741" i="5"/>
  <c r="K741" i="5"/>
  <c r="J741" i="5"/>
  <c r="I741" i="5"/>
  <c r="F741" i="5"/>
  <c r="E741" i="5"/>
  <c r="P740" i="5"/>
  <c r="N740" i="5"/>
  <c r="M740" i="5"/>
  <c r="L740" i="5"/>
  <c r="K740" i="5"/>
  <c r="J740" i="5"/>
  <c r="I740" i="5"/>
  <c r="F740" i="5"/>
  <c r="E740" i="5"/>
  <c r="P739" i="5"/>
  <c r="N739" i="5"/>
  <c r="M739" i="5"/>
  <c r="L739" i="5"/>
  <c r="K739" i="5"/>
  <c r="J739" i="5"/>
  <c r="I739" i="5"/>
  <c r="F739" i="5"/>
  <c r="E739" i="5"/>
  <c r="P738" i="5"/>
  <c r="N738" i="5"/>
  <c r="M738" i="5"/>
  <c r="L738" i="5"/>
  <c r="K738" i="5"/>
  <c r="J738" i="5"/>
  <c r="I738" i="5"/>
  <c r="F738" i="5"/>
  <c r="E738" i="5"/>
  <c r="P737" i="5"/>
  <c r="N737" i="5"/>
  <c r="M737" i="5"/>
  <c r="L737" i="5"/>
  <c r="K737" i="5"/>
  <c r="J737" i="5"/>
  <c r="I737" i="5"/>
  <c r="F737" i="5"/>
  <c r="E737" i="5"/>
  <c r="P736" i="5"/>
  <c r="N736" i="5"/>
  <c r="M736" i="5"/>
  <c r="L736" i="5"/>
  <c r="K736" i="5"/>
  <c r="J736" i="5"/>
  <c r="I736" i="5"/>
  <c r="F736" i="5"/>
  <c r="E736" i="5"/>
  <c r="P735" i="5"/>
  <c r="N735" i="5"/>
  <c r="M735" i="5"/>
  <c r="L735" i="5"/>
  <c r="K735" i="5"/>
  <c r="J735" i="5"/>
  <c r="I735" i="5"/>
  <c r="F735" i="5"/>
  <c r="E735" i="5"/>
  <c r="P734" i="5"/>
  <c r="N734" i="5"/>
  <c r="M734" i="5"/>
  <c r="L734" i="5"/>
  <c r="K734" i="5"/>
  <c r="J734" i="5"/>
  <c r="I734" i="5"/>
  <c r="F734" i="5"/>
  <c r="E734" i="5"/>
  <c r="P733" i="5"/>
  <c r="N733" i="5"/>
  <c r="M733" i="5"/>
  <c r="L733" i="5"/>
  <c r="K733" i="5"/>
  <c r="J733" i="5"/>
  <c r="I733" i="5"/>
  <c r="F733" i="5"/>
  <c r="E733" i="5"/>
  <c r="P732" i="5"/>
  <c r="N732" i="5"/>
  <c r="M732" i="5"/>
  <c r="L732" i="5"/>
  <c r="K732" i="5"/>
  <c r="J732" i="5"/>
  <c r="I732" i="5"/>
  <c r="F732" i="5"/>
  <c r="E732" i="5"/>
  <c r="P731" i="5"/>
  <c r="N731" i="5"/>
  <c r="M731" i="5"/>
  <c r="L731" i="5"/>
  <c r="K731" i="5"/>
  <c r="J731" i="5"/>
  <c r="I731" i="5"/>
  <c r="F731" i="5"/>
  <c r="E731" i="5"/>
  <c r="P730" i="5"/>
  <c r="N730" i="5"/>
  <c r="M730" i="5"/>
  <c r="L730" i="5"/>
  <c r="K730" i="5"/>
  <c r="J730" i="5"/>
  <c r="I730" i="5"/>
  <c r="F730" i="5"/>
  <c r="E730" i="5"/>
  <c r="P729" i="5"/>
  <c r="N729" i="5"/>
  <c r="M729" i="5"/>
  <c r="L729" i="5"/>
  <c r="K729" i="5"/>
  <c r="J729" i="5"/>
  <c r="I729" i="5"/>
  <c r="F729" i="5"/>
  <c r="E729" i="5"/>
  <c r="P728" i="5"/>
  <c r="N728" i="5"/>
  <c r="M728" i="5"/>
  <c r="L728" i="5"/>
  <c r="K728" i="5"/>
  <c r="J728" i="5"/>
  <c r="I728" i="5"/>
  <c r="F728" i="5"/>
  <c r="E728" i="5"/>
  <c r="P727" i="5"/>
  <c r="N727" i="5"/>
  <c r="M727" i="5"/>
  <c r="L727" i="5"/>
  <c r="K727" i="5"/>
  <c r="J727" i="5"/>
  <c r="I727" i="5"/>
  <c r="F727" i="5"/>
  <c r="E727" i="5"/>
  <c r="P726" i="5"/>
  <c r="N726" i="5"/>
  <c r="M726" i="5"/>
  <c r="L726" i="5"/>
  <c r="K726" i="5"/>
  <c r="J726" i="5"/>
  <c r="I726" i="5"/>
  <c r="F726" i="5"/>
  <c r="E726" i="5"/>
  <c r="P725" i="5"/>
  <c r="N725" i="5"/>
  <c r="M725" i="5"/>
  <c r="L725" i="5"/>
  <c r="K725" i="5"/>
  <c r="J725" i="5"/>
  <c r="I725" i="5"/>
  <c r="F725" i="5"/>
  <c r="E725" i="5"/>
  <c r="P724" i="5"/>
  <c r="N724" i="5"/>
  <c r="M724" i="5"/>
  <c r="L724" i="5"/>
  <c r="K724" i="5"/>
  <c r="J724" i="5"/>
  <c r="I724" i="5"/>
  <c r="F724" i="5"/>
  <c r="E724" i="5"/>
  <c r="P723" i="5"/>
  <c r="N723" i="5"/>
  <c r="M723" i="5"/>
  <c r="L723" i="5"/>
  <c r="K723" i="5"/>
  <c r="J723" i="5"/>
  <c r="I723" i="5"/>
  <c r="F723" i="5"/>
  <c r="E723" i="5"/>
  <c r="P722" i="5"/>
  <c r="N722" i="5"/>
  <c r="M722" i="5"/>
  <c r="L722" i="5"/>
  <c r="K722" i="5"/>
  <c r="J722" i="5"/>
  <c r="I722" i="5"/>
  <c r="F722" i="5"/>
  <c r="E722" i="5"/>
  <c r="P721" i="5"/>
  <c r="N721" i="5"/>
  <c r="M721" i="5"/>
  <c r="L721" i="5"/>
  <c r="K721" i="5"/>
  <c r="J721" i="5"/>
  <c r="I721" i="5"/>
  <c r="F721" i="5"/>
  <c r="E721" i="5"/>
  <c r="P720" i="5"/>
  <c r="N720" i="5"/>
  <c r="M720" i="5"/>
  <c r="L720" i="5"/>
  <c r="K720" i="5"/>
  <c r="J720" i="5"/>
  <c r="I720" i="5"/>
  <c r="F720" i="5"/>
  <c r="E720" i="5"/>
  <c r="P719" i="5"/>
  <c r="N719" i="5"/>
  <c r="M719" i="5"/>
  <c r="L719" i="5"/>
  <c r="K719" i="5"/>
  <c r="J719" i="5"/>
  <c r="I719" i="5"/>
  <c r="F719" i="5"/>
  <c r="E719" i="5"/>
  <c r="P718" i="5"/>
  <c r="N718" i="5"/>
  <c r="M718" i="5"/>
  <c r="L718" i="5"/>
  <c r="K718" i="5"/>
  <c r="J718" i="5"/>
  <c r="I718" i="5"/>
  <c r="F718" i="5"/>
  <c r="E718" i="5"/>
  <c r="P717" i="5"/>
  <c r="N717" i="5"/>
  <c r="M717" i="5"/>
  <c r="L717" i="5"/>
  <c r="K717" i="5"/>
  <c r="J717" i="5"/>
  <c r="I717" i="5"/>
  <c r="F717" i="5"/>
  <c r="E717" i="5"/>
  <c r="P716" i="5"/>
  <c r="N716" i="5"/>
  <c r="M716" i="5"/>
  <c r="L716" i="5"/>
  <c r="K716" i="5"/>
  <c r="J716" i="5"/>
  <c r="I716" i="5"/>
  <c r="F716" i="5"/>
  <c r="E716" i="5"/>
  <c r="P715" i="5"/>
  <c r="N715" i="5"/>
  <c r="M715" i="5"/>
  <c r="L715" i="5"/>
  <c r="K715" i="5"/>
  <c r="J715" i="5"/>
  <c r="I715" i="5"/>
  <c r="F715" i="5"/>
  <c r="E715" i="5"/>
  <c r="P714" i="5"/>
  <c r="N714" i="5"/>
  <c r="M714" i="5"/>
  <c r="L714" i="5"/>
  <c r="K714" i="5"/>
  <c r="J714" i="5"/>
  <c r="I714" i="5"/>
  <c r="F714" i="5"/>
  <c r="E714" i="5"/>
  <c r="P713" i="5"/>
  <c r="N713" i="5"/>
  <c r="M713" i="5"/>
  <c r="L713" i="5"/>
  <c r="K713" i="5"/>
  <c r="J713" i="5"/>
  <c r="I713" i="5"/>
  <c r="F713" i="5"/>
  <c r="E713" i="5"/>
  <c r="P712" i="5"/>
  <c r="N712" i="5"/>
  <c r="M712" i="5"/>
  <c r="L712" i="5"/>
  <c r="K712" i="5"/>
  <c r="J712" i="5"/>
  <c r="I712" i="5"/>
  <c r="F712" i="5"/>
  <c r="E712" i="5"/>
  <c r="P711" i="5"/>
  <c r="N711" i="5"/>
  <c r="M711" i="5"/>
  <c r="L711" i="5"/>
  <c r="K711" i="5"/>
  <c r="J711" i="5"/>
  <c r="I711" i="5"/>
  <c r="F711" i="5"/>
  <c r="E711" i="5"/>
  <c r="P710" i="5"/>
  <c r="N710" i="5"/>
  <c r="M710" i="5"/>
  <c r="L710" i="5"/>
  <c r="K710" i="5"/>
  <c r="J710" i="5"/>
  <c r="I710" i="5"/>
  <c r="F710" i="5"/>
  <c r="E710" i="5"/>
  <c r="P709" i="5"/>
  <c r="N709" i="5"/>
  <c r="M709" i="5"/>
  <c r="L709" i="5"/>
  <c r="K709" i="5"/>
  <c r="J709" i="5"/>
  <c r="I709" i="5"/>
  <c r="F709" i="5"/>
  <c r="E709" i="5"/>
  <c r="P708" i="5"/>
  <c r="N708" i="5"/>
  <c r="M708" i="5"/>
  <c r="L708" i="5"/>
  <c r="K708" i="5"/>
  <c r="J708" i="5"/>
  <c r="I708" i="5"/>
  <c r="F708" i="5"/>
  <c r="E708" i="5"/>
  <c r="P707" i="5"/>
  <c r="N707" i="5"/>
  <c r="M707" i="5"/>
  <c r="L707" i="5"/>
  <c r="K707" i="5"/>
  <c r="J707" i="5"/>
  <c r="I707" i="5"/>
  <c r="F707" i="5"/>
  <c r="E707" i="5"/>
  <c r="P706" i="5"/>
  <c r="N706" i="5"/>
  <c r="M706" i="5"/>
  <c r="L706" i="5"/>
  <c r="K706" i="5"/>
  <c r="J706" i="5"/>
  <c r="I706" i="5"/>
  <c r="F706" i="5"/>
  <c r="E706" i="5"/>
  <c r="P705" i="5"/>
  <c r="N705" i="5"/>
  <c r="M705" i="5"/>
  <c r="L705" i="5"/>
  <c r="K705" i="5"/>
  <c r="J705" i="5"/>
  <c r="I705" i="5"/>
  <c r="F705" i="5"/>
  <c r="E705" i="5"/>
  <c r="P704" i="5"/>
  <c r="N704" i="5"/>
  <c r="M704" i="5"/>
  <c r="L704" i="5"/>
  <c r="K704" i="5"/>
  <c r="J704" i="5"/>
  <c r="I704" i="5"/>
  <c r="F704" i="5"/>
  <c r="E704" i="5"/>
  <c r="P703" i="5"/>
  <c r="N703" i="5"/>
  <c r="M703" i="5"/>
  <c r="L703" i="5"/>
  <c r="K703" i="5"/>
  <c r="J703" i="5"/>
  <c r="I703" i="5"/>
  <c r="F703" i="5"/>
  <c r="E703" i="5"/>
  <c r="P702" i="5"/>
  <c r="N702" i="5"/>
  <c r="M702" i="5"/>
  <c r="L702" i="5"/>
  <c r="K702" i="5"/>
  <c r="J702" i="5"/>
  <c r="I702" i="5"/>
  <c r="F702" i="5"/>
  <c r="E702" i="5"/>
  <c r="P701" i="5"/>
  <c r="N701" i="5"/>
  <c r="M701" i="5"/>
  <c r="L701" i="5"/>
  <c r="K701" i="5"/>
  <c r="J701" i="5"/>
  <c r="I701" i="5"/>
  <c r="F701" i="5"/>
  <c r="E701" i="5"/>
  <c r="P700" i="5"/>
  <c r="N700" i="5"/>
  <c r="M700" i="5"/>
  <c r="L700" i="5"/>
  <c r="K700" i="5"/>
  <c r="J700" i="5"/>
  <c r="I700" i="5"/>
  <c r="F700" i="5"/>
  <c r="E700" i="5"/>
  <c r="P699" i="5"/>
  <c r="N699" i="5"/>
  <c r="M699" i="5"/>
  <c r="L699" i="5"/>
  <c r="K699" i="5"/>
  <c r="J699" i="5"/>
  <c r="I699" i="5"/>
  <c r="F699" i="5"/>
  <c r="E699" i="5"/>
  <c r="P698" i="5"/>
  <c r="N698" i="5"/>
  <c r="M698" i="5"/>
  <c r="L698" i="5"/>
  <c r="K698" i="5"/>
  <c r="J698" i="5"/>
  <c r="I698" i="5"/>
  <c r="F698" i="5"/>
  <c r="E698" i="5"/>
  <c r="P697" i="5"/>
  <c r="N697" i="5"/>
  <c r="M697" i="5"/>
  <c r="L697" i="5"/>
  <c r="K697" i="5"/>
  <c r="J697" i="5"/>
  <c r="I697" i="5"/>
  <c r="F697" i="5"/>
  <c r="E697" i="5"/>
  <c r="P696" i="5"/>
  <c r="N696" i="5"/>
  <c r="M696" i="5"/>
  <c r="L696" i="5"/>
  <c r="K696" i="5"/>
  <c r="J696" i="5"/>
  <c r="I696" i="5"/>
  <c r="F696" i="5"/>
  <c r="E696" i="5"/>
  <c r="P695" i="5"/>
  <c r="N695" i="5"/>
  <c r="M695" i="5"/>
  <c r="L695" i="5"/>
  <c r="K695" i="5"/>
  <c r="J695" i="5"/>
  <c r="I695" i="5"/>
  <c r="F695" i="5"/>
  <c r="E695" i="5"/>
  <c r="P694" i="5"/>
  <c r="N694" i="5"/>
  <c r="M694" i="5"/>
  <c r="L694" i="5"/>
  <c r="K694" i="5"/>
  <c r="J694" i="5"/>
  <c r="I694" i="5"/>
  <c r="F694" i="5"/>
  <c r="E694" i="5"/>
  <c r="P693" i="5"/>
  <c r="N693" i="5"/>
  <c r="M693" i="5"/>
  <c r="L693" i="5"/>
  <c r="K693" i="5"/>
  <c r="J693" i="5"/>
  <c r="I693" i="5"/>
  <c r="F693" i="5"/>
  <c r="E693" i="5"/>
  <c r="P692" i="5"/>
  <c r="N692" i="5"/>
  <c r="M692" i="5"/>
  <c r="L692" i="5"/>
  <c r="K692" i="5"/>
  <c r="J692" i="5"/>
  <c r="I692" i="5"/>
  <c r="F692" i="5"/>
  <c r="E692" i="5"/>
  <c r="P691" i="5"/>
  <c r="N691" i="5"/>
  <c r="M691" i="5"/>
  <c r="L691" i="5"/>
  <c r="K691" i="5"/>
  <c r="J691" i="5"/>
  <c r="I691" i="5"/>
  <c r="F691" i="5"/>
  <c r="E691" i="5"/>
  <c r="P690" i="5"/>
  <c r="N690" i="5"/>
  <c r="M690" i="5"/>
  <c r="L690" i="5"/>
  <c r="K690" i="5"/>
  <c r="J690" i="5"/>
  <c r="I690" i="5"/>
  <c r="F690" i="5"/>
  <c r="E690" i="5"/>
  <c r="P689" i="5"/>
  <c r="N689" i="5"/>
  <c r="M689" i="5"/>
  <c r="L689" i="5"/>
  <c r="K689" i="5"/>
  <c r="J689" i="5"/>
  <c r="I689" i="5"/>
  <c r="F689" i="5"/>
  <c r="E689" i="5"/>
  <c r="P688" i="5"/>
  <c r="N688" i="5"/>
  <c r="M688" i="5"/>
  <c r="L688" i="5"/>
  <c r="K688" i="5"/>
  <c r="J688" i="5"/>
  <c r="I688" i="5"/>
  <c r="F688" i="5"/>
  <c r="E688" i="5"/>
  <c r="P687" i="5"/>
  <c r="N687" i="5"/>
  <c r="M687" i="5"/>
  <c r="L687" i="5"/>
  <c r="K687" i="5"/>
  <c r="J687" i="5"/>
  <c r="I687" i="5"/>
  <c r="F687" i="5"/>
  <c r="E687" i="5"/>
  <c r="P686" i="5"/>
  <c r="N686" i="5"/>
  <c r="M686" i="5"/>
  <c r="L686" i="5"/>
  <c r="K686" i="5"/>
  <c r="J686" i="5"/>
  <c r="I686" i="5"/>
  <c r="F686" i="5"/>
  <c r="E686" i="5"/>
  <c r="P685" i="5"/>
  <c r="N685" i="5"/>
  <c r="M685" i="5"/>
  <c r="L685" i="5"/>
  <c r="K685" i="5"/>
  <c r="J685" i="5"/>
  <c r="I685" i="5"/>
  <c r="F685" i="5"/>
  <c r="E685" i="5"/>
  <c r="P684" i="5"/>
  <c r="N684" i="5"/>
  <c r="M684" i="5"/>
  <c r="L684" i="5"/>
  <c r="K684" i="5"/>
  <c r="J684" i="5"/>
  <c r="I684" i="5"/>
  <c r="F684" i="5"/>
  <c r="E684" i="5"/>
  <c r="P683" i="5"/>
  <c r="N683" i="5"/>
  <c r="M683" i="5"/>
  <c r="L683" i="5"/>
  <c r="K683" i="5"/>
  <c r="J683" i="5"/>
  <c r="I683" i="5"/>
  <c r="F683" i="5"/>
  <c r="E683" i="5"/>
  <c r="P682" i="5"/>
  <c r="N682" i="5"/>
  <c r="M682" i="5"/>
  <c r="L682" i="5"/>
  <c r="K682" i="5"/>
  <c r="J682" i="5"/>
  <c r="I682" i="5"/>
  <c r="F682" i="5"/>
  <c r="E682" i="5"/>
  <c r="P681" i="5"/>
  <c r="N681" i="5"/>
  <c r="M681" i="5"/>
  <c r="L681" i="5"/>
  <c r="K681" i="5"/>
  <c r="J681" i="5"/>
  <c r="I681" i="5"/>
  <c r="F681" i="5"/>
  <c r="E681" i="5"/>
  <c r="P680" i="5"/>
  <c r="N680" i="5"/>
  <c r="M680" i="5"/>
  <c r="L680" i="5"/>
  <c r="K680" i="5"/>
  <c r="J680" i="5"/>
  <c r="I680" i="5"/>
  <c r="F680" i="5"/>
  <c r="E680" i="5"/>
  <c r="P679" i="5"/>
  <c r="N679" i="5"/>
  <c r="M679" i="5"/>
  <c r="L679" i="5"/>
  <c r="K679" i="5"/>
  <c r="J679" i="5"/>
  <c r="I679" i="5"/>
  <c r="F679" i="5"/>
  <c r="E679" i="5"/>
  <c r="P678" i="5"/>
  <c r="N678" i="5"/>
  <c r="M678" i="5"/>
  <c r="L678" i="5"/>
  <c r="K678" i="5"/>
  <c r="J678" i="5"/>
  <c r="I678" i="5"/>
  <c r="F678" i="5"/>
  <c r="E678" i="5"/>
  <c r="P677" i="5"/>
  <c r="N677" i="5"/>
  <c r="M677" i="5"/>
  <c r="L677" i="5"/>
  <c r="K677" i="5"/>
  <c r="J677" i="5"/>
  <c r="I677" i="5"/>
  <c r="F677" i="5"/>
  <c r="E677" i="5"/>
  <c r="P676" i="5"/>
  <c r="N676" i="5"/>
  <c r="M676" i="5"/>
  <c r="L676" i="5"/>
  <c r="K676" i="5"/>
  <c r="J676" i="5"/>
  <c r="I676" i="5"/>
  <c r="F676" i="5"/>
  <c r="E676" i="5"/>
  <c r="P675" i="5"/>
  <c r="N675" i="5"/>
  <c r="M675" i="5"/>
  <c r="L675" i="5"/>
  <c r="K675" i="5"/>
  <c r="J675" i="5"/>
  <c r="I675" i="5"/>
  <c r="F675" i="5"/>
  <c r="E675" i="5"/>
  <c r="P674" i="5"/>
  <c r="N674" i="5"/>
  <c r="M674" i="5"/>
  <c r="L674" i="5"/>
  <c r="K674" i="5"/>
  <c r="J674" i="5"/>
  <c r="I674" i="5"/>
  <c r="F674" i="5"/>
  <c r="E674" i="5"/>
  <c r="P673" i="5"/>
  <c r="N673" i="5"/>
  <c r="M673" i="5"/>
  <c r="L673" i="5"/>
  <c r="K673" i="5"/>
  <c r="J673" i="5"/>
  <c r="I673" i="5"/>
  <c r="F673" i="5"/>
  <c r="E673" i="5"/>
  <c r="P672" i="5"/>
  <c r="N672" i="5"/>
  <c r="M672" i="5"/>
  <c r="L672" i="5"/>
  <c r="K672" i="5"/>
  <c r="J672" i="5"/>
  <c r="I672" i="5"/>
  <c r="F672" i="5"/>
  <c r="E672" i="5"/>
  <c r="P671" i="5"/>
  <c r="N671" i="5"/>
  <c r="M671" i="5"/>
  <c r="L671" i="5"/>
  <c r="K671" i="5"/>
  <c r="J671" i="5"/>
  <c r="I671" i="5"/>
  <c r="F671" i="5"/>
  <c r="E671" i="5"/>
  <c r="P670" i="5"/>
  <c r="N670" i="5"/>
  <c r="M670" i="5"/>
  <c r="L670" i="5"/>
  <c r="K670" i="5"/>
  <c r="J670" i="5"/>
  <c r="I670" i="5"/>
  <c r="F670" i="5"/>
  <c r="E670" i="5"/>
  <c r="P669" i="5"/>
  <c r="N669" i="5"/>
  <c r="M669" i="5"/>
  <c r="L669" i="5"/>
  <c r="K669" i="5"/>
  <c r="J669" i="5"/>
  <c r="I669" i="5"/>
  <c r="F669" i="5"/>
  <c r="E669" i="5"/>
  <c r="P668" i="5"/>
  <c r="N668" i="5"/>
  <c r="M668" i="5"/>
  <c r="L668" i="5"/>
  <c r="K668" i="5"/>
  <c r="J668" i="5"/>
  <c r="I668" i="5"/>
  <c r="F668" i="5"/>
  <c r="E668" i="5"/>
  <c r="P667" i="5"/>
  <c r="N667" i="5"/>
  <c r="M667" i="5"/>
  <c r="L667" i="5"/>
  <c r="K667" i="5"/>
  <c r="J667" i="5"/>
  <c r="I667" i="5"/>
  <c r="F667" i="5"/>
  <c r="E667" i="5"/>
  <c r="P666" i="5"/>
  <c r="N666" i="5"/>
  <c r="M666" i="5"/>
  <c r="L666" i="5"/>
  <c r="K666" i="5"/>
  <c r="J666" i="5"/>
  <c r="I666" i="5"/>
  <c r="F666" i="5"/>
  <c r="E666" i="5"/>
  <c r="P665" i="5"/>
  <c r="N665" i="5"/>
  <c r="M665" i="5"/>
  <c r="L665" i="5"/>
  <c r="K665" i="5"/>
  <c r="J665" i="5"/>
  <c r="I665" i="5"/>
  <c r="F665" i="5"/>
  <c r="E665" i="5"/>
  <c r="P664" i="5"/>
  <c r="N664" i="5"/>
  <c r="M664" i="5"/>
  <c r="L664" i="5"/>
  <c r="K664" i="5"/>
  <c r="J664" i="5"/>
  <c r="I664" i="5"/>
  <c r="F664" i="5"/>
  <c r="E664" i="5"/>
  <c r="P663" i="5"/>
  <c r="N663" i="5"/>
  <c r="M663" i="5"/>
  <c r="L663" i="5"/>
  <c r="K663" i="5"/>
  <c r="J663" i="5"/>
  <c r="I663" i="5"/>
  <c r="F663" i="5"/>
  <c r="E663" i="5"/>
  <c r="P662" i="5"/>
  <c r="N662" i="5"/>
  <c r="M662" i="5"/>
  <c r="L662" i="5"/>
  <c r="K662" i="5"/>
  <c r="J662" i="5"/>
  <c r="I662" i="5"/>
  <c r="F662" i="5"/>
  <c r="E662" i="5"/>
  <c r="P661" i="5"/>
  <c r="N661" i="5"/>
  <c r="M661" i="5"/>
  <c r="L661" i="5"/>
  <c r="K661" i="5"/>
  <c r="J661" i="5"/>
  <c r="I661" i="5"/>
  <c r="F661" i="5"/>
  <c r="E661" i="5"/>
  <c r="P660" i="5"/>
  <c r="N660" i="5"/>
  <c r="M660" i="5"/>
  <c r="L660" i="5"/>
  <c r="K660" i="5"/>
  <c r="J660" i="5"/>
  <c r="I660" i="5"/>
  <c r="F660" i="5"/>
  <c r="E660" i="5"/>
  <c r="P659" i="5"/>
  <c r="N659" i="5"/>
  <c r="M659" i="5"/>
  <c r="L659" i="5"/>
  <c r="K659" i="5"/>
  <c r="J659" i="5"/>
  <c r="I659" i="5"/>
  <c r="F659" i="5"/>
  <c r="E659" i="5"/>
  <c r="P658" i="5"/>
  <c r="N658" i="5"/>
  <c r="M658" i="5"/>
  <c r="L658" i="5"/>
  <c r="K658" i="5"/>
  <c r="J658" i="5"/>
  <c r="I658" i="5"/>
  <c r="F658" i="5"/>
  <c r="E658" i="5"/>
  <c r="P657" i="5"/>
  <c r="N657" i="5"/>
  <c r="M657" i="5"/>
  <c r="L657" i="5"/>
  <c r="K657" i="5"/>
  <c r="J657" i="5"/>
  <c r="I657" i="5"/>
  <c r="F657" i="5"/>
  <c r="E657" i="5"/>
  <c r="P656" i="5"/>
  <c r="N656" i="5"/>
  <c r="M656" i="5"/>
  <c r="L656" i="5"/>
  <c r="K656" i="5"/>
  <c r="J656" i="5"/>
  <c r="I656" i="5"/>
  <c r="F656" i="5"/>
  <c r="E656" i="5"/>
  <c r="P655" i="5"/>
  <c r="N655" i="5"/>
  <c r="M655" i="5"/>
  <c r="L655" i="5"/>
  <c r="K655" i="5"/>
  <c r="J655" i="5"/>
  <c r="I655" i="5"/>
  <c r="F655" i="5"/>
  <c r="E655" i="5"/>
  <c r="P654" i="5"/>
  <c r="N654" i="5"/>
  <c r="M654" i="5"/>
  <c r="L654" i="5"/>
  <c r="K654" i="5"/>
  <c r="J654" i="5"/>
  <c r="I654" i="5"/>
  <c r="F654" i="5"/>
  <c r="E654" i="5"/>
  <c r="P653" i="5"/>
  <c r="N653" i="5"/>
  <c r="M653" i="5"/>
  <c r="L653" i="5"/>
  <c r="K653" i="5"/>
  <c r="J653" i="5"/>
  <c r="I653" i="5"/>
  <c r="F653" i="5"/>
  <c r="E653" i="5"/>
  <c r="P652" i="5"/>
  <c r="N652" i="5"/>
  <c r="M652" i="5"/>
  <c r="L652" i="5"/>
  <c r="K652" i="5"/>
  <c r="J652" i="5"/>
  <c r="I652" i="5"/>
  <c r="F652" i="5"/>
  <c r="E652" i="5"/>
  <c r="P651" i="5"/>
  <c r="N651" i="5"/>
  <c r="M651" i="5"/>
  <c r="L651" i="5"/>
  <c r="K651" i="5"/>
  <c r="J651" i="5"/>
  <c r="I651" i="5"/>
  <c r="F651" i="5"/>
  <c r="E651" i="5"/>
  <c r="P650" i="5"/>
  <c r="N650" i="5"/>
  <c r="M650" i="5"/>
  <c r="L650" i="5"/>
  <c r="K650" i="5"/>
  <c r="J650" i="5"/>
  <c r="I650" i="5"/>
  <c r="F650" i="5"/>
  <c r="E650" i="5"/>
  <c r="P649" i="5"/>
  <c r="N649" i="5"/>
  <c r="M649" i="5"/>
  <c r="L649" i="5"/>
  <c r="K649" i="5"/>
  <c r="J649" i="5"/>
  <c r="I649" i="5"/>
  <c r="F649" i="5"/>
  <c r="E649" i="5"/>
  <c r="P648" i="5"/>
  <c r="N648" i="5"/>
  <c r="M648" i="5"/>
  <c r="L648" i="5"/>
  <c r="K648" i="5"/>
  <c r="J648" i="5"/>
  <c r="I648" i="5"/>
  <c r="F648" i="5"/>
  <c r="E648" i="5"/>
  <c r="P647" i="5"/>
  <c r="N647" i="5"/>
  <c r="M647" i="5"/>
  <c r="L647" i="5"/>
  <c r="K647" i="5"/>
  <c r="J647" i="5"/>
  <c r="I647" i="5"/>
  <c r="F647" i="5"/>
  <c r="E647" i="5"/>
  <c r="P646" i="5"/>
  <c r="N646" i="5"/>
  <c r="M646" i="5"/>
  <c r="L646" i="5"/>
  <c r="K646" i="5"/>
  <c r="J646" i="5"/>
  <c r="I646" i="5"/>
  <c r="F646" i="5"/>
  <c r="E646" i="5"/>
  <c r="P645" i="5"/>
  <c r="N645" i="5"/>
  <c r="M645" i="5"/>
  <c r="L645" i="5"/>
  <c r="K645" i="5"/>
  <c r="J645" i="5"/>
  <c r="I645" i="5"/>
  <c r="F645" i="5"/>
  <c r="E645" i="5"/>
  <c r="P644" i="5"/>
  <c r="N644" i="5"/>
  <c r="M644" i="5"/>
  <c r="L644" i="5"/>
  <c r="K644" i="5"/>
  <c r="J644" i="5"/>
  <c r="I644" i="5"/>
  <c r="F644" i="5"/>
  <c r="E644" i="5"/>
  <c r="P643" i="5"/>
  <c r="N643" i="5"/>
  <c r="M643" i="5"/>
  <c r="L643" i="5"/>
  <c r="K643" i="5"/>
  <c r="J643" i="5"/>
  <c r="I643" i="5"/>
  <c r="F643" i="5"/>
  <c r="E643" i="5"/>
  <c r="P642" i="5"/>
  <c r="N642" i="5"/>
  <c r="M642" i="5"/>
  <c r="L642" i="5"/>
  <c r="K642" i="5"/>
  <c r="J642" i="5"/>
  <c r="I642" i="5"/>
  <c r="F642" i="5"/>
  <c r="E642" i="5"/>
  <c r="P641" i="5"/>
  <c r="N641" i="5"/>
  <c r="M641" i="5"/>
  <c r="L641" i="5"/>
  <c r="K641" i="5"/>
  <c r="J641" i="5"/>
  <c r="I641" i="5"/>
  <c r="F641" i="5"/>
  <c r="E641" i="5"/>
  <c r="P640" i="5"/>
  <c r="N640" i="5"/>
  <c r="M640" i="5"/>
  <c r="L640" i="5"/>
  <c r="K640" i="5"/>
  <c r="J640" i="5"/>
  <c r="I640" i="5"/>
  <c r="F640" i="5"/>
  <c r="E640" i="5"/>
  <c r="P639" i="5"/>
  <c r="N639" i="5"/>
  <c r="M639" i="5"/>
  <c r="L639" i="5"/>
  <c r="K639" i="5"/>
  <c r="J639" i="5"/>
  <c r="I639" i="5"/>
  <c r="F639" i="5"/>
  <c r="E639" i="5"/>
  <c r="P638" i="5"/>
  <c r="N638" i="5"/>
  <c r="M638" i="5"/>
  <c r="L638" i="5"/>
  <c r="K638" i="5"/>
  <c r="J638" i="5"/>
  <c r="I638" i="5"/>
  <c r="F638" i="5"/>
  <c r="E638" i="5"/>
  <c r="P637" i="5"/>
  <c r="N637" i="5"/>
  <c r="M637" i="5"/>
  <c r="L637" i="5"/>
  <c r="K637" i="5"/>
  <c r="J637" i="5"/>
  <c r="I637" i="5"/>
  <c r="F637" i="5"/>
  <c r="E637" i="5"/>
  <c r="P636" i="5"/>
  <c r="N636" i="5"/>
  <c r="M636" i="5"/>
  <c r="L636" i="5"/>
  <c r="K636" i="5"/>
  <c r="J636" i="5"/>
  <c r="I636" i="5"/>
  <c r="F636" i="5"/>
  <c r="E636" i="5"/>
  <c r="P635" i="5"/>
  <c r="N635" i="5"/>
  <c r="M635" i="5"/>
  <c r="L635" i="5"/>
  <c r="K635" i="5"/>
  <c r="J635" i="5"/>
  <c r="I635" i="5"/>
  <c r="F635" i="5"/>
  <c r="E635" i="5"/>
  <c r="P634" i="5"/>
  <c r="N634" i="5"/>
  <c r="M634" i="5"/>
  <c r="L634" i="5"/>
  <c r="K634" i="5"/>
  <c r="J634" i="5"/>
  <c r="I634" i="5"/>
  <c r="F634" i="5"/>
  <c r="E634" i="5"/>
  <c r="P633" i="5"/>
  <c r="N633" i="5"/>
  <c r="M633" i="5"/>
  <c r="L633" i="5"/>
  <c r="K633" i="5"/>
  <c r="J633" i="5"/>
  <c r="I633" i="5"/>
  <c r="F633" i="5"/>
  <c r="E633" i="5"/>
  <c r="P632" i="5"/>
  <c r="N632" i="5"/>
  <c r="M632" i="5"/>
  <c r="L632" i="5"/>
  <c r="K632" i="5"/>
  <c r="J632" i="5"/>
  <c r="I632" i="5"/>
  <c r="F632" i="5"/>
  <c r="E632" i="5"/>
  <c r="P631" i="5"/>
  <c r="N631" i="5"/>
  <c r="M631" i="5"/>
  <c r="L631" i="5"/>
  <c r="K631" i="5"/>
  <c r="J631" i="5"/>
  <c r="I631" i="5"/>
  <c r="F631" i="5"/>
  <c r="E631" i="5"/>
  <c r="P630" i="5"/>
  <c r="N630" i="5"/>
  <c r="M630" i="5"/>
  <c r="L630" i="5"/>
  <c r="K630" i="5"/>
  <c r="J630" i="5"/>
  <c r="I630" i="5"/>
  <c r="F630" i="5"/>
  <c r="E630" i="5"/>
  <c r="P629" i="5"/>
  <c r="N629" i="5"/>
  <c r="M629" i="5"/>
  <c r="L629" i="5"/>
  <c r="K629" i="5"/>
  <c r="J629" i="5"/>
  <c r="I629" i="5"/>
  <c r="F629" i="5"/>
  <c r="E629" i="5"/>
  <c r="P628" i="5"/>
  <c r="N628" i="5"/>
  <c r="M628" i="5"/>
  <c r="L628" i="5"/>
  <c r="K628" i="5"/>
  <c r="J628" i="5"/>
  <c r="I628" i="5"/>
  <c r="F628" i="5"/>
  <c r="E628" i="5"/>
  <c r="P627" i="5"/>
  <c r="N627" i="5"/>
  <c r="M627" i="5"/>
  <c r="L627" i="5"/>
  <c r="K627" i="5"/>
  <c r="J627" i="5"/>
  <c r="I627" i="5"/>
  <c r="F627" i="5"/>
  <c r="E627" i="5"/>
  <c r="P626" i="5"/>
  <c r="N626" i="5"/>
  <c r="M626" i="5"/>
  <c r="L626" i="5"/>
  <c r="K626" i="5"/>
  <c r="J626" i="5"/>
  <c r="I626" i="5"/>
  <c r="F626" i="5"/>
  <c r="E626" i="5"/>
  <c r="P625" i="5"/>
  <c r="N625" i="5"/>
  <c r="M625" i="5"/>
  <c r="L625" i="5"/>
  <c r="K625" i="5"/>
  <c r="J625" i="5"/>
  <c r="I625" i="5"/>
  <c r="F625" i="5"/>
  <c r="E625" i="5"/>
  <c r="P624" i="5"/>
  <c r="N624" i="5"/>
  <c r="M624" i="5"/>
  <c r="L624" i="5"/>
  <c r="K624" i="5"/>
  <c r="J624" i="5"/>
  <c r="I624" i="5"/>
  <c r="F624" i="5"/>
  <c r="E624" i="5"/>
  <c r="P623" i="5"/>
  <c r="N623" i="5"/>
  <c r="M623" i="5"/>
  <c r="L623" i="5"/>
  <c r="K623" i="5"/>
  <c r="J623" i="5"/>
  <c r="I623" i="5"/>
  <c r="F623" i="5"/>
  <c r="E623" i="5"/>
  <c r="P622" i="5"/>
  <c r="N622" i="5"/>
  <c r="M622" i="5"/>
  <c r="L622" i="5"/>
  <c r="K622" i="5"/>
  <c r="J622" i="5"/>
  <c r="I622" i="5"/>
  <c r="F622" i="5"/>
  <c r="E622" i="5"/>
  <c r="P621" i="5"/>
  <c r="N621" i="5"/>
  <c r="M621" i="5"/>
  <c r="L621" i="5"/>
  <c r="K621" i="5"/>
  <c r="J621" i="5"/>
  <c r="I621" i="5"/>
  <c r="F621" i="5"/>
  <c r="E621" i="5"/>
  <c r="P620" i="5"/>
  <c r="N620" i="5"/>
  <c r="M620" i="5"/>
  <c r="L620" i="5"/>
  <c r="K620" i="5"/>
  <c r="J620" i="5"/>
  <c r="I620" i="5"/>
  <c r="F620" i="5"/>
  <c r="E620" i="5"/>
  <c r="P619" i="5"/>
  <c r="N619" i="5"/>
  <c r="M619" i="5"/>
  <c r="L619" i="5"/>
  <c r="K619" i="5"/>
  <c r="J619" i="5"/>
  <c r="I619" i="5"/>
  <c r="F619" i="5"/>
  <c r="E619" i="5"/>
  <c r="P618" i="5"/>
  <c r="N618" i="5"/>
  <c r="M618" i="5"/>
  <c r="L618" i="5"/>
  <c r="K618" i="5"/>
  <c r="J618" i="5"/>
  <c r="I618" i="5"/>
  <c r="F618" i="5"/>
  <c r="E618" i="5"/>
  <c r="P617" i="5"/>
  <c r="N617" i="5"/>
  <c r="M617" i="5"/>
  <c r="L617" i="5"/>
  <c r="K617" i="5"/>
  <c r="J617" i="5"/>
  <c r="I617" i="5"/>
  <c r="F617" i="5"/>
  <c r="E617" i="5"/>
  <c r="P616" i="5"/>
  <c r="N616" i="5"/>
  <c r="M616" i="5"/>
  <c r="L616" i="5"/>
  <c r="K616" i="5"/>
  <c r="J616" i="5"/>
  <c r="I616" i="5"/>
  <c r="F616" i="5"/>
  <c r="E616" i="5"/>
  <c r="P615" i="5"/>
  <c r="N615" i="5"/>
  <c r="M615" i="5"/>
  <c r="L615" i="5"/>
  <c r="K615" i="5"/>
  <c r="J615" i="5"/>
  <c r="I615" i="5"/>
  <c r="F615" i="5"/>
  <c r="E615" i="5"/>
  <c r="P614" i="5"/>
  <c r="N614" i="5"/>
  <c r="M614" i="5"/>
  <c r="L614" i="5"/>
  <c r="K614" i="5"/>
  <c r="J614" i="5"/>
  <c r="I614" i="5"/>
  <c r="F614" i="5"/>
  <c r="E614" i="5"/>
  <c r="P613" i="5"/>
  <c r="N613" i="5"/>
  <c r="M613" i="5"/>
  <c r="L613" i="5"/>
  <c r="K613" i="5"/>
  <c r="J613" i="5"/>
  <c r="I613" i="5"/>
  <c r="F613" i="5"/>
  <c r="E613" i="5"/>
  <c r="P612" i="5"/>
  <c r="N612" i="5"/>
  <c r="M612" i="5"/>
  <c r="L612" i="5"/>
  <c r="K612" i="5"/>
  <c r="J612" i="5"/>
  <c r="I612" i="5"/>
  <c r="F612" i="5"/>
  <c r="E612" i="5"/>
  <c r="P611" i="5"/>
  <c r="N611" i="5"/>
  <c r="M611" i="5"/>
  <c r="L611" i="5"/>
  <c r="K611" i="5"/>
  <c r="J611" i="5"/>
  <c r="I611" i="5"/>
  <c r="F611" i="5"/>
  <c r="E611" i="5"/>
  <c r="P610" i="5"/>
  <c r="N610" i="5"/>
  <c r="M610" i="5"/>
  <c r="L610" i="5"/>
  <c r="K610" i="5"/>
  <c r="J610" i="5"/>
  <c r="I610" i="5"/>
  <c r="F610" i="5"/>
  <c r="E610" i="5"/>
  <c r="P609" i="5"/>
  <c r="N609" i="5"/>
  <c r="M609" i="5"/>
  <c r="L609" i="5"/>
  <c r="K609" i="5"/>
  <c r="J609" i="5"/>
  <c r="I609" i="5"/>
  <c r="F609" i="5"/>
  <c r="E609" i="5"/>
  <c r="P608" i="5"/>
  <c r="N608" i="5"/>
  <c r="M608" i="5"/>
  <c r="L608" i="5"/>
  <c r="K608" i="5"/>
  <c r="J608" i="5"/>
  <c r="I608" i="5"/>
  <c r="F608" i="5"/>
  <c r="E608" i="5"/>
  <c r="P607" i="5"/>
  <c r="N607" i="5"/>
  <c r="M607" i="5"/>
  <c r="L607" i="5"/>
  <c r="K607" i="5"/>
  <c r="J607" i="5"/>
  <c r="I607" i="5"/>
  <c r="F607" i="5"/>
  <c r="E607" i="5"/>
  <c r="P606" i="5"/>
  <c r="N606" i="5"/>
  <c r="M606" i="5"/>
  <c r="L606" i="5"/>
  <c r="K606" i="5"/>
  <c r="J606" i="5"/>
  <c r="I606" i="5"/>
  <c r="F606" i="5"/>
  <c r="E606" i="5"/>
  <c r="P605" i="5"/>
  <c r="N605" i="5"/>
  <c r="M605" i="5"/>
  <c r="L605" i="5"/>
  <c r="K605" i="5"/>
  <c r="J605" i="5"/>
  <c r="I605" i="5"/>
  <c r="F605" i="5"/>
  <c r="E605" i="5"/>
  <c r="P604" i="5"/>
  <c r="N604" i="5"/>
  <c r="M604" i="5"/>
  <c r="L604" i="5"/>
  <c r="K604" i="5"/>
  <c r="J604" i="5"/>
  <c r="I604" i="5"/>
  <c r="F604" i="5"/>
  <c r="E604" i="5"/>
  <c r="P603" i="5"/>
  <c r="N603" i="5"/>
  <c r="M603" i="5"/>
  <c r="L603" i="5"/>
  <c r="K603" i="5"/>
  <c r="J603" i="5"/>
  <c r="I603" i="5"/>
  <c r="F603" i="5"/>
  <c r="E603" i="5"/>
  <c r="P602" i="5"/>
  <c r="N602" i="5"/>
  <c r="M602" i="5"/>
  <c r="L602" i="5"/>
  <c r="K602" i="5"/>
  <c r="J602" i="5"/>
  <c r="I602" i="5"/>
  <c r="F602" i="5"/>
  <c r="E602" i="5"/>
  <c r="P601" i="5"/>
  <c r="N601" i="5"/>
  <c r="M601" i="5"/>
  <c r="L601" i="5"/>
  <c r="K601" i="5"/>
  <c r="J601" i="5"/>
  <c r="I601" i="5"/>
  <c r="F601" i="5"/>
  <c r="E601" i="5"/>
  <c r="P600" i="5"/>
  <c r="N600" i="5"/>
  <c r="M600" i="5"/>
  <c r="L600" i="5"/>
  <c r="K600" i="5"/>
  <c r="J600" i="5"/>
  <c r="I600" i="5"/>
  <c r="F600" i="5"/>
  <c r="E600" i="5"/>
  <c r="P599" i="5"/>
  <c r="N599" i="5"/>
  <c r="M599" i="5"/>
  <c r="L599" i="5"/>
  <c r="K599" i="5"/>
  <c r="J599" i="5"/>
  <c r="I599" i="5"/>
  <c r="F599" i="5"/>
  <c r="E599" i="5"/>
  <c r="P598" i="5"/>
  <c r="N598" i="5"/>
  <c r="M598" i="5"/>
  <c r="L598" i="5"/>
  <c r="K598" i="5"/>
  <c r="J598" i="5"/>
  <c r="I598" i="5"/>
  <c r="F598" i="5"/>
  <c r="E598" i="5"/>
  <c r="P597" i="5"/>
  <c r="N597" i="5"/>
  <c r="M597" i="5"/>
  <c r="L597" i="5"/>
  <c r="K597" i="5"/>
  <c r="J597" i="5"/>
  <c r="I597" i="5"/>
  <c r="F597" i="5"/>
  <c r="E597" i="5"/>
  <c r="P596" i="5"/>
  <c r="N596" i="5"/>
  <c r="M596" i="5"/>
  <c r="L596" i="5"/>
  <c r="K596" i="5"/>
  <c r="J596" i="5"/>
  <c r="I596" i="5"/>
  <c r="F596" i="5"/>
  <c r="E596" i="5"/>
  <c r="P595" i="5"/>
  <c r="N595" i="5"/>
  <c r="M595" i="5"/>
  <c r="L595" i="5"/>
  <c r="K595" i="5"/>
  <c r="J595" i="5"/>
  <c r="I595" i="5"/>
  <c r="F595" i="5"/>
  <c r="E595" i="5"/>
  <c r="P594" i="5"/>
  <c r="N594" i="5"/>
  <c r="M594" i="5"/>
  <c r="L594" i="5"/>
  <c r="K594" i="5"/>
  <c r="J594" i="5"/>
  <c r="I594" i="5"/>
  <c r="F594" i="5"/>
  <c r="E594" i="5"/>
  <c r="P593" i="5"/>
  <c r="N593" i="5"/>
  <c r="M593" i="5"/>
  <c r="L593" i="5"/>
  <c r="K593" i="5"/>
  <c r="J593" i="5"/>
  <c r="I593" i="5"/>
  <c r="F593" i="5"/>
  <c r="E593" i="5"/>
  <c r="P592" i="5"/>
  <c r="N592" i="5"/>
  <c r="M592" i="5"/>
  <c r="L592" i="5"/>
  <c r="K592" i="5"/>
  <c r="J592" i="5"/>
  <c r="I592" i="5"/>
  <c r="F592" i="5"/>
  <c r="E592" i="5"/>
  <c r="P591" i="5"/>
  <c r="N591" i="5"/>
  <c r="M591" i="5"/>
  <c r="L591" i="5"/>
  <c r="K591" i="5"/>
  <c r="J591" i="5"/>
  <c r="I591" i="5"/>
  <c r="F591" i="5"/>
  <c r="E591" i="5"/>
  <c r="P590" i="5"/>
  <c r="N590" i="5"/>
  <c r="M590" i="5"/>
  <c r="L590" i="5"/>
  <c r="K590" i="5"/>
  <c r="J590" i="5"/>
  <c r="I590" i="5"/>
  <c r="F590" i="5"/>
  <c r="E590" i="5"/>
  <c r="P589" i="5"/>
  <c r="N589" i="5"/>
  <c r="M589" i="5"/>
  <c r="L589" i="5"/>
  <c r="K589" i="5"/>
  <c r="J589" i="5"/>
  <c r="I589" i="5"/>
  <c r="F589" i="5"/>
  <c r="E589" i="5"/>
  <c r="P588" i="5"/>
  <c r="N588" i="5"/>
  <c r="M588" i="5"/>
  <c r="L588" i="5"/>
  <c r="K588" i="5"/>
  <c r="J588" i="5"/>
  <c r="I588" i="5"/>
  <c r="F588" i="5"/>
  <c r="E588" i="5"/>
  <c r="P587" i="5"/>
  <c r="N587" i="5"/>
  <c r="M587" i="5"/>
  <c r="L587" i="5"/>
  <c r="K587" i="5"/>
  <c r="J587" i="5"/>
  <c r="I587" i="5"/>
  <c r="F587" i="5"/>
  <c r="E587" i="5"/>
  <c r="P586" i="5"/>
  <c r="N586" i="5"/>
  <c r="M586" i="5"/>
  <c r="L586" i="5"/>
  <c r="K586" i="5"/>
  <c r="J586" i="5"/>
  <c r="I586" i="5"/>
  <c r="F586" i="5"/>
  <c r="E586" i="5"/>
  <c r="P585" i="5"/>
  <c r="N585" i="5"/>
  <c r="M585" i="5"/>
  <c r="L585" i="5"/>
  <c r="K585" i="5"/>
  <c r="J585" i="5"/>
  <c r="I585" i="5"/>
  <c r="F585" i="5"/>
  <c r="E585" i="5"/>
  <c r="P584" i="5"/>
  <c r="N584" i="5"/>
  <c r="M584" i="5"/>
  <c r="L584" i="5"/>
  <c r="K584" i="5"/>
  <c r="J584" i="5"/>
  <c r="I584" i="5"/>
  <c r="F584" i="5"/>
  <c r="E584" i="5"/>
  <c r="P583" i="5"/>
  <c r="N583" i="5"/>
  <c r="M583" i="5"/>
  <c r="L583" i="5"/>
  <c r="K583" i="5"/>
  <c r="J583" i="5"/>
  <c r="I583" i="5"/>
  <c r="F583" i="5"/>
  <c r="E583" i="5"/>
  <c r="P582" i="5"/>
  <c r="N582" i="5"/>
  <c r="M582" i="5"/>
  <c r="L582" i="5"/>
  <c r="K582" i="5"/>
  <c r="J582" i="5"/>
  <c r="I582" i="5"/>
  <c r="F582" i="5"/>
  <c r="E582" i="5"/>
  <c r="P581" i="5"/>
  <c r="N581" i="5"/>
  <c r="M581" i="5"/>
  <c r="L581" i="5"/>
  <c r="K581" i="5"/>
  <c r="J581" i="5"/>
  <c r="I581" i="5"/>
  <c r="F581" i="5"/>
  <c r="E581" i="5"/>
  <c r="P580" i="5"/>
  <c r="N580" i="5"/>
  <c r="M580" i="5"/>
  <c r="L580" i="5"/>
  <c r="K580" i="5"/>
  <c r="J580" i="5"/>
  <c r="I580" i="5"/>
  <c r="F580" i="5"/>
  <c r="E580" i="5"/>
  <c r="P579" i="5"/>
  <c r="N579" i="5"/>
  <c r="M579" i="5"/>
  <c r="L579" i="5"/>
  <c r="K579" i="5"/>
  <c r="J579" i="5"/>
  <c r="I579" i="5"/>
  <c r="F579" i="5"/>
  <c r="E579" i="5"/>
  <c r="P578" i="5"/>
  <c r="N578" i="5"/>
  <c r="M578" i="5"/>
  <c r="L578" i="5"/>
  <c r="K578" i="5"/>
  <c r="J578" i="5"/>
  <c r="I578" i="5"/>
  <c r="F578" i="5"/>
  <c r="E578" i="5"/>
  <c r="P577" i="5"/>
  <c r="N577" i="5"/>
  <c r="M577" i="5"/>
  <c r="L577" i="5"/>
  <c r="K577" i="5"/>
  <c r="J577" i="5"/>
  <c r="I577" i="5"/>
  <c r="F577" i="5"/>
  <c r="E577" i="5"/>
  <c r="P576" i="5"/>
  <c r="N576" i="5"/>
  <c r="M576" i="5"/>
  <c r="L576" i="5"/>
  <c r="K576" i="5"/>
  <c r="J576" i="5"/>
  <c r="I576" i="5"/>
  <c r="F576" i="5"/>
  <c r="E576" i="5"/>
  <c r="P575" i="5"/>
  <c r="N575" i="5"/>
  <c r="M575" i="5"/>
  <c r="L575" i="5"/>
  <c r="K575" i="5"/>
  <c r="J575" i="5"/>
  <c r="I575" i="5"/>
  <c r="F575" i="5"/>
  <c r="E575" i="5"/>
  <c r="P574" i="5"/>
  <c r="N574" i="5"/>
  <c r="M574" i="5"/>
  <c r="L574" i="5"/>
  <c r="K574" i="5"/>
  <c r="J574" i="5"/>
  <c r="I574" i="5"/>
  <c r="F574" i="5"/>
  <c r="E574" i="5"/>
  <c r="P573" i="5"/>
  <c r="N573" i="5"/>
  <c r="M573" i="5"/>
  <c r="L573" i="5"/>
  <c r="K573" i="5"/>
  <c r="J573" i="5"/>
  <c r="I573" i="5"/>
  <c r="F573" i="5"/>
  <c r="E573" i="5"/>
  <c r="P572" i="5"/>
  <c r="N572" i="5"/>
  <c r="M572" i="5"/>
  <c r="L572" i="5"/>
  <c r="K572" i="5"/>
  <c r="J572" i="5"/>
  <c r="I572" i="5"/>
  <c r="F572" i="5"/>
  <c r="E572" i="5"/>
  <c r="P571" i="5"/>
  <c r="N571" i="5"/>
  <c r="M571" i="5"/>
  <c r="L571" i="5"/>
  <c r="K571" i="5"/>
  <c r="J571" i="5"/>
  <c r="I571" i="5"/>
  <c r="F571" i="5"/>
  <c r="E571" i="5"/>
  <c r="P570" i="5"/>
  <c r="N570" i="5"/>
  <c r="M570" i="5"/>
  <c r="L570" i="5"/>
  <c r="K570" i="5"/>
  <c r="J570" i="5"/>
  <c r="I570" i="5"/>
  <c r="F570" i="5"/>
  <c r="E570" i="5"/>
  <c r="P569" i="5"/>
  <c r="N569" i="5"/>
  <c r="M569" i="5"/>
  <c r="L569" i="5"/>
  <c r="K569" i="5"/>
  <c r="J569" i="5"/>
  <c r="I569" i="5"/>
  <c r="F569" i="5"/>
  <c r="E569" i="5"/>
  <c r="P568" i="5"/>
  <c r="N568" i="5"/>
  <c r="M568" i="5"/>
  <c r="L568" i="5"/>
  <c r="K568" i="5"/>
  <c r="J568" i="5"/>
  <c r="I568" i="5"/>
  <c r="F568" i="5"/>
  <c r="E568" i="5"/>
  <c r="P567" i="5"/>
  <c r="N567" i="5"/>
  <c r="M567" i="5"/>
  <c r="L567" i="5"/>
  <c r="K567" i="5"/>
  <c r="J567" i="5"/>
  <c r="I567" i="5"/>
  <c r="F567" i="5"/>
  <c r="E567" i="5"/>
  <c r="P566" i="5"/>
  <c r="N566" i="5"/>
  <c r="M566" i="5"/>
  <c r="L566" i="5"/>
  <c r="K566" i="5"/>
  <c r="J566" i="5"/>
  <c r="I566" i="5"/>
  <c r="F566" i="5"/>
  <c r="E566" i="5"/>
  <c r="P565" i="5"/>
  <c r="N565" i="5"/>
  <c r="M565" i="5"/>
  <c r="L565" i="5"/>
  <c r="K565" i="5"/>
  <c r="J565" i="5"/>
  <c r="I565" i="5"/>
  <c r="F565" i="5"/>
  <c r="E565" i="5"/>
  <c r="P564" i="5"/>
  <c r="N564" i="5"/>
  <c r="M564" i="5"/>
  <c r="L564" i="5"/>
  <c r="K564" i="5"/>
  <c r="J564" i="5"/>
  <c r="I564" i="5"/>
  <c r="F564" i="5"/>
  <c r="E564" i="5"/>
  <c r="P563" i="5"/>
  <c r="N563" i="5"/>
  <c r="M563" i="5"/>
  <c r="L563" i="5"/>
  <c r="K563" i="5"/>
  <c r="J563" i="5"/>
  <c r="I563" i="5"/>
  <c r="F563" i="5"/>
  <c r="E563" i="5"/>
  <c r="P562" i="5"/>
  <c r="N562" i="5"/>
  <c r="M562" i="5"/>
  <c r="L562" i="5"/>
  <c r="K562" i="5"/>
  <c r="J562" i="5"/>
  <c r="I562" i="5"/>
  <c r="F562" i="5"/>
  <c r="E562" i="5"/>
  <c r="P561" i="5"/>
  <c r="N561" i="5"/>
  <c r="M561" i="5"/>
  <c r="L561" i="5"/>
  <c r="K561" i="5"/>
  <c r="J561" i="5"/>
  <c r="I561" i="5"/>
  <c r="F561" i="5"/>
  <c r="E561" i="5"/>
  <c r="P560" i="5"/>
  <c r="N560" i="5"/>
  <c r="M560" i="5"/>
  <c r="L560" i="5"/>
  <c r="K560" i="5"/>
  <c r="J560" i="5"/>
  <c r="I560" i="5"/>
  <c r="F560" i="5"/>
  <c r="E560" i="5"/>
  <c r="P559" i="5"/>
  <c r="N559" i="5"/>
  <c r="M559" i="5"/>
  <c r="L559" i="5"/>
  <c r="K559" i="5"/>
  <c r="J559" i="5"/>
  <c r="I559" i="5"/>
  <c r="F559" i="5"/>
  <c r="E559" i="5"/>
  <c r="P558" i="5"/>
  <c r="N558" i="5"/>
  <c r="M558" i="5"/>
  <c r="L558" i="5"/>
  <c r="K558" i="5"/>
  <c r="J558" i="5"/>
  <c r="I558" i="5"/>
  <c r="F558" i="5"/>
  <c r="E558" i="5"/>
  <c r="P557" i="5"/>
  <c r="N557" i="5"/>
  <c r="M557" i="5"/>
  <c r="L557" i="5"/>
  <c r="K557" i="5"/>
  <c r="J557" i="5"/>
  <c r="I557" i="5"/>
  <c r="F557" i="5"/>
  <c r="E557" i="5"/>
  <c r="P556" i="5"/>
  <c r="N556" i="5"/>
  <c r="M556" i="5"/>
  <c r="L556" i="5"/>
  <c r="K556" i="5"/>
  <c r="J556" i="5"/>
  <c r="I556" i="5"/>
  <c r="F556" i="5"/>
  <c r="E556" i="5"/>
  <c r="P555" i="5"/>
  <c r="N555" i="5"/>
  <c r="M555" i="5"/>
  <c r="L555" i="5"/>
  <c r="K555" i="5"/>
  <c r="J555" i="5"/>
  <c r="I555" i="5"/>
  <c r="F555" i="5"/>
  <c r="E555" i="5"/>
  <c r="P554" i="5"/>
  <c r="N554" i="5"/>
  <c r="M554" i="5"/>
  <c r="L554" i="5"/>
  <c r="K554" i="5"/>
  <c r="J554" i="5"/>
  <c r="I554" i="5"/>
  <c r="F554" i="5"/>
  <c r="E554" i="5"/>
  <c r="P553" i="5"/>
  <c r="N553" i="5"/>
  <c r="M553" i="5"/>
  <c r="L553" i="5"/>
  <c r="K553" i="5"/>
  <c r="J553" i="5"/>
  <c r="I553" i="5"/>
  <c r="F553" i="5"/>
  <c r="E553" i="5"/>
  <c r="P552" i="5"/>
  <c r="N552" i="5"/>
  <c r="M552" i="5"/>
  <c r="L552" i="5"/>
  <c r="K552" i="5"/>
  <c r="J552" i="5"/>
  <c r="I552" i="5"/>
  <c r="F552" i="5"/>
  <c r="E552" i="5"/>
  <c r="P551" i="5"/>
  <c r="N551" i="5"/>
  <c r="M551" i="5"/>
  <c r="L551" i="5"/>
  <c r="K551" i="5"/>
  <c r="J551" i="5"/>
  <c r="I551" i="5"/>
  <c r="F551" i="5"/>
  <c r="E551" i="5"/>
  <c r="P550" i="5"/>
  <c r="N550" i="5"/>
  <c r="M550" i="5"/>
  <c r="L550" i="5"/>
  <c r="K550" i="5"/>
  <c r="J550" i="5"/>
  <c r="I550" i="5"/>
  <c r="F550" i="5"/>
  <c r="E550" i="5"/>
  <c r="P549" i="5"/>
  <c r="N549" i="5"/>
  <c r="M549" i="5"/>
  <c r="L549" i="5"/>
  <c r="K549" i="5"/>
  <c r="J549" i="5"/>
  <c r="I549" i="5"/>
  <c r="F549" i="5"/>
  <c r="E549" i="5"/>
  <c r="P548" i="5"/>
  <c r="N548" i="5"/>
  <c r="M548" i="5"/>
  <c r="L548" i="5"/>
  <c r="K548" i="5"/>
  <c r="J548" i="5"/>
  <c r="I548" i="5"/>
  <c r="F548" i="5"/>
  <c r="E548" i="5"/>
  <c r="P547" i="5"/>
  <c r="N547" i="5"/>
  <c r="M547" i="5"/>
  <c r="L547" i="5"/>
  <c r="K547" i="5"/>
  <c r="J547" i="5"/>
  <c r="I547" i="5"/>
  <c r="F547" i="5"/>
  <c r="E547" i="5"/>
  <c r="P546" i="5"/>
  <c r="N546" i="5"/>
  <c r="M546" i="5"/>
  <c r="L546" i="5"/>
  <c r="K546" i="5"/>
  <c r="J546" i="5"/>
  <c r="I546" i="5"/>
  <c r="F546" i="5"/>
  <c r="E546" i="5"/>
  <c r="P545" i="5"/>
  <c r="N545" i="5"/>
  <c r="M545" i="5"/>
  <c r="L545" i="5"/>
  <c r="K545" i="5"/>
  <c r="J545" i="5"/>
  <c r="I545" i="5"/>
  <c r="F545" i="5"/>
  <c r="E545" i="5"/>
  <c r="P544" i="5"/>
  <c r="N544" i="5"/>
  <c r="M544" i="5"/>
  <c r="L544" i="5"/>
  <c r="K544" i="5"/>
  <c r="J544" i="5"/>
  <c r="I544" i="5"/>
  <c r="F544" i="5"/>
  <c r="E544" i="5"/>
  <c r="P543" i="5"/>
  <c r="N543" i="5"/>
  <c r="M543" i="5"/>
  <c r="L543" i="5"/>
  <c r="K543" i="5"/>
  <c r="J543" i="5"/>
  <c r="I543" i="5"/>
  <c r="F543" i="5"/>
  <c r="E543" i="5"/>
  <c r="P542" i="5"/>
  <c r="N542" i="5"/>
  <c r="M542" i="5"/>
  <c r="L542" i="5"/>
  <c r="K542" i="5"/>
  <c r="J542" i="5"/>
  <c r="I542" i="5"/>
  <c r="F542" i="5"/>
  <c r="E542" i="5"/>
  <c r="P541" i="5"/>
  <c r="N541" i="5"/>
  <c r="M541" i="5"/>
  <c r="L541" i="5"/>
  <c r="K541" i="5"/>
  <c r="J541" i="5"/>
  <c r="I541" i="5"/>
  <c r="F541" i="5"/>
  <c r="E541" i="5"/>
  <c r="P540" i="5"/>
  <c r="N540" i="5"/>
  <c r="M540" i="5"/>
  <c r="L540" i="5"/>
  <c r="K540" i="5"/>
  <c r="J540" i="5"/>
  <c r="I540" i="5"/>
  <c r="F540" i="5"/>
  <c r="E540" i="5"/>
  <c r="P539" i="5"/>
  <c r="N539" i="5"/>
  <c r="M539" i="5"/>
  <c r="L539" i="5"/>
  <c r="K539" i="5"/>
  <c r="J539" i="5"/>
  <c r="I539" i="5"/>
  <c r="F539" i="5"/>
  <c r="E539" i="5"/>
  <c r="P538" i="5"/>
  <c r="N538" i="5"/>
  <c r="M538" i="5"/>
  <c r="L538" i="5"/>
  <c r="K538" i="5"/>
  <c r="J538" i="5"/>
  <c r="I538" i="5"/>
  <c r="F538" i="5"/>
  <c r="E538" i="5"/>
  <c r="P537" i="5"/>
  <c r="N537" i="5"/>
  <c r="M537" i="5"/>
  <c r="L537" i="5"/>
  <c r="K537" i="5"/>
  <c r="J537" i="5"/>
  <c r="I537" i="5"/>
  <c r="F537" i="5"/>
  <c r="E537" i="5"/>
  <c r="P536" i="5"/>
  <c r="N536" i="5"/>
  <c r="M536" i="5"/>
  <c r="L536" i="5"/>
  <c r="K536" i="5"/>
  <c r="J536" i="5"/>
  <c r="I536" i="5"/>
  <c r="F536" i="5"/>
  <c r="E536" i="5"/>
  <c r="P535" i="5"/>
  <c r="N535" i="5"/>
  <c r="M535" i="5"/>
  <c r="L535" i="5"/>
  <c r="K535" i="5"/>
  <c r="J535" i="5"/>
  <c r="I535" i="5"/>
  <c r="F535" i="5"/>
  <c r="E535" i="5"/>
  <c r="P534" i="5"/>
  <c r="N534" i="5"/>
  <c r="M534" i="5"/>
  <c r="L534" i="5"/>
  <c r="K534" i="5"/>
  <c r="J534" i="5"/>
  <c r="I534" i="5"/>
  <c r="F534" i="5"/>
  <c r="E534" i="5"/>
  <c r="P533" i="5"/>
  <c r="N533" i="5"/>
  <c r="M533" i="5"/>
  <c r="L533" i="5"/>
  <c r="K533" i="5"/>
  <c r="J533" i="5"/>
  <c r="I533" i="5"/>
  <c r="F533" i="5"/>
  <c r="E533" i="5"/>
  <c r="P532" i="5"/>
  <c r="N532" i="5"/>
  <c r="M532" i="5"/>
  <c r="L532" i="5"/>
  <c r="K532" i="5"/>
  <c r="J532" i="5"/>
  <c r="I532" i="5"/>
  <c r="F532" i="5"/>
  <c r="E532" i="5"/>
  <c r="P531" i="5"/>
  <c r="N531" i="5"/>
  <c r="M531" i="5"/>
  <c r="L531" i="5"/>
  <c r="K531" i="5"/>
  <c r="J531" i="5"/>
  <c r="I531" i="5"/>
  <c r="F531" i="5"/>
  <c r="E531" i="5"/>
  <c r="P530" i="5"/>
  <c r="N530" i="5"/>
  <c r="M530" i="5"/>
  <c r="L530" i="5"/>
  <c r="K530" i="5"/>
  <c r="J530" i="5"/>
  <c r="I530" i="5"/>
  <c r="F530" i="5"/>
  <c r="E530" i="5"/>
  <c r="P529" i="5"/>
  <c r="N529" i="5"/>
  <c r="M529" i="5"/>
  <c r="L529" i="5"/>
  <c r="K529" i="5"/>
  <c r="J529" i="5"/>
  <c r="I529" i="5"/>
  <c r="F529" i="5"/>
  <c r="E529" i="5"/>
  <c r="P528" i="5"/>
  <c r="N528" i="5"/>
  <c r="M528" i="5"/>
  <c r="L528" i="5"/>
  <c r="K528" i="5"/>
  <c r="J528" i="5"/>
  <c r="I528" i="5"/>
  <c r="F528" i="5"/>
  <c r="E528" i="5"/>
  <c r="P527" i="5"/>
  <c r="N527" i="5"/>
  <c r="M527" i="5"/>
  <c r="L527" i="5"/>
  <c r="K527" i="5"/>
  <c r="J527" i="5"/>
  <c r="I527" i="5"/>
  <c r="F527" i="5"/>
  <c r="E527" i="5"/>
  <c r="P526" i="5"/>
  <c r="N526" i="5"/>
  <c r="M526" i="5"/>
  <c r="L526" i="5"/>
  <c r="K526" i="5"/>
  <c r="J526" i="5"/>
  <c r="I526" i="5"/>
  <c r="F526" i="5"/>
  <c r="E526" i="5"/>
  <c r="P525" i="5"/>
  <c r="N525" i="5"/>
  <c r="M525" i="5"/>
  <c r="L525" i="5"/>
  <c r="K525" i="5"/>
  <c r="J525" i="5"/>
  <c r="I525" i="5"/>
  <c r="F525" i="5"/>
  <c r="E525" i="5"/>
  <c r="P524" i="5"/>
  <c r="N524" i="5"/>
  <c r="M524" i="5"/>
  <c r="L524" i="5"/>
  <c r="K524" i="5"/>
  <c r="J524" i="5"/>
  <c r="I524" i="5"/>
  <c r="F524" i="5"/>
  <c r="E524" i="5"/>
  <c r="P523" i="5"/>
  <c r="N523" i="5"/>
  <c r="M523" i="5"/>
  <c r="L523" i="5"/>
  <c r="K523" i="5"/>
  <c r="J523" i="5"/>
  <c r="I523" i="5"/>
  <c r="F523" i="5"/>
  <c r="E523" i="5"/>
  <c r="P522" i="5"/>
  <c r="N522" i="5"/>
  <c r="M522" i="5"/>
  <c r="L522" i="5"/>
  <c r="K522" i="5"/>
  <c r="J522" i="5"/>
  <c r="I522" i="5"/>
  <c r="F522" i="5"/>
  <c r="E522" i="5"/>
  <c r="P521" i="5"/>
  <c r="N521" i="5"/>
  <c r="M521" i="5"/>
  <c r="L521" i="5"/>
  <c r="K521" i="5"/>
  <c r="J521" i="5"/>
  <c r="I521" i="5"/>
  <c r="F521" i="5"/>
  <c r="E521" i="5"/>
  <c r="P520" i="5"/>
  <c r="N520" i="5"/>
  <c r="M520" i="5"/>
  <c r="L520" i="5"/>
  <c r="K520" i="5"/>
  <c r="J520" i="5"/>
  <c r="I520" i="5"/>
  <c r="F520" i="5"/>
  <c r="E520" i="5"/>
  <c r="P519" i="5"/>
  <c r="N519" i="5"/>
  <c r="M519" i="5"/>
  <c r="L519" i="5"/>
  <c r="K519" i="5"/>
  <c r="J519" i="5"/>
  <c r="I519" i="5"/>
  <c r="F519" i="5"/>
  <c r="E519" i="5"/>
  <c r="P518" i="5"/>
  <c r="N518" i="5"/>
  <c r="M518" i="5"/>
  <c r="L518" i="5"/>
  <c r="K518" i="5"/>
  <c r="J518" i="5"/>
  <c r="I518" i="5"/>
  <c r="F518" i="5"/>
  <c r="E518" i="5"/>
  <c r="P517" i="5"/>
  <c r="N517" i="5"/>
  <c r="M517" i="5"/>
  <c r="L517" i="5"/>
  <c r="K517" i="5"/>
  <c r="J517" i="5"/>
  <c r="I517" i="5"/>
  <c r="F517" i="5"/>
  <c r="E517" i="5"/>
  <c r="P516" i="5"/>
  <c r="N516" i="5"/>
  <c r="M516" i="5"/>
  <c r="L516" i="5"/>
  <c r="K516" i="5"/>
  <c r="J516" i="5"/>
  <c r="I516" i="5"/>
  <c r="F516" i="5"/>
  <c r="E516" i="5"/>
  <c r="P515" i="5"/>
  <c r="N515" i="5"/>
  <c r="M515" i="5"/>
  <c r="L515" i="5"/>
  <c r="K515" i="5"/>
  <c r="J515" i="5"/>
  <c r="I515" i="5"/>
  <c r="F515" i="5"/>
  <c r="E515" i="5"/>
  <c r="P514" i="5"/>
  <c r="N514" i="5"/>
  <c r="M514" i="5"/>
  <c r="L514" i="5"/>
  <c r="K514" i="5"/>
  <c r="J514" i="5"/>
  <c r="I514" i="5"/>
  <c r="F514" i="5"/>
  <c r="E514" i="5"/>
  <c r="P513" i="5"/>
  <c r="N513" i="5"/>
  <c r="M513" i="5"/>
  <c r="L513" i="5"/>
  <c r="K513" i="5"/>
  <c r="J513" i="5"/>
  <c r="I513" i="5"/>
  <c r="F513" i="5"/>
  <c r="E513" i="5"/>
  <c r="P512" i="5"/>
  <c r="N512" i="5"/>
  <c r="M512" i="5"/>
  <c r="L512" i="5"/>
  <c r="K512" i="5"/>
  <c r="J512" i="5"/>
  <c r="I512" i="5"/>
  <c r="F512" i="5"/>
  <c r="E512" i="5"/>
  <c r="P511" i="5"/>
  <c r="N511" i="5"/>
  <c r="M511" i="5"/>
  <c r="L511" i="5"/>
  <c r="K511" i="5"/>
  <c r="J511" i="5"/>
  <c r="I511" i="5"/>
  <c r="F511" i="5"/>
  <c r="E511" i="5"/>
  <c r="P510" i="5"/>
  <c r="N510" i="5"/>
  <c r="M510" i="5"/>
  <c r="L510" i="5"/>
  <c r="K510" i="5"/>
  <c r="J510" i="5"/>
  <c r="I510" i="5"/>
  <c r="F510" i="5"/>
  <c r="E510" i="5"/>
  <c r="P509" i="5"/>
  <c r="N509" i="5"/>
  <c r="M509" i="5"/>
  <c r="L509" i="5"/>
  <c r="K509" i="5"/>
  <c r="J509" i="5"/>
  <c r="I509" i="5"/>
  <c r="F509" i="5"/>
  <c r="E509" i="5"/>
  <c r="P508" i="5"/>
  <c r="N508" i="5"/>
  <c r="M508" i="5"/>
  <c r="L508" i="5"/>
  <c r="K508" i="5"/>
  <c r="J508" i="5"/>
  <c r="I508" i="5"/>
  <c r="F508" i="5"/>
  <c r="E508" i="5"/>
  <c r="P507" i="5"/>
  <c r="N507" i="5"/>
  <c r="M507" i="5"/>
  <c r="L507" i="5"/>
  <c r="K507" i="5"/>
  <c r="J507" i="5"/>
  <c r="I507" i="5"/>
  <c r="F507" i="5"/>
  <c r="E507" i="5"/>
  <c r="P506" i="5"/>
  <c r="N506" i="5"/>
  <c r="M506" i="5"/>
  <c r="L506" i="5"/>
  <c r="K506" i="5"/>
  <c r="J506" i="5"/>
  <c r="I506" i="5"/>
  <c r="F506" i="5"/>
  <c r="E506" i="5"/>
  <c r="P505" i="5"/>
  <c r="N505" i="5"/>
  <c r="M505" i="5"/>
  <c r="L505" i="5"/>
  <c r="K505" i="5"/>
  <c r="J505" i="5"/>
  <c r="I505" i="5"/>
  <c r="F505" i="5"/>
  <c r="E505" i="5"/>
  <c r="P504" i="5"/>
  <c r="N504" i="5"/>
  <c r="M504" i="5"/>
  <c r="L504" i="5"/>
  <c r="K504" i="5"/>
  <c r="J504" i="5"/>
  <c r="I504" i="5"/>
  <c r="F504" i="5"/>
  <c r="E504" i="5"/>
  <c r="P503" i="5"/>
  <c r="N503" i="5"/>
  <c r="M503" i="5"/>
  <c r="L503" i="5"/>
  <c r="K503" i="5"/>
  <c r="J503" i="5"/>
  <c r="I503" i="5"/>
  <c r="F503" i="5"/>
  <c r="E503" i="5"/>
  <c r="P502" i="5"/>
  <c r="N502" i="5"/>
  <c r="M502" i="5"/>
  <c r="L502" i="5"/>
  <c r="K502" i="5"/>
  <c r="J502" i="5"/>
  <c r="I502" i="5"/>
  <c r="F502" i="5"/>
  <c r="E502" i="5"/>
  <c r="P501" i="5"/>
  <c r="N501" i="5"/>
  <c r="M501" i="5"/>
  <c r="L501" i="5"/>
  <c r="K501" i="5"/>
  <c r="J501" i="5"/>
  <c r="I501" i="5"/>
  <c r="F501" i="5"/>
  <c r="E501" i="5"/>
  <c r="P500" i="5"/>
  <c r="N500" i="5"/>
  <c r="M500" i="5"/>
  <c r="L500" i="5"/>
  <c r="K500" i="5"/>
  <c r="J500" i="5"/>
  <c r="I500" i="5"/>
  <c r="F500" i="5"/>
  <c r="E500" i="5"/>
  <c r="P499" i="5"/>
  <c r="N499" i="5"/>
  <c r="M499" i="5"/>
  <c r="L499" i="5"/>
  <c r="K499" i="5"/>
  <c r="J499" i="5"/>
  <c r="I499" i="5"/>
  <c r="F499" i="5"/>
  <c r="E499" i="5"/>
  <c r="P498" i="5"/>
  <c r="N498" i="5"/>
  <c r="M498" i="5"/>
  <c r="L498" i="5"/>
  <c r="K498" i="5"/>
  <c r="J498" i="5"/>
  <c r="I498" i="5"/>
  <c r="F498" i="5"/>
  <c r="E498" i="5"/>
  <c r="P497" i="5"/>
  <c r="N497" i="5"/>
  <c r="M497" i="5"/>
  <c r="L497" i="5"/>
  <c r="K497" i="5"/>
  <c r="J497" i="5"/>
  <c r="I497" i="5"/>
  <c r="F497" i="5"/>
  <c r="E497" i="5"/>
  <c r="P496" i="5"/>
  <c r="N496" i="5"/>
  <c r="M496" i="5"/>
  <c r="L496" i="5"/>
  <c r="K496" i="5"/>
  <c r="J496" i="5"/>
  <c r="I496" i="5"/>
  <c r="F496" i="5"/>
  <c r="E496" i="5"/>
  <c r="P495" i="5"/>
  <c r="N495" i="5"/>
  <c r="M495" i="5"/>
  <c r="L495" i="5"/>
  <c r="K495" i="5"/>
  <c r="J495" i="5"/>
  <c r="I495" i="5"/>
  <c r="F495" i="5"/>
  <c r="E495" i="5"/>
  <c r="P494" i="5"/>
  <c r="N494" i="5"/>
  <c r="M494" i="5"/>
  <c r="L494" i="5"/>
  <c r="K494" i="5"/>
  <c r="J494" i="5"/>
  <c r="I494" i="5"/>
  <c r="F494" i="5"/>
  <c r="E494" i="5"/>
  <c r="P493" i="5"/>
  <c r="N493" i="5"/>
  <c r="M493" i="5"/>
  <c r="L493" i="5"/>
  <c r="K493" i="5"/>
  <c r="J493" i="5"/>
  <c r="I493" i="5"/>
  <c r="F493" i="5"/>
  <c r="E493" i="5"/>
  <c r="P492" i="5"/>
  <c r="N492" i="5"/>
  <c r="M492" i="5"/>
  <c r="L492" i="5"/>
  <c r="K492" i="5"/>
  <c r="J492" i="5"/>
  <c r="I492" i="5"/>
  <c r="F492" i="5"/>
  <c r="E492" i="5"/>
  <c r="P491" i="5"/>
  <c r="N491" i="5"/>
  <c r="M491" i="5"/>
  <c r="L491" i="5"/>
  <c r="K491" i="5"/>
  <c r="J491" i="5"/>
  <c r="I491" i="5"/>
  <c r="F491" i="5"/>
  <c r="E491" i="5"/>
  <c r="P490" i="5"/>
  <c r="N490" i="5"/>
  <c r="M490" i="5"/>
  <c r="L490" i="5"/>
  <c r="K490" i="5"/>
  <c r="J490" i="5"/>
  <c r="I490" i="5"/>
  <c r="F490" i="5"/>
  <c r="E490" i="5"/>
  <c r="P489" i="5"/>
  <c r="N489" i="5"/>
  <c r="M489" i="5"/>
  <c r="L489" i="5"/>
  <c r="K489" i="5"/>
  <c r="J489" i="5"/>
  <c r="I489" i="5"/>
  <c r="F489" i="5"/>
  <c r="E489" i="5"/>
  <c r="P488" i="5"/>
  <c r="N488" i="5"/>
  <c r="M488" i="5"/>
  <c r="L488" i="5"/>
  <c r="K488" i="5"/>
  <c r="J488" i="5"/>
  <c r="I488" i="5"/>
  <c r="F488" i="5"/>
  <c r="E488" i="5"/>
  <c r="P487" i="5"/>
  <c r="N487" i="5"/>
  <c r="M487" i="5"/>
  <c r="L487" i="5"/>
  <c r="K487" i="5"/>
  <c r="J487" i="5"/>
  <c r="I487" i="5"/>
  <c r="F487" i="5"/>
  <c r="E487" i="5"/>
  <c r="P486" i="5"/>
  <c r="N486" i="5"/>
  <c r="M486" i="5"/>
  <c r="L486" i="5"/>
  <c r="K486" i="5"/>
  <c r="J486" i="5"/>
  <c r="I486" i="5"/>
  <c r="F486" i="5"/>
  <c r="E486" i="5"/>
  <c r="P485" i="5"/>
  <c r="N485" i="5"/>
  <c r="M485" i="5"/>
  <c r="L485" i="5"/>
  <c r="K485" i="5"/>
  <c r="J485" i="5"/>
  <c r="I485" i="5"/>
  <c r="F485" i="5"/>
  <c r="E485" i="5"/>
  <c r="P484" i="5"/>
  <c r="N484" i="5"/>
  <c r="M484" i="5"/>
  <c r="L484" i="5"/>
  <c r="K484" i="5"/>
  <c r="J484" i="5"/>
  <c r="I484" i="5"/>
  <c r="F484" i="5"/>
  <c r="E484" i="5"/>
  <c r="P483" i="5"/>
  <c r="N483" i="5"/>
  <c r="M483" i="5"/>
  <c r="L483" i="5"/>
  <c r="K483" i="5"/>
  <c r="J483" i="5"/>
  <c r="I483" i="5"/>
  <c r="F483" i="5"/>
  <c r="E483" i="5"/>
  <c r="P482" i="5"/>
  <c r="N482" i="5"/>
  <c r="M482" i="5"/>
  <c r="L482" i="5"/>
  <c r="K482" i="5"/>
  <c r="J482" i="5"/>
  <c r="I482" i="5"/>
  <c r="F482" i="5"/>
  <c r="E482" i="5"/>
  <c r="P481" i="5"/>
  <c r="N481" i="5"/>
  <c r="M481" i="5"/>
  <c r="L481" i="5"/>
  <c r="K481" i="5"/>
  <c r="J481" i="5"/>
  <c r="I481" i="5"/>
  <c r="F481" i="5"/>
  <c r="E481" i="5"/>
  <c r="P480" i="5"/>
  <c r="N480" i="5"/>
  <c r="M480" i="5"/>
  <c r="L480" i="5"/>
  <c r="K480" i="5"/>
  <c r="J480" i="5"/>
  <c r="I480" i="5"/>
  <c r="F480" i="5"/>
  <c r="E480" i="5"/>
  <c r="P479" i="5"/>
  <c r="N479" i="5"/>
  <c r="M479" i="5"/>
  <c r="L479" i="5"/>
  <c r="K479" i="5"/>
  <c r="J479" i="5"/>
  <c r="I479" i="5"/>
  <c r="F479" i="5"/>
  <c r="E479" i="5"/>
  <c r="P478" i="5"/>
  <c r="N478" i="5"/>
  <c r="M478" i="5"/>
  <c r="L478" i="5"/>
  <c r="K478" i="5"/>
  <c r="J478" i="5"/>
  <c r="I478" i="5"/>
  <c r="F478" i="5"/>
  <c r="E478" i="5"/>
  <c r="P477" i="5"/>
  <c r="N477" i="5"/>
  <c r="M477" i="5"/>
  <c r="L477" i="5"/>
  <c r="K477" i="5"/>
  <c r="J477" i="5"/>
  <c r="I477" i="5"/>
  <c r="F477" i="5"/>
  <c r="E477" i="5"/>
  <c r="P476" i="5"/>
  <c r="N476" i="5"/>
  <c r="M476" i="5"/>
  <c r="L476" i="5"/>
  <c r="K476" i="5"/>
  <c r="J476" i="5"/>
  <c r="I476" i="5"/>
  <c r="F476" i="5"/>
  <c r="E476" i="5"/>
  <c r="P475" i="5"/>
  <c r="N475" i="5"/>
  <c r="M475" i="5"/>
  <c r="L475" i="5"/>
  <c r="K475" i="5"/>
  <c r="J475" i="5"/>
  <c r="I475" i="5"/>
  <c r="F475" i="5"/>
  <c r="E475" i="5"/>
  <c r="P474" i="5"/>
  <c r="N474" i="5"/>
  <c r="M474" i="5"/>
  <c r="L474" i="5"/>
  <c r="K474" i="5"/>
  <c r="J474" i="5"/>
  <c r="I474" i="5"/>
  <c r="F474" i="5"/>
  <c r="E474" i="5"/>
  <c r="P473" i="5"/>
  <c r="N473" i="5"/>
  <c r="M473" i="5"/>
  <c r="L473" i="5"/>
  <c r="K473" i="5"/>
  <c r="J473" i="5"/>
  <c r="I473" i="5"/>
  <c r="F473" i="5"/>
  <c r="E473" i="5"/>
  <c r="P472" i="5"/>
  <c r="N472" i="5"/>
  <c r="M472" i="5"/>
  <c r="L472" i="5"/>
  <c r="K472" i="5"/>
  <c r="J472" i="5"/>
  <c r="I472" i="5"/>
  <c r="F472" i="5"/>
  <c r="E472" i="5"/>
  <c r="P471" i="5"/>
  <c r="N471" i="5"/>
  <c r="M471" i="5"/>
  <c r="L471" i="5"/>
  <c r="K471" i="5"/>
  <c r="J471" i="5"/>
  <c r="I471" i="5"/>
  <c r="F471" i="5"/>
  <c r="E471" i="5"/>
  <c r="P470" i="5"/>
  <c r="N470" i="5"/>
  <c r="M470" i="5"/>
  <c r="L470" i="5"/>
  <c r="K470" i="5"/>
  <c r="J470" i="5"/>
  <c r="I470" i="5"/>
  <c r="F470" i="5"/>
  <c r="E470" i="5"/>
  <c r="P469" i="5"/>
  <c r="N469" i="5"/>
  <c r="M469" i="5"/>
  <c r="L469" i="5"/>
  <c r="K469" i="5"/>
  <c r="J469" i="5"/>
  <c r="I469" i="5"/>
  <c r="F469" i="5"/>
  <c r="E469" i="5"/>
  <c r="P468" i="5"/>
  <c r="N468" i="5"/>
  <c r="M468" i="5"/>
  <c r="L468" i="5"/>
  <c r="K468" i="5"/>
  <c r="J468" i="5"/>
  <c r="I468" i="5"/>
  <c r="F468" i="5"/>
  <c r="E468" i="5"/>
  <c r="P467" i="5"/>
  <c r="N467" i="5"/>
  <c r="M467" i="5"/>
  <c r="L467" i="5"/>
  <c r="K467" i="5"/>
  <c r="J467" i="5"/>
  <c r="I467" i="5"/>
  <c r="F467" i="5"/>
  <c r="E467" i="5"/>
  <c r="P466" i="5"/>
  <c r="N466" i="5"/>
  <c r="M466" i="5"/>
  <c r="L466" i="5"/>
  <c r="K466" i="5"/>
  <c r="J466" i="5"/>
  <c r="I466" i="5"/>
  <c r="F466" i="5"/>
  <c r="E466" i="5"/>
  <c r="P465" i="5"/>
  <c r="N465" i="5"/>
  <c r="M465" i="5"/>
  <c r="L465" i="5"/>
  <c r="K465" i="5"/>
  <c r="J465" i="5"/>
  <c r="I465" i="5"/>
  <c r="F465" i="5"/>
  <c r="E465" i="5"/>
  <c r="P464" i="5"/>
  <c r="N464" i="5"/>
  <c r="M464" i="5"/>
  <c r="L464" i="5"/>
  <c r="K464" i="5"/>
  <c r="J464" i="5"/>
  <c r="I464" i="5"/>
  <c r="F464" i="5"/>
  <c r="E464" i="5"/>
  <c r="P463" i="5"/>
  <c r="N463" i="5"/>
  <c r="M463" i="5"/>
  <c r="L463" i="5"/>
  <c r="K463" i="5"/>
  <c r="J463" i="5"/>
  <c r="I463" i="5"/>
  <c r="F463" i="5"/>
  <c r="E463" i="5"/>
  <c r="P462" i="5"/>
  <c r="N462" i="5"/>
  <c r="M462" i="5"/>
  <c r="L462" i="5"/>
  <c r="K462" i="5"/>
  <c r="J462" i="5"/>
  <c r="I462" i="5"/>
  <c r="F462" i="5"/>
  <c r="E462" i="5"/>
  <c r="P461" i="5"/>
  <c r="N461" i="5"/>
  <c r="M461" i="5"/>
  <c r="L461" i="5"/>
  <c r="K461" i="5"/>
  <c r="J461" i="5"/>
  <c r="I461" i="5"/>
  <c r="F461" i="5"/>
  <c r="E461" i="5"/>
  <c r="P460" i="5"/>
  <c r="N460" i="5"/>
  <c r="M460" i="5"/>
  <c r="L460" i="5"/>
  <c r="K460" i="5"/>
  <c r="J460" i="5"/>
  <c r="I460" i="5"/>
  <c r="F460" i="5"/>
  <c r="E460" i="5"/>
  <c r="P459" i="5"/>
  <c r="N459" i="5"/>
  <c r="M459" i="5"/>
  <c r="L459" i="5"/>
  <c r="K459" i="5"/>
  <c r="J459" i="5"/>
  <c r="I459" i="5"/>
  <c r="F459" i="5"/>
  <c r="E459" i="5"/>
  <c r="P458" i="5"/>
  <c r="N458" i="5"/>
  <c r="M458" i="5"/>
  <c r="L458" i="5"/>
  <c r="K458" i="5"/>
  <c r="J458" i="5"/>
  <c r="I458" i="5"/>
  <c r="F458" i="5"/>
  <c r="E458" i="5"/>
  <c r="P457" i="5"/>
  <c r="N457" i="5"/>
  <c r="M457" i="5"/>
  <c r="L457" i="5"/>
  <c r="K457" i="5"/>
  <c r="J457" i="5"/>
  <c r="I457" i="5"/>
  <c r="F457" i="5"/>
  <c r="E457" i="5"/>
  <c r="P456" i="5"/>
  <c r="N456" i="5"/>
  <c r="M456" i="5"/>
  <c r="L456" i="5"/>
  <c r="K456" i="5"/>
  <c r="J456" i="5"/>
  <c r="I456" i="5"/>
  <c r="F456" i="5"/>
  <c r="E456" i="5"/>
  <c r="P455" i="5"/>
  <c r="N455" i="5"/>
  <c r="M455" i="5"/>
  <c r="L455" i="5"/>
  <c r="K455" i="5"/>
  <c r="J455" i="5"/>
  <c r="I455" i="5"/>
  <c r="F455" i="5"/>
  <c r="E455" i="5"/>
  <c r="P454" i="5"/>
  <c r="N454" i="5"/>
  <c r="M454" i="5"/>
  <c r="L454" i="5"/>
  <c r="K454" i="5"/>
  <c r="J454" i="5"/>
  <c r="I454" i="5"/>
  <c r="F454" i="5"/>
  <c r="E454" i="5"/>
  <c r="P453" i="5"/>
  <c r="N453" i="5"/>
  <c r="M453" i="5"/>
  <c r="L453" i="5"/>
  <c r="K453" i="5"/>
  <c r="J453" i="5"/>
  <c r="I453" i="5"/>
  <c r="F453" i="5"/>
  <c r="E453" i="5"/>
  <c r="P452" i="5"/>
  <c r="N452" i="5"/>
  <c r="M452" i="5"/>
  <c r="L452" i="5"/>
  <c r="K452" i="5"/>
  <c r="J452" i="5"/>
  <c r="I452" i="5"/>
  <c r="F452" i="5"/>
  <c r="E452" i="5"/>
  <c r="P451" i="5"/>
  <c r="N451" i="5"/>
  <c r="M451" i="5"/>
  <c r="L451" i="5"/>
  <c r="K451" i="5"/>
  <c r="J451" i="5"/>
  <c r="I451" i="5"/>
  <c r="F451" i="5"/>
  <c r="E451" i="5"/>
  <c r="P450" i="5"/>
  <c r="N450" i="5"/>
  <c r="M450" i="5"/>
  <c r="L450" i="5"/>
  <c r="K450" i="5"/>
  <c r="J450" i="5"/>
  <c r="I450" i="5"/>
  <c r="F450" i="5"/>
  <c r="E450" i="5"/>
  <c r="P449" i="5"/>
  <c r="N449" i="5"/>
  <c r="M449" i="5"/>
  <c r="L449" i="5"/>
  <c r="K449" i="5"/>
  <c r="J449" i="5"/>
  <c r="I449" i="5"/>
  <c r="F449" i="5"/>
  <c r="E449" i="5"/>
  <c r="P448" i="5"/>
  <c r="N448" i="5"/>
  <c r="M448" i="5"/>
  <c r="L448" i="5"/>
  <c r="K448" i="5"/>
  <c r="J448" i="5"/>
  <c r="I448" i="5"/>
  <c r="F448" i="5"/>
  <c r="E448" i="5"/>
  <c r="P447" i="5"/>
  <c r="N447" i="5"/>
  <c r="M447" i="5"/>
  <c r="L447" i="5"/>
  <c r="K447" i="5"/>
  <c r="J447" i="5"/>
  <c r="I447" i="5"/>
  <c r="F447" i="5"/>
  <c r="E447" i="5"/>
  <c r="P446" i="5"/>
  <c r="N446" i="5"/>
  <c r="M446" i="5"/>
  <c r="L446" i="5"/>
  <c r="K446" i="5"/>
  <c r="J446" i="5"/>
  <c r="I446" i="5"/>
  <c r="F446" i="5"/>
  <c r="E446" i="5"/>
  <c r="P445" i="5"/>
  <c r="N445" i="5"/>
  <c r="M445" i="5"/>
  <c r="L445" i="5"/>
  <c r="K445" i="5"/>
  <c r="J445" i="5"/>
  <c r="I445" i="5"/>
  <c r="F445" i="5"/>
  <c r="E445" i="5"/>
  <c r="P444" i="5"/>
  <c r="N444" i="5"/>
  <c r="M444" i="5"/>
  <c r="L444" i="5"/>
  <c r="K444" i="5"/>
  <c r="J444" i="5"/>
  <c r="I444" i="5"/>
  <c r="F444" i="5"/>
  <c r="E444" i="5"/>
  <c r="P443" i="5"/>
  <c r="N443" i="5"/>
  <c r="M443" i="5"/>
  <c r="L443" i="5"/>
  <c r="K443" i="5"/>
  <c r="J443" i="5"/>
  <c r="I443" i="5"/>
  <c r="F443" i="5"/>
  <c r="E443" i="5"/>
  <c r="P442" i="5"/>
  <c r="N442" i="5"/>
  <c r="M442" i="5"/>
  <c r="L442" i="5"/>
  <c r="K442" i="5"/>
  <c r="J442" i="5"/>
  <c r="I442" i="5"/>
  <c r="F442" i="5"/>
  <c r="E442" i="5"/>
  <c r="P441" i="5"/>
  <c r="N441" i="5"/>
  <c r="M441" i="5"/>
  <c r="L441" i="5"/>
  <c r="K441" i="5"/>
  <c r="J441" i="5"/>
  <c r="I441" i="5"/>
  <c r="F441" i="5"/>
  <c r="E441" i="5"/>
  <c r="P440" i="5"/>
  <c r="N440" i="5"/>
  <c r="M440" i="5"/>
  <c r="L440" i="5"/>
  <c r="K440" i="5"/>
  <c r="J440" i="5"/>
  <c r="I440" i="5"/>
  <c r="F440" i="5"/>
  <c r="E440" i="5"/>
  <c r="P439" i="5"/>
  <c r="N439" i="5"/>
  <c r="M439" i="5"/>
  <c r="L439" i="5"/>
  <c r="K439" i="5"/>
  <c r="J439" i="5"/>
  <c r="I439" i="5"/>
  <c r="F439" i="5"/>
  <c r="E439" i="5"/>
  <c r="P438" i="5"/>
  <c r="N438" i="5"/>
  <c r="M438" i="5"/>
  <c r="L438" i="5"/>
  <c r="K438" i="5"/>
  <c r="J438" i="5"/>
  <c r="I438" i="5"/>
  <c r="F438" i="5"/>
  <c r="E438" i="5"/>
  <c r="P437" i="5"/>
  <c r="N437" i="5"/>
  <c r="M437" i="5"/>
  <c r="L437" i="5"/>
  <c r="K437" i="5"/>
  <c r="J437" i="5"/>
  <c r="I437" i="5"/>
  <c r="F437" i="5"/>
  <c r="E437" i="5"/>
  <c r="P436" i="5"/>
  <c r="N436" i="5"/>
  <c r="M436" i="5"/>
  <c r="L436" i="5"/>
  <c r="K436" i="5"/>
  <c r="J436" i="5"/>
  <c r="I436" i="5"/>
  <c r="F436" i="5"/>
  <c r="E436" i="5"/>
  <c r="P435" i="5"/>
  <c r="N435" i="5"/>
  <c r="M435" i="5"/>
  <c r="L435" i="5"/>
  <c r="K435" i="5"/>
  <c r="J435" i="5"/>
  <c r="I435" i="5"/>
  <c r="F435" i="5"/>
  <c r="E435" i="5"/>
  <c r="P434" i="5"/>
  <c r="N434" i="5"/>
  <c r="M434" i="5"/>
  <c r="L434" i="5"/>
  <c r="K434" i="5"/>
  <c r="J434" i="5"/>
  <c r="I434" i="5"/>
  <c r="F434" i="5"/>
  <c r="E434" i="5"/>
  <c r="P433" i="5"/>
  <c r="N433" i="5"/>
  <c r="M433" i="5"/>
  <c r="L433" i="5"/>
  <c r="K433" i="5"/>
  <c r="J433" i="5"/>
  <c r="I433" i="5"/>
  <c r="F433" i="5"/>
  <c r="E433" i="5"/>
  <c r="P432" i="5"/>
  <c r="N432" i="5"/>
  <c r="M432" i="5"/>
  <c r="L432" i="5"/>
  <c r="K432" i="5"/>
  <c r="J432" i="5"/>
  <c r="I432" i="5"/>
  <c r="F432" i="5"/>
  <c r="E432" i="5"/>
  <c r="P431" i="5"/>
  <c r="N431" i="5"/>
  <c r="M431" i="5"/>
  <c r="L431" i="5"/>
  <c r="K431" i="5"/>
  <c r="J431" i="5"/>
  <c r="I431" i="5"/>
  <c r="F431" i="5"/>
  <c r="E431" i="5"/>
  <c r="P430" i="5"/>
  <c r="N430" i="5"/>
  <c r="M430" i="5"/>
  <c r="L430" i="5"/>
  <c r="K430" i="5"/>
  <c r="J430" i="5"/>
  <c r="I430" i="5"/>
  <c r="F430" i="5"/>
  <c r="E430" i="5"/>
  <c r="P429" i="5"/>
  <c r="N429" i="5"/>
  <c r="M429" i="5"/>
  <c r="L429" i="5"/>
  <c r="K429" i="5"/>
  <c r="J429" i="5"/>
  <c r="I429" i="5"/>
  <c r="F429" i="5"/>
  <c r="E429" i="5"/>
  <c r="P428" i="5"/>
  <c r="N428" i="5"/>
  <c r="M428" i="5"/>
  <c r="L428" i="5"/>
  <c r="K428" i="5"/>
  <c r="J428" i="5"/>
  <c r="I428" i="5"/>
  <c r="F428" i="5"/>
  <c r="E428" i="5"/>
  <c r="P427" i="5"/>
  <c r="N427" i="5"/>
  <c r="M427" i="5"/>
  <c r="L427" i="5"/>
  <c r="K427" i="5"/>
  <c r="J427" i="5"/>
  <c r="I427" i="5"/>
  <c r="F427" i="5"/>
  <c r="E427" i="5"/>
  <c r="P426" i="5"/>
  <c r="N426" i="5"/>
  <c r="M426" i="5"/>
  <c r="L426" i="5"/>
  <c r="K426" i="5"/>
  <c r="J426" i="5"/>
  <c r="I426" i="5"/>
  <c r="F426" i="5"/>
  <c r="E426" i="5"/>
  <c r="P425" i="5"/>
  <c r="N425" i="5"/>
  <c r="M425" i="5"/>
  <c r="L425" i="5"/>
  <c r="K425" i="5"/>
  <c r="J425" i="5"/>
  <c r="I425" i="5"/>
  <c r="F425" i="5"/>
  <c r="E425" i="5"/>
  <c r="P424" i="5"/>
  <c r="N424" i="5"/>
  <c r="M424" i="5"/>
  <c r="L424" i="5"/>
  <c r="K424" i="5"/>
  <c r="J424" i="5"/>
  <c r="I424" i="5"/>
  <c r="F424" i="5"/>
  <c r="E424" i="5"/>
  <c r="P423" i="5"/>
  <c r="N423" i="5"/>
  <c r="M423" i="5"/>
  <c r="L423" i="5"/>
  <c r="K423" i="5"/>
  <c r="J423" i="5"/>
  <c r="I423" i="5"/>
  <c r="F423" i="5"/>
  <c r="E423" i="5"/>
  <c r="P422" i="5"/>
  <c r="N422" i="5"/>
  <c r="M422" i="5"/>
  <c r="L422" i="5"/>
  <c r="K422" i="5"/>
  <c r="J422" i="5"/>
  <c r="I422" i="5"/>
  <c r="F422" i="5"/>
  <c r="E422" i="5"/>
  <c r="P421" i="5"/>
  <c r="N421" i="5"/>
  <c r="M421" i="5"/>
  <c r="L421" i="5"/>
  <c r="K421" i="5"/>
  <c r="J421" i="5"/>
  <c r="I421" i="5"/>
  <c r="F421" i="5"/>
  <c r="E421" i="5"/>
  <c r="P420" i="5"/>
  <c r="N420" i="5"/>
  <c r="M420" i="5"/>
  <c r="L420" i="5"/>
  <c r="K420" i="5"/>
  <c r="J420" i="5"/>
  <c r="I420" i="5"/>
  <c r="F420" i="5"/>
  <c r="E420" i="5"/>
  <c r="P419" i="5"/>
  <c r="N419" i="5"/>
  <c r="M419" i="5"/>
  <c r="L419" i="5"/>
  <c r="K419" i="5"/>
  <c r="J419" i="5"/>
  <c r="I419" i="5"/>
  <c r="F419" i="5"/>
  <c r="E419" i="5"/>
  <c r="P418" i="5"/>
  <c r="N418" i="5"/>
  <c r="M418" i="5"/>
  <c r="L418" i="5"/>
  <c r="K418" i="5"/>
  <c r="J418" i="5"/>
  <c r="I418" i="5"/>
  <c r="F418" i="5"/>
  <c r="E418" i="5"/>
  <c r="E327" i="5" l="1"/>
  <c r="F327" i="5"/>
  <c r="I327" i="5"/>
  <c r="J327" i="5"/>
  <c r="K327" i="5"/>
  <c r="L327" i="5"/>
  <c r="M327" i="5"/>
  <c r="N327" i="5"/>
  <c r="P327" i="5"/>
  <c r="E328" i="5"/>
  <c r="F328" i="5"/>
  <c r="I328" i="5"/>
  <c r="J328" i="5"/>
  <c r="K328" i="5"/>
  <c r="L328" i="5"/>
  <c r="M328" i="5"/>
  <c r="N328" i="5"/>
  <c r="P328" i="5"/>
  <c r="E329" i="5"/>
  <c r="F329" i="5"/>
  <c r="I329" i="5"/>
  <c r="J329" i="5"/>
  <c r="K329" i="5"/>
  <c r="L329" i="5"/>
  <c r="M329" i="5"/>
  <c r="N329" i="5"/>
  <c r="P329" i="5"/>
  <c r="E330" i="5"/>
  <c r="F330" i="5"/>
  <c r="I330" i="5"/>
  <c r="J330" i="5"/>
  <c r="K330" i="5"/>
  <c r="L330" i="5"/>
  <c r="M330" i="5"/>
  <c r="N330" i="5"/>
  <c r="P330" i="5"/>
  <c r="E331" i="5"/>
  <c r="F331" i="5"/>
  <c r="I331" i="5"/>
  <c r="J331" i="5"/>
  <c r="K331" i="5"/>
  <c r="L331" i="5"/>
  <c r="M331" i="5"/>
  <c r="N331" i="5"/>
  <c r="P331" i="5"/>
  <c r="E332" i="5"/>
  <c r="F332" i="5"/>
  <c r="I332" i="5"/>
  <c r="J332" i="5"/>
  <c r="K332" i="5"/>
  <c r="L332" i="5"/>
  <c r="M332" i="5"/>
  <c r="N332" i="5"/>
  <c r="P332" i="5"/>
  <c r="E333" i="5"/>
  <c r="F333" i="5"/>
  <c r="I333" i="5"/>
  <c r="J333" i="5"/>
  <c r="K333" i="5"/>
  <c r="L333" i="5"/>
  <c r="M333" i="5"/>
  <c r="N333" i="5"/>
  <c r="P333" i="5"/>
  <c r="E334" i="5"/>
  <c r="F334" i="5"/>
  <c r="I334" i="5"/>
  <c r="J334" i="5"/>
  <c r="K334" i="5"/>
  <c r="L334" i="5"/>
  <c r="M334" i="5"/>
  <c r="N334" i="5"/>
  <c r="P334" i="5"/>
  <c r="E335" i="5"/>
  <c r="F335" i="5"/>
  <c r="I335" i="5"/>
  <c r="J335" i="5"/>
  <c r="K335" i="5"/>
  <c r="L335" i="5"/>
  <c r="M335" i="5"/>
  <c r="N335" i="5"/>
  <c r="P335" i="5"/>
  <c r="E336" i="5"/>
  <c r="F336" i="5"/>
  <c r="I336" i="5"/>
  <c r="J336" i="5"/>
  <c r="K336" i="5"/>
  <c r="L336" i="5"/>
  <c r="M336" i="5"/>
  <c r="N336" i="5"/>
  <c r="P336" i="5"/>
  <c r="E337" i="5"/>
  <c r="F337" i="5"/>
  <c r="I337" i="5"/>
  <c r="J337" i="5"/>
  <c r="K337" i="5"/>
  <c r="L337" i="5"/>
  <c r="M337" i="5"/>
  <c r="N337" i="5"/>
  <c r="P337" i="5"/>
  <c r="E338" i="5"/>
  <c r="F338" i="5"/>
  <c r="I338" i="5"/>
  <c r="J338" i="5"/>
  <c r="K338" i="5"/>
  <c r="L338" i="5"/>
  <c r="M338" i="5"/>
  <c r="N338" i="5"/>
  <c r="P338" i="5"/>
  <c r="E339" i="5"/>
  <c r="F339" i="5"/>
  <c r="I339" i="5"/>
  <c r="J339" i="5"/>
  <c r="K339" i="5"/>
  <c r="L339" i="5"/>
  <c r="M339" i="5"/>
  <c r="N339" i="5"/>
  <c r="P339" i="5"/>
  <c r="E340" i="5"/>
  <c r="F340" i="5"/>
  <c r="I340" i="5"/>
  <c r="J340" i="5"/>
  <c r="K340" i="5"/>
  <c r="L340" i="5"/>
  <c r="M340" i="5"/>
  <c r="N340" i="5"/>
  <c r="P340" i="5"/>
  <c r="E341" i="5"/>
  <c r="F341" i="5"/>
  <c r="I341" i="5"/>
  <c r="J341" i="5"/>
  <c r="K341" i="5"/>
  <c r="L341" i="5"/>
  <c r="M341" i="5"/>
  <c r="N341" i="5"/>
  <c r="P341" i="5"/>
  <c r="E342" i="5"/>
  <c r="F342" i="5"/>
  <c r="I342" i="5"/>
  <c r="J342" i="5"/>
  <c r="K342" i="5"/>
  <c r="L342" i="5"/>
  <c r="M342" i="5"/>
  <c r="N342" i="5"/>
  <c r="P342" i="5"/>
  <c r="E343" i="5"/>
  <c r="F343" i="5"/>
  <c r="I343" i="5"/>
  <c r="J343" i="5"/>
  <c r="K343" i="5"/>
  <c r="L343" i="5"/>
  <c r="M343" i="5"/>
  <c r="N343" i="5"/>
  <c r="P343" i="5"/>
  <c r="E344" i="5"/>
  <c r="F344" i="5"/>
  <c r="I344" i="5"/>
  <c r="J344" i="5"/>
  <c r="K344" i="5"/>
  <c r="L344" i="5"/>
  <c r="M344" i="5"/>
  <c r="N344" i="5"/>
  <c r="P344" i="5"/>
  <c r="E345" i="5"/>
  <c r="F345" i="5"/>
  <c r="I345" i="5"/>
  <c r="J345" i="5"/>
  <c r="K345" i="5"/>
  <c r="L345" i="5"/>
  <c r="M345" i="5"/>
  <c r="N345" i="5"/>
  <c r="P345" i="5"/>
  <c r="E346" i="5"/>
  <c r="F346" i="5"/>
  <c r="I346" i="5"/>
  <c r="J346" i="5"/>
  <c r="K346" i="5"/>
  <c r="L346" i="5"/>
  <c r="M346" i="5"/>
  <c r="N346" i="5"/>
  <c r="P346" i="5"/>
  <c r="E347" i="5"/>
  <c r="F347" i="5"/>
  <c r="I347" i="5"/>
  <c r="J347" i="5"/>
  <c r="K347" i="5"/>
  <c r="L347" i="5"/>
  <c r="M347" i="5"/>
  <c r="N347" i="5"/>
  <c r="P347" i="5"/>
  <c r="E348" i="5"/>
  <c r="F348" i="5"/>
  <c r="I348" i="5"/>
  <c r="J348" i="5"/>
  <c r="K348" i="5"/>
  <c r="L348" i="5"/>
  <c r="M348" i="5"/>
  <c r="N348" i="5"/>
  <c r="P348" i="5"/>
  <c r="E349" i="5"/>
  <c r="F349" i="5"/>
  <c r="I349" i="5"/>
  <c r="J349" i="5"/>
  <c r="K349" i="5"/>
  <c r="L349" i="5"/>
  <c r="M349" i="5"/>
  <c r="N349" i="5"/>
  <c r="P349" i="5"/>
  <c r="E350" i="5"/>
  <c r="F350" i="5"/>
  <c r="I350" i="5"/>
  <c r="J350" i="5"/>
  <c r="K350" i="5"/>
  <c r="L350" i="5"/>
  <c r="M350" i="5"/>
  <c r="N350" i="5"/>
  <c r="P350" i="5"/>
  <c r="E351" i="5"/>
  <c r="F351" i="5"/>
  <c r="I351" i="5"/>
  <c r="J351" i="5"/>
  <c r="K351" i="5"/>
  <c r="L351" i="5"/>
  <c r="M351" i="5"/>
  <c r="N351" i="5"/>
  <c r="P351" i="5"/>
  <c r="E352" i="5"/>
  <c r="F352" i="5"/>
  <c r="I352" i="5"/>
  <c r="J352" i="5"/>
  <c r="K352" i="5"/>
  <c r="L352" i="5"/>
  <c r="M352" i="5"/>
  <c r="N352" i="5"/>
  <c r="P352" i="5"/>
  <c r="E353" i="5"/>
  <c r="F353" i="5"/>
  <c r="I353" i="5"/>
  <c r="J353" i="5"/>
  <c r="K353" i="5"/>
  <c r="L353" i="5"/>
  <c r="M353" i="5"/>
  <c r="N353" i="5"/>
  <c r="P353" i="5"/>
  <c r="E354" i="5"/>
  <c r="F354" i="5"/>
  <c r="I354" i="5"/>
  <c r="J354" i="5"/>
  <c r="K354" i="5"/>
  <c r="L354" i="5"/>
  <c r="M354" i="5"/>
  <c r="N354" i="5"/>
  <c r="P354" i="5"/>
  <c r="E355" i="5"/>
  <c r="F355" i="5"/>
  <c r="I355" i="5"/>
  <c r="J355" i="5"/>
  <c r="K355" i="5"/>
  <c r="L355" i="5"/>
  <c r="M355" i="5"/>
  <c r="N355" i="5"/>
  <c r="P355" i="5"/>
  <c r="E356" i="5"/>
  <c r="F356" i="5"/>
  <c r="I356" i="5"/>
  <c r="J356" i="5"/>
  <c r="K356" i="5"/>
  <c r="L356" i="5"/>
  <c r="M356" i="5"/>
  <c r="N356" i="5"/>
  <c r="P356" i="5"/>
  <c r="E357" i="5"/>
  <c r="F357" i="5"/>
  <c r="I357" i="5"/>
  <c r="J357" i="5"/>
  <c r="K357" i="5"/>
  <c r="L357" i="5"/>
  <c r="M357" i="5"/>
  <c r="N357" i="5"/>
  <c r="P357" i="5"/>
  <c r="E358" i="5"/>
  <c r="F358" i="5"/>
  <c r="I358" i="5"/>
  <c r="J358" i="5"/>
  <c r="K358" i="5"/>
  <c r="L358" i="5"/>
  <c r="M358" i="5"/>
  <c r="N358" i="5"/>
  <c r="P358" i="5"/>
  <c r="E359" i="5"/>
  <c r="F359" i="5"/>
  <c r="I359" i="5"/>
  <c r="J359" i="5"/>
  <c r="K359" i="5"/>
  <c r="L359" i="5"/>
  <c r="M359" i="5"/>
  <c r="N359" i="5"/>
  <c r="P359" i="5"/>
  <c r="E360" i="5"/>
  <c r="F360" i="5"/>
  <c r="I360" i="5"/>
  <c r="J360" i="5"/>
  <c r="K360" i="5"/>
  <c r="L360" i="5"/>
  <c r="M360" i="5"/>
  <c r="N360" i="5"/>
  <c r="P360" i="5"/>
  <c r="E361" i="5"/>
  <c r="F361" i="5"/>
  <c r="I361" i="5"/>
  <c r="J361" i="5"/>
  <c r="K361" i="5"/>
  <c r="L361" i="5"/>
  <c r="M361" i="5"/>
  <c r="N361" i="5"/>
  <c r="P361" i="5"/>
  <c r="E362" i="5"/>
  <c r="F362" i="5"/>
  <c r="I362" i="5"/>
  <c r="J362" i="5"/>
  <c r="K362" i="5"/>
  <c r="L362" i="5"/>
  <c r="M362" i="5"/>
  <c r="N362" i="5"/>
  <c r="P362" i="5"/>
  <c r="E363" i="5"/>
  <c r="F363" i="5"/>
  <c r="I363" i="5"/>
  <c r="J363" i="5"/>
  <c r="K363" i="5"/>
  <c r="L363" i="5"/>
  <c r="M363" i="5"/>
  <c r="N363" i="5"/>
  <c r="P363" i="5"/>
  <c r="E364" i="5"/>
  <c r="F364" i="5"/>
  <c r="I364" i="5"/>
  <c r="J364" i="5"/>
  <c r="K364" i="5"/>
  <c r="L364" i="5"/>
  <c r="M364" i="5"/>
  <c r="N364" i="5"/>
  <c r="P364" i="5"/>
  <c r="E365" i="5"/>
  <c r="F365" i="5"/>
  <c r="I365" i="5"/>
  <c r="J365" i="5"/>
  <c r="K365" i="5"/>
  <c r="L365" i="5"/>
  <c r="M365" i="5"/>
  <c r="N365" i="5"/>
  <c r="P365" i="5"/>
  <c r="E366" i="5"/>
  <c r="F366" i="5"/>
  <c r="I366" i="5"/>
  <c r="J366" i="5"/>
  <c r="K366" i="5"/>
  <c r="L366" i="5"/>
  <c r="M366" i="5"/>
  <c r="N366" i="5"/>
  <c r="P366" i="5"/>
  <c r="E367" i="5"/>
  <c r="F367" i="5"/>
  <c r="I367" i="5"/>
  <c r="J367" i="5"/>
  <c r="K367" i="5"/>
  <c r="L367" i="5"/>
  <c r="M367" i="5"/>
  <c r="N367" i="5"/>
  <c r="P367" i="5"/>
  <c r="E368" i="5"/>
  <c r="F368" i="5"/>
  <c r="I368" i="5"/>
  <c r="J368" i="5"/>
  <c r="K368" i="5"/>
  <c r="L368" i="5"/>
  <c r="M368" i="5"/>
  <c r="N368" i="5"/>
  <c r="P368" i="5"/>
  <c r="E369" i="5"/>
  <c r="F369" i="5"/>
  <c r="I369" i="5"/>
  <c r="J369" i="5"/>
  <c r="K369" i="5"/>
  <c r="L369" i="5"/>
  <c r="M369" i="5"/>
  <c r="N369" i="5"/>
  <c r="P369" i="5"/>
  <c r="E370" i="5"/>
  <c r="F370" i="5"/>
  <c r="I370" i="5"/>
  <c r="J370" i="5"/>
  <c r="K370" i="5"/>
  <c r="L370" i="5"/>
  <c r="M370" i="5"/>
  <c r="N370" i="5"/>
  <c r="P370" i="5"/>
  <c r="E371" i="5"/>
  <c r="F371" i="5"/>
  <c r="I371" i="5"/>
  <c r="J371" i="5"/>
  <c r="K371" i="5"/>
  <c r="L371" i="5"/>
  <c r="M371" i="5"/>
  <c r="N371" i="5"/>
  <c r="P371" i="5"/>
  <c r="E372" i="5"/>
  <c r="F372" i="5"/>
  <c r="I372" i="5"/>
  <c r="J372" i="5"/>
  <c r="K372" i="5"/>
  <c r="L372" i="5"/>
  <c r="M372" i="5"/>
  <c r="N372" i="5"/>
  <c r="P372" i="5"/>
  <c r="E373" i="5"/>
  <c r="F373" i="5"/>
  <c r="I373" i="5"/>
  <c r="J373" i="5"/>
  <c r="K373" i="5"/>
  <c r="L373" i="5"/>
  <c r="M373" i="5"/>
  <c r="N373" i="5"/>
  <c r="P373" i="5"/>
  <c r="E374" i="5"/>
  <c r="F374" i="5"/>
  <c r="I374" i="5"/>
  <c r="J374" i="5"/>
  <c r="K374" i="5"/>
  <c r="L374" i="5"/>
  <c r="M374" i="5"/>
  <c r="N374" i="5"/>
  <c r="P374" i="5"/>
  <c r="E375" i="5"/>
  <c r="F375" i="5"/>
  <c r="I375" i="5"/>
  <c r="J375" i="5"/>
  <c r="K375" i="5"/>
  <c r="L375" i="5"/>
  <c r="M375" i="5"/>
  <c r="N375" i="5"/>
  <c r="P375" i="5"/>
  <c r="E376" i="5"/>
  <c r="F376" i="5"/>
  <c r="I376" i="5"/>
  <c r="J376" i="5"/>
  <c r="K376" i="5"/>
  <c r="L376" i="5"/>
  <c r="M376" i="5"/>
  <c r="N376" i="5"/>
  <c r="P376" i="5"/>
  <c r="E377" i="5"/>
  <c r="F377" i="5"/>
  <c r="I377" i="5"/>
  <c r="J377" i="5"/>
  <c r="K377" i="5"/>
  <c r="L377" i="5"/>
  <c r="M377" i="5"/>
  <c r="N377" i="5"/>
  <c r="P377" i="5"/>
  <c r="E378" i="5"/>
  <c r="F378" i="5"/>
  <c r="I378" i="5"/>
  <c r="J378" i="5"/>
  <c r="K378" i="5"/>
  <c r="L378" i="5"/>
  <c r="M378" i="5"/>
  <c r="N378" i="5"/>
  <c r="P378" i="5"/>
  <c r="E379" i="5"/>
  <c r="F379" i="5"/>
  <c r="I379" i="5"/>
  <c r="J379" i="5"/>
  <c r="K379" i="5"/>
  <c r="L379" i="5"/>
  <c r="M379" i="5"/>
  <c r="N379" i="5"/>
  <c r="P379" i="5"/>
  <c r="E380" i="5"/>
  <c r="F380" i="5"/>
  <c r="I380" i="5"/>
  <c r="J380" i="5"/>
  <c r="K380" i="5"/>
  <c r="L380" i="5"/>
  <c r="M380" i="5"/>
  <c r="N380" i="5"/>
  <c r="P380" i="5"/>
  <c r="E381" i="5"/>
  <c r="F381" i="5"/>
  <c r="I381" i="5"/>
  <c r="J381" i="5"/>
  <c r="K381" i="5"/>
  <c r="L381" i="5"/>
  <c r="M381" i="5"/>
  <c r="N381" i="5"/>
  <c r="P381" i="5"/>
  <c r="E382" i="5"/>
  <c r="F382" i="5"/>
  <c r="I382" i="5"/>
  <c r="J382" i="5"/>
  <c r="K382" i="5"/>
  <c r="L382" i="5"/>
  <c r="M382" i="5"/>
  <c r="N382" i="5"/>
  <c r="P382" i="5"/>
  <c r="E383" i="5"/>
  <c r="F383" i="5"/>
  <c r="I383" i="5"/>
  <c r="J383" i="5"/>
  <c r="K383" i="5"/>
  <c r="L383" i="5"/>
  <c r="M383" i="5"/>
  <c r="N383" i="5"/>
  <c r="P383" i="5"/>
  <c r="E384" i="5"/>
  <c r="F384" i="5"/>
  <c r="I384" i="5"/>
  <c r="J384" i="5"/>
  <c r="K384" i="5"/>
  <c r="L384" i="5"/>
  <c r="M384" i="5"/>
  <c r="N384" i="5"/>
  <c r="P384" i="5"/>
  <c r="E385" i="5"/>
  <c r="F385" i="5"/>
  <c r="I385" i="5"/>
  <c r="J385" i="5"/>
  <c r="K385" i="5"/>
  <c r="L385" i="5"/>
  <c r="M385" i="5"/>
  <c r="N385" i="5"/>
  <c r="P385" i="5"/>
  <c r="E386" i="5"/>
  <c r="F386" i="5"/>
  <c r="I386" i="5"/>
  <c r="J386" i="5"/>
  <c r="K386" i="5"/>
  <c r="L386" i="5"/>
  <c r="M386" i="5"/>
  <c r="N386" i="5"/>
  <c r="P386" i="5"/>
  <c r="E387" i="5"/>
  <c r="F387" i="5"/>
  <c r="I387" i="5"/>
  <c r="J387" i="5"/>
  <c r="K387" i="5"/>
  <c r="L387" i="5"/>
  <c r="M387" i="5"/>
  <c r="N387" i="5"/>
  <c r="P387" i="5"/>
  <c r="E388" i="5"/>
  <c r="F388" i="5"/>
  <c r="I388" i="5"/>
  <c r="J388" i="5"/>
  <c r="K388" i="5"/>
  <c r="L388" i="5"/>
  <c r="M388" i="5"/>
  <c r="N388" i="5"/>
  <c r="P388" i="5"/>
  <c r="E389" i="5"/>
  <c r="F389" i="5"/>
  <c r="I389" i="5"/>
  <c r="J389" i="5"/>
  <c r="K389" i="5"/>
  <c r="L389" i="5"/>
  <c r="M389" i="5"/>
  <c r="N389" i="5"/>
  <c r="P389" i="5"/>
  <c r="E390" i="5"/>
  <c r="F390" i="5"/>
  <c r="I390" i="5"/>
  <c r="J390" i="5"/>
  <c r="K390" i="5"/>
  <c r="L390" i="5"/>
  <c r="M390" i="5"/>
  <c r="N390" i="5"/>
  <c r="P390" i="5"/>
  <c r="E391" i="5"/>
  <c r="F391" i="5"/>
  <c r="I391" i="5"/>
  <c r="J391" i="5"/>
  <c r="K391" i="5"/>
  <c r="L391" i="5"/>
  <c r="M391" i="5"/>
  <c r="N391" i="5"/>
  <c r="P391" i="5"/>
  <c r="E392" i="5"/>
  <c r="F392" i="5"/>
  <c r="I392" i="5"/>
  <c r="J392" i="5"/>
  <c r="K392" i="5"/>
  <c r="L392" i="5"/>
  <c r="M392" i="5"/>
  <c r="N392" i="5"/>
  <c r="P392" i="5"/>
  <c r="E393" i="5"/>
  <c r="F393" i="5"/>
  <c r="I393" i="5"/>
  <c r="J393" i="5"/>
  <c r="K393" i="5"/>
  <c r="L393" i="5"/>
  <c r="M393" i="5"/>
  <c r="N393" i="5"/>
  <c r="P393" i="5"/>
  <c r="E394" i="5"/>
  <c r="F394" i="5"/>
  <c r="I394" i="5"/>
  <c r="J394" i="5"/>
  <c r="K394" i="5"/>
  <c r="L394" i="5"/>
  <c r="M394" i="5"/>
  <c r="N394" i="5"/>
  <c r="P394" i="5"/>
  <c r="E395" i="5"/>
  <c r="F395" i="5"/>
  <c r="I395" i="5"/>
  <c r="J395" i="5"/>
  <c r="K395" i="5"/>
  <c r="L395" i="5"/>
  <c r="M395" i="5"/>
  <c r="N395" i="5"/>
  <c r="P395" i="5"/>
  <c r="E396" i="5"/>
  <c r="F396" i="5"/>
  <c r="I396" i="5"/>
  <c r="J396" i="5"/>
  <c r="K396" i="5"/>
  <c r="L396" i="5"/>
  <c r="M396" i="5"/>
  <c r="N396" i="5"/>
  <c r="P396" i="5"/>
  <c r="E397" i="5"/>
  <c r="F397" i="5"/>
  <c r="I397" i="5"/>
  <c r="J397" i="5"/>
  <c r="K397" i="5"/>
  <c r="L397" i="5"/>
  <c r="M397" i="5"/>
  <c r="N397" i="5"/>
  <c r="P397" i="5"/>
  <c r="E398" i="5"/>
  <c r="F398" i="5"/>
  <c r="I398" i="5"/>
  <c r="J398" i="5"/>
  <c r="K398" i="5"/>
  <c r="L398" i="5"/>
  <c r="M398" i="5"/>
  <c r="N398" i="5"/>
  <c r="P398" i="5"/>
  <c r="E399" i="5"/>
  <c r="F399" i="5"/>
  <c r="I399" i="5"/>
  <c r="J399" i="5"/>
  <c r="K399" i="5"/>
  <c r="L399" i="5"/>
  <c r="M399" i="5"/>
  <c r="N399" i="5"/>
  <c r="P399" i="5"/>
  <c r="E400" i="5"/>
  <c r="F400" i="5"/>
  <c r="I400" i="5"/>
  <c r="J400" i="5"/>
  <c r="K400" i="5"/>
  <c r="L400" i="5"/>
  <c r="M400" i="5"/>
  <c r="N400" i="5"/>
  <c r="P400" i="5"/>
  <c r="E401" i="5"/>
  <c r="F401" i="5"/>
  <c r="I401" i="5"/>
  <c r="J401" i="5"/>
  <c r="K401" i="5"/>
  <c r="L401" i="5"/>
  <c r="M401" i="5"/>
  <c r="N401" i="5"/>
  <c r="P401" i="5"/>
  <c r="E402" i="5"/>
  <c r="F402" i="5"/>
  <c r="I402" i="5"/>
  <c r="J402" i="5"/>
  <c r="K402" i="5"/>
  <c r="L402" i="5"/>
  <c r="M402" i="5"/>
  <c r="N402" i="5"/>
  <c r="P402" i="5"/>
  <c r="E403" i="5"/>
  <c r="F403" i="5"/>
  <c r="I403" i="5"/>
  <c r="J403" i="5"/>
  <c r="K403" i="5"/>
  <c r="L403" i="5"/>
  <c r="M403" i="5"/>
  <c r="N403" i="5"/>
  <c r="P403" i="5"/>
  <c r="E404" i="5"/>
  <c r="F404" i="5"/>
  <c r="I404" i="5"/>
  <c r="J404" i="5"/>
  <c r="K404" i="5"/>
  <c r="L404" i="5"/>
  <c r="M404" i="5"/>
  <c r="N404" i="5"/>
  <c r="P404" i="5"/>
  <c r="E405" i="5"/>
  <c r="F405" i="5"/>
  <c r="I405" i="5"/>
  <c r="J405" i="5"/>
  <c r="K405" i="5"/>
  <c r="L405" i="5"/>
  <c r="M405" i="5"/>
  <c r="N405" i="5"/>
  <c r="P405" i="5"/>
  <c r="E406" i="5"/>
  <c r="F406" i="5"/>
  <c r="I406" i="5"/>
  <c r="J406" i="5"/>
  <c r="K406" i="5"/>
  <c r="L406" i="5"/>
  <c r="M406" i="5"/>
  <c r="N406" i="5"/>
  <c r="P406" i="5"/>
  <c r="E407" i="5"/>
  <c r="F407" i="5"/>
  <c r="I407" i="5"/>
  <c r="J407" i="5"/>
  <c r="K407" i="5"/>
  <c r="L407" i="5"/>
  <c r="M407" i="5"/>
  <c r="N407" i="5"/>
  <c r="P407" i="5"/>
  <c r="E408" i="5"/>
  <c r="F408" i="5"/>
  <c r="I408" i="5"/>
  <c r="J408" i="5"/>
  <c r="K408" i="5"/>
  <c r="L408" i="5"/>
  <c r="M408" i="5"/>
  <c r="N408" i="5"/>
  <c r="P408" i="5"/>
  <c r="E409" i="5"/>
  <c r="F409" i="5"/>
  <c r="I409" i="5"/>
  <c r="J409" i="5"/>
  <c r="K409" i="5"/>
  <c r="L409" i="5"/>
  <c r="M409" i="5"/>
  <c r="N409" i="5"/>
  <c r="P409" i="5"/>
  <c r="E410" i="5"/>
  <c r="F410" i="5"/>
  <c r="I410" i="5"/>
  <c r="J410" i="5"/>
  <c r="K410" i="5"/>
  <c r="L410" i="5"/>
  <c r="M410" i="5"/>
  <c r="N410" i="5"/>
  <c r="P410" i="5"/>
  <c r="E411" i="5"/>
  <c r="F411" i="5"/>
  <c r="I411" i="5"/>
  <c r="J411" i="5"/>
  <c r="K411" i="5"/>
  <c r="L411" i="5"/>
  <c r="M411" i="5"/>
  <c r="N411" i="5"/>
  <c r="P411" i="5"/>
  <c r="E412" i="5"/>
  <c r="F412" i="5"/>
  <c r="I412" i="5"/>
  <c r="J412" i="5"/>
  <c r="K412" i="5"/>
  <c r="L412" i="5"/>
  <c r="M412" i="5"/>
  <c r="N412" i="5"/>
  <c r="P412" i="5"/>
  <c r="E413" i="5"/>
  <c r="F413" i="5"/>
  <c r="I413" i="5"/>
  <c r="J413" i="5"/>
  <c r="K413" i="5"/>
  <c r="L413" i="5"/>
  <c r="M413" i="5"/>
  <c r="N413" i="5"/>
  <c r="P413" i="5"/>
  <c r="E414" i="5"/>
  <c r="F414" i="5"/>
  <c r="I414" i="5"/>
  <c r="J414" i="5"/>
  <c r="K414" i="5"/>
  <c r="L414" i="5"/>
  <c r="M414" i="5"/>
  <c r="N414" i="5"/>
  <c r="P414" i="5"/>
  <c r="E415" i="5"/>
  <c r="F415" i="5"/>
  <c r="I415" i="5"/>
  <c r="J415" i="5"/>
  <c r="K415" i="5"/>
  <c r="L415" i="5"/>
  <c r="M415" i="5"/>
  <c r="N415" i="5"/>
  <c r="P415" i="5"/>
  <c r="E416" i="5"/>
  <c r="F416" i="5"/>
  <c r="I416" i="5"/>
  <c r="J416" i="5"/>
  <c r="K416" i="5"/>
  <c r="L416" i="5"/>
  <c r="M416" i="5"/>
  <c r="N416" i="5"/>
  <c r="P416" i="5"/>
  <c r="E417" i="5"/>
  <c r="F417" i="5"/>
  <c r="I417" i="5"/>
  <c r="J417" i="5"/>
  <c r="K417" i="5"/>
  <c r="L417" i="5"/>
  <c r="M417" i="5"/>
  <c r="N417" i="5"/>
  <c r="P417" i="5"/>
  <c r="P326" i="5" l="1"/>
  <c r="N326" i="5"/>
  <c r="M326" i="5"/>
  <c r="L326" i="5"/>
  <c r="K326" i="5"/>
  <c r="J326" i="5"/>
  <c r="I326" i="5"/>
  <c r="F326" i="5"/>
  <c r="E326" i="5"/>
  <c r="P325" i="5"/>
  <c r="N325" i="5"/>
  <c r="M325" i="5"/>
  <c r="L325" i="5"/>
  <c r="K325" i="5"/>
  <c r="J325" i="5"/>
  <c r="I325" i="5"/>
  <c r="F325" i="5"/>
  <c r="E325" i="5"/>
  <c r="P324" i="5"/>
  <c r="N324" i="5"/>
  <c r="M324" i="5"/>
  <c r="L324" i="5"/>
  <c r="K324" i="5"/>
  <c r="J324" i="5"/>
  <c r="I324" i="5"/>
  <c r="F324" i="5"/>
  <c r="E324" i="5"/>
  <c r="P323" i="5"/>
  <c r="N323" i="5"/>
  <c r="M323" i="5"/>
  <c r="L323" i="5"/>
  <c r="K323" i="5"/>
  <c r="J323" i="5"/>
  <c r="I323" i="5"/>
  <c r="F323" i="5"/>
  <c r="E323" i="5"/>
  <c r="P322" i="5"/>
  <c r="N322" i="5"/>
  <c r="M322" i="5"/>
  <c r="L322" i="5"/>
  <c r="K322" i="5"/>
  <c r="J322" i="5"/>
  <c r="I322" i="5"/>
  <c r="F322" i="5"/>
  <c r="E322" i="5"/>
  <c r="P321" i="5"/>
  <c r="N321" i="5"/>
  <c r="M321" i="5"/>
  <c r="L321" i="5"/>
  <c r="K321" i="5"/>
  <c r="J321" i="5"/>
  <c r="I321" i="5"/>
  <c r="F321" i="5"/>
  <c r="E321" i="5"/>
  <c r="P320" i="5"/>
  <c r="N320" i="5"/>
  <c r="M320" i="5"/>
  <c r="L320" i="5"/>
  <c r="K320" i="5"/>
  <c r="J320" i="5"/>
  <c r="I320" i="5"/>
  <c r="F320" i="5"/>
  <c r="E320" i="5"/>
  <c r="P319" i="5"/>
  <c r="N319" i="5"/>
  <c r="M319" i="5"/>
  <c r="L319" i="5"/>
  <c r="K319" i="5"/>
  <c r="J319" i="5"/>
  <c r="I319" i="5"/>
  <c r="F319" i="5"/>
  <c r="E319" i="5"/>
  <c r="P318" i="5"/>
  <c r="N318" i="5"/>
  <c r="M318" i="5"/>
  <c r="L318" i="5"/>
  <c r="K318" i="5"/>
  <c r="J318" i="5"/>
  <c r="I318" i="5"/>
  <c r="F318" i="5"/>
  <c r="E318" i="5"/>
  <c r="P317" i="5"/>
  <c r="N317" i="5"/>
  <c r="M317" i="5"/>
  <c r="L317" i="5"/>
  <c r="K317" i="5"/>
  <c r="J317" i="5"/>
  <c r="I317" i="5"/>
  <c r="F317" i="5"/>
  <c r="E317" i="5"/>
  <c r="P316" i="5"/>
  <c r="N316" i="5"/>
  <c r="M316" i="5"/>
  <c r="L316" i="5"/>
  <c r="K316" i="5"/>
  <c r="J316" i="5"/>
  <c r="I316" i="5"/>
  <c r="F316" i="5"/>
  <c r="E316" i="5"/>
  <c r="P315" i="5"/>
  <c r="N315" i="5"/>
  <c r="M315" i="5"/>
  <c r="L315" i="5"/>
  <c r="K315" i="5"/>
  <c r="J315" i="5"/>
  <c r="I315" i="5"/>
  <c r="F315" i="5"/>
  <c r="E315" i="5"/>
  <c r="P314" i="5"/>
  <c r="N314" i="5"/>
  <c r="M314" i="5"/>
  <c r="L314" i="5"/>
  <c r="K314" i="5"/>
  <c r="J314" i="5"/>
  <c r="I314" i="5"/>
  <c r="F314" i="5"/>
  <c r="E314" i="5"/>
  <c r="P313" i="5"/>
  <c r="N313" i="5"/>
  <c r="M313" i="5"/>
  <c r="L313" i="5"/>
  <c r="K313" i="5"/>
  <c r="J313" i="5"/>
  <c r="I313" i="5"/>
  <c r="F313" i="5"/>
  <c r="E313" i="5"/>
  <c r="P312" i="5"/>
  <c r="N312" i="5"/>
  <c r="M312" i="5"/>
  <c r="L312" i="5"/>
  <c r="K312" i="5"/>
  <c r="J312" i="5"/>
  <c r="I312" i="5"/>
  <c r="F312" i="5"/>
  <c r="E312" i="5"/>
  <c r="P311" i="5"/>
  <c r="N311" i="5"/>
  <c r="M311" i="5"/>
  <c r="L311" i="5"/>
  <c r="K311" i="5"/>
  <c r="J311" i="5"/>
  <c r="I311" i="5"/>
  <c r="F311" i="5"/>
  <c r="E311" i="5"/>
  <c r="P310" i="5"/>
  <c r="N310" i="5"/>
  <c r="M310" i="5"/>
  <c r="L310" i="5"/>
  <c r="K310" i="5"/>
  <c r="J310" i="5"/>
  <c r="I310" i="5"/>
  <c r="F310" i="5"/>
  <c r="E310" i="5"/>
  <c r="P309" i="5"/>
  <c r="N309" i="5"/>
  <c r="M309" i="5"/>
  <c r="L309" i="5"/>
  <c r="K309" i="5"/>
  <c r="J309" i="5"/>
  <c r="I309" i="5"/>
  <c r="F309" i="5"/>
  <c r="E309" i="5"/>
  <c r="P308" i="5"/>
  <c r="N308" i="5"/>
  <c r="M308" i="5"/>
  <c r="L308" i="5"/>
  <c r="K308" i="5"/>
  <c r="J308" i="5"/>
  <c r="I308" i="5"/>
  <c r="F308" i="5"/>
  <c r="E308" i="5"/>
  <c r="P307" i="5"/>
  <c r="N307" i="5"/>
  <c r="M307" i="5"/>
  <c r="L307" i="5"/>
  <c r="K307" i="5"/>
  <c r="J307" i="5"/>
  <c r="I307" i="5"/>
  <c r="F307" i="5"/>
  <c r="E307" i="5"/>
  <c r="P306" i="5"/>
  <c r="N306" i="5"/>
  <c r="M306" i="5"/>
  <c r="L306" i="5"/>
  <c r="K306" i="5"/>
  <c r="J306" i="5"/>
  <c r="I306" i="5"/>
  <c r="F306" i="5"/>
  <c r="E306" i="5"/>
  <c r="P305" i="5"/>
  <c r="N305" i="5"/>
  <c r="M305" i="5"/>
  <c r="L305" i="5"/>
  <c r="K305" i="5"/>
  <c r="J305" i="5"/>
  <c r="I305" i="5"/>
  <c r="F305" i="5"/>
  <c r="E305" i="5"/>
  <c r="P304" i="5"/>
  <c r="N304" i="5"/>
  <c r="M304" i="5"/>
  <c r="L304" i="5"/>
  <c r="K304" i="5"/>
  <c r="J304" i="5"/>
  <c r="I304" i="5"/>
  <c r="F304" i="5"/>
  <c r="E304" i="5"/>
  <c r="P303" i="5"/>
  <c r="N303" i="5"/>
  <c r="M303" i="5"/>
  <c r="L303" i="5"/>
  <c r="K303" i="5"/>
  <c r="J303" i="5"/>
  <c r="I303" i="5"/>
  <c r="F303" i="5"/>
  <c r="E303" i="5"/>
  <c r="P302" i="5"/>
  <c r="N302" i="5"/>
  <c r="M302" i="5"/>
  <c r="L302" i="5"/>
  <c r="K302" i="5"/>
  <c r="J302" i="5"/>
  <c r="I302" i="5"/>
  <c r="F302" i="5"/>
  <c r="E302" i="5"/>
  <c r="P301" i="5"/>
  <c r="N301" i="5"/>
  <c r="M301" i="5"/>
  <c r="L301" i="5"/>
  <c r="K301" i="5"/>
  <c r="J301" i="5"/>
  <c r="I301" i="5"/>
  <c r="F301" i="5"/>
  <c r="E301" i="5"/>
  <c r="P300" i="5"/>
  <c r="N300" i="5"/>
  <c r="M300" i="5"/>
  <c r="L300" i="5"/>
  <c r="K300" i="5"/>
  <c r="J300" i="5"/>
  <c r="I300" i="5"/>
  <c r="F300" i="5"/>
  <c r="E300" i="5"/>
  <c r="P299" i="5"/>
  <c r="N299" i="5"/>
  <c r="M299" i="5"/>
  <c r="L299" i="5"/>
  <c r="K299" i="5"/>
  <c r="J299" i="5"/>
  <c r="I299" i="5"/>
  <c r="F299" i="5"/>
  <c r="E299" i="5"/>
  <c r="P298" i="5"/>
  <c r="N298" i="5"/>
  <c r="M298" i="5"/>
  <c r="L298" i="5"/>
  <c r="K298" i="5"/>
  <c r="J298" i="5"/>
  <c r="I298" i="5"/>
  <c r="F298" i="5"/>
  <c r="E298" i="5"/>
  <c r="P297" i="5"/>
  <c r="N297" i="5"/>
  <c r="M297" i="5"/>
  <c r="L297" i="5"/>
  <c r="K297" i="5"/>
  <c r="J297" i="5"/>
  <c r="I297" i="5"/>
  <c r="F297" i="5"/>
  <c r="E297" i="5"/>
  <c r="P296" i="5"/>
  <c r="N296" i="5"/>
  <c r="M296" i="5"/>
  <c r="L296" i="5"/>
  <c r="K296" i="5"/>
  <c r="J296" i="5"/>
  <c r="I296" i="5"/>
  <c r="F296" i="5"/>
  <c r="E296" i="5"/>
  <c r="P295" i="5"/>
  <c r="N295" i="5"/>
  <c r="M295" i="5"/>
  <c r="L295" i="5"/>
  <c r="K295" i="5"/>
  <c r="J295" i="5"/>
  <c r="I295" i="5"/>
  <c r="F295" i="5"/>
  <c r="E295" i="5"/>
  <c r="P294" i="5"/>
  <c r="N294" i="5"/>
  <c r="M294" i="5"/>
  <c r="L294" i="5"/>
  <c r="K294" i="5"/>
  <c r="J294" i="5"/>
  <c r="I294" i="5"/>
  <c r="F294" i="5"/>
  <c r="E294" i="5"/>
  <c r="P293" i="5"/>
  <c r="N293" i="5"/>
  <c r="M293" i="5"/>
  <c r="L293" i="5"/>
  <c r="K293" i="5"/>
  <c r="J293" i="5"/>
  <c r="I293" i="5"/>
  <c r="F293" i="5"/>
  <c r="E293" i="5"/>
  <c r="P292" i="5"/>
  <c r="N292" i="5"/>
  <c r="M292" i="5"/>
  <c r="L292" i="5"/>
  <c r="K292" i="5"/>
  <c r="J292" i="5"/>
  <c r="I292" i="5"/>
  <c r="F292" i="5"/>
  <c r="E292" i="5"/>
  <c r="P291" i="5"/>
  <c r="N291" i="5"/>
  <c r="M291" i="5"/>
  <c r="L291" i="5"/>
  <c r="K291" i="5"/>
  <c r="J291" i="5"/>
  <c r="I291" i="5"/>
  <c r="F291" i="5"/>
  <c r="E291" i="5"/>
  <c r="P290" i="5"/>
  <c r="N290" i="5"/>
  <c r="M290" i="5"/>
  <c r="L290" i="5"/>
  <c r="K290" i="5"/>
  <c r="J290" i="5"/>
  <c r="I290" i="5"/>
  <c r="F290" i="5"/>
  <c r="E290" i="5"/>
  <c r="P289" i="5"/>
  <c r="N289" i="5"/>
  <c r="M289" i="5"/>
  <c r="L289" i="5"/>
  <c r="K289" i="5"/>
  <c r="J289" i="5"/>
  <c r="I289" i="5"/>
  <c r="F289" i="5"/>
  <c r="E289" i="5"/>
  <c r="P288" i="5"/>
  <c r="N288" i="5"/>
  <c r="M288" i="5"/>
  <c r="L288" i="5"/>
  <c r="K288" i="5"/>
  <c r="J288" i="5"/>
  <c r="I288" i="5"/>
  <c r="F288" i="5"/>
  <c r="E288" i="5"/>
  <c r="P287" i="5"/>
  <c r="N287" i="5"/>
  <c r="M287" i="5"/>
  <c r="L287" i="5"/>
  <c r="K287" i="5"/>
  <c r="J287" i="5"/>
  <c r="I287" i="5"/>
  <c r="F287" i="5"/>
  <c r="E287" i="5"/>
  <c r="P286" i="5"/>
  <c r="N286" i="5"/>
  <c r="M286" i="5"/>
  <c r="L286" i="5"/>
  <c r="K286" i="5"/>
  <c r="J286" i="5"/>
  <c r="I286" i="5"/>
  <c r="F286" i="5"/>
  <c r="E286" i="5"/>
  <c r="P285" i="5"/>
  <c r="N285" i="5"/>
  <c r="M285" i="5"/>
  <c r="L285" i="5"/>
  <c r="K285" i="5"/>
  <c r="J285" i="5"/>
  <c r="I285" i="5"/>
  <c r="F285" i="5"/>
  <c r="E285" i="5"/>
  <c r="P284" i="5"/>
  <c r="N284" i="5"/>
  <c r="M284" i="5"/>
  <c r="L284" i="5"/>
  <c r="K284" i="5"/>
  <c r="J284" i="5"/>
  <c r="I284" i="5"/>
  <c r="F284" i="5"/>
  <c r="E284" i="5"/>
  <c r="P283" i="5"/>
  <c r="N283" i="5"/>
  <c r="M283" i="5"/>
  <c r="L283" i="5"/>
  <c r="K283" i="5"/>
  <c r="J283" i="5"/>
  <c r="I283" i="5"/>
  <c r="F283" i="5"/>
  <c r="E283" i="5"/>
  <c r="P282" i="5"/>
  <c r="N282" i="5"/>
  <c r="M282" i="5"/>
  <c r="L282" i="5"/>
  <c r="K282" i="5"/>
  <c r="J282" i="5"/>
  <c r="I282" i="5"/>
  <c r="F282" i="5"/>
  <c r="E282" i="5"/>
  <c r="P281" i="5"/>
  <c r="N281" i="5"/>
  <c r="M281" i="5"/>
  <c r="L281" i="5"/>
  <c r="K281" i="5"/>
  <c r="J281" i="5"/>
  <c r="I281" i="5"/>
  <c r="F281" i="5"/>
  <c r="E281" i="5"/>
  <c r="P280" i="5"/>
  <c r="N280" i="5"/>
  <c r="M280" i="5"/>
  <c r="L280" i="5"/>
  <c r="K280" i="5"/>
  <c r="J280" i="5"/>
  <c r="I280" i="5"/>
  <c r="F280" i="5"/>
  <c r="E280" i="5"/>
  <c r="P279" i="5"/>
  <c r="N279" i="5"/>
  <c r="M279" i="5"/>
  <c r="L279" i="5"/>
  <c r="K279" i="5"/>
  <c r="J279" i="5"/>
  <c r="I279" i="5"/>
  <c r="F279" i="5"/>
  <c r="E279" i="5"/>
  <c r="P278" i="5"/>
  <c r="N278" i="5"/>
  <c r="M278" i="5"/>
  <c r="L278" i="5"/>
  <c r="K278" i="5"/>
  <c r="J278" i="5"/>
  <c r="I278" i="5"/>
  <c r="F278" i="5"/>
  <c r="E278" i="5"/>
  <c r="P277" i="5"/>
  <c r="N277" i="5"/>
  <c r="M277" i="5"/>
  <c r="L277" i="5"/>
  <c r="K277" i="5"/>
  <c r="J277" i="5"/>
  <c r="I277" i="5"/>
  <c r="F277" i="5"/>
  <c r="E277" i="5"/>
  <c r="P276" i="5"/>
  <c r="N276" i="5"/>
  <c r="M276" i="5"/>
  <c r="L276" i="5"/>
  <c r="K276" i="5"/>
  <c r="J276" i="5"/>
  <c r="I276" i="5"/>
  <c r="F276" i="5"/>
  <c r="E276" i="5"/>
  <c r="P275" i="5"/>
  <c r="N275" i="5"/>
  <c r="M275" i="5"/>
  <c r="L275" i="5"/>
  <c r="K275" i="5"/>
  <c r="J275" i="5"/>
  <c r="I275" i="5"/>
  <c r="F275" i="5"/>
  <c r="E275" i="5"/>
  <c r="P274" i="5"/>
  <c r="N274" i="5"/>
  <c r="M274" i="5"/>
  <c r="L274" i="5"/>
  <c r="K274" i="5"/>
  <c r="J274" i="5"/>
  <c r="I274" i="5"/>
  <c r="F274" i="5"/>
  <c r="E274" i="5"/>
  <c r="P273" i="5"/>
  <c r="N273" i="5"/>
  <c r="M273" i="5"/>
  <c r="L273" i="5"/>
  <c r="K273" i="5"/>
  <c r="J273" i="5"/>
  <c r="I273" i="5"/>
  <c r="F273" i="5"/>
  <c r="E273" i="5"/>
  <c r="P272" i="5"/>
  <c r="N272" i="5"/>
  <c r="M272" i="5"/>
  <c r="L272" i="5"/>
  <c r="K272" i="5"/>
  <c r="J272" i="5"/>
  <c r="I272" i="5"/>
  <c r="F272" i="5"/>
  <c r="E272" i="5"/>
  <c r="P271" i="5"/>
  <c r="N271" i="5"/>
  <c r="M271" i="5"/>
  <c r="L271" i="5"/>
  <c r="K271" i="5"/>
  <c r="J271" i="5"/>
  <c r="I271" i="5"/>
  <c r="F271" i="5"/>
  <c r="E271" i="5"/>
  <c r="P270" i="5"/>
  <c r="N270" i="5"/>
  <c r="M270" i="5"/>
  <c r="L270" i="5"/>
  <c r="K270" i="5"/>
  <c r="J270" i="5"/>
  <c r="I270" i="5"/>
  <c r="F270" i="5"/>
  <c r="E270" i="5"/>
  <c r="P269" i="5"/>
  <c r="N269" i="5"/>
  <c r="M269" i="5"/>
  <c r="L269" i="5"/>
  <c r="K269" i="5"/>
  <c r="J269" i="5"/>
  <c r="I269" i="5"/>
  <c r="F269" i="5"/>
  <c r="E269" i="5"/>
  <c r="P268" i="5"/>
  <c r="N268" i="5"/>
  <c r="M268" i="5"/>
  <c r="L268" i="5"/>
  <c r="K268" i="5"/>
  <c r="J268" i="5"/>
  <c r="I268" i="5"/>
  <c r="F268" i="5"/>
  <c r="E268" i="5"/>
  <c r="P267" i="5"/>
  <c r="N267" i="5"/>
  <c r="M267" i="5"/>
  <c r="L267" i="5"/>
  <c r="K267" i="5"/>
  <c r="J267" i="5"/>
  <c r="I267" i="5"/>
  <c r="F267" i="5"/>
  <c r="E267" i="5"/>
  <c r="P266" i="5"/>
  <c r="N266" i="5"/>
  <c r="M266" i="5"/>
  <c r="L266" i="5"/>
  <c r="K266" i="5"/>
  <c r="J266" i="5"/>
  <c r="I266" i="5"/>
  <c r="F266" i="5"/>
  <c r="E266" i="5"/>
  <c r="P265" i="5"/>
  <c r="N265" i="5"/>
  <c r="M265" i="5"/>
  <c r="L265" i="5"/>
  <c r="K265" i="5"/>
  <c r="J265" i="5"/>
  <c r="I265" i="5"/>
  <c r="F265" i="5"/>
  <c r="E265" i="5"/>
  <c r="P264" i="5"/>
  <c r="N264" i="5"/>
  <c r="M264" i="5"/>
  <c r="L264" i="5"/>
  <c r="K264" i="5"/>
  <c r="J264" i="5"/>
  <c r="I264" i="5"/>
  <c r="F264" i="5"/>
  <c r="E264" i="5"/>
  <c r="P263" i="5"/>
  <c r="N263" i="5"/>
  <c r="M263" i="5"/>
  <c r="L263" i="5"/>
  <c r="K263" i="5"/>
  <c r="J263" i="5"/>
  <c r="I263" i="5"/>
  <c r="F263" i="5"/>
  <c r="E263" i="5"/>
  <c r="P262" i="5"/>
  <c r="N262" i="5"/>
  <c r="M262" i="5"/>
  <c r="L262" i="5"/>
  <c r="K262" i="5"/>
  <c r="J262" i="5"/>
  <c r="I262" i="5"/>
  <c r="F262" i="5"/>
  <c r="E262" i="5"/>
  <c r="P261" i="5"/>
  <c r="N261" i="5"/>
  <c r="M261" i="5"/>
  <c r="L261" i="5"/>
  <c r="K261" i="5"/>
  <c r="J261" i="5"/>
  <c r="I261" i="5"/>
  <c r="F261" i="5"/>
  <c r="E261" i="5"/>
  <c r="P260" i="5"/>
  <c r="N260" i="5"/>
  <c r="M260" i="5"/>
  <c r="L260" i="5"/>
  <c r="K260" i="5"/>
  <c r="J260" i="5"/>
  <c r="I260" i="5"/>
  <c r="F260" i="5"/>
  <c r="E260" i="5"/>
  <c r="P259" i="5"/>
  <c r="N259" i="5"/>
  <c r="M259" i="5"/>
  <c r="L259" i="5"/>
  <c r="K259" i="5"/>
  <c r="J259" i="5"/>
  <c r="I259" i="5"/>
  <c r="F259" i="5"/>
  <c r="E259" i="5"/>
  <c r="P258" i="5"/>
  <c r="N258" i="5"/>
  <c r="M258" i="5"/>
  <c r="L258" i="5"/>
  <c r="K258" i="5"/>
  <c r="J258" i="5"/>
  <c r="I258" i="5"/>
  <c r="F258" i="5"/>
  <c r="E258" i="5"/>
  <c r="P257" i="5"/>
  <c r="N257" i="5"/>
  <c r="M257" i="5"/>
  <c r="L257" i="5"/>
  <c r="K257" i="5"/>
  <c r="J257" i="5"/>
  <c r="I257" i="5"/>
  <c r="F257" i="5"/>
  <c r="E257" i="5"/>
  <c r="P256" i="5"/>
  <c r="N256" i="5"/>
  <c r="M256" i="5"/>
  <c r="L256" i="5"/>
  <c r="K256" i="5"/>
  <c r="J256" i="5"/>
  <c r="I256" i="5"/>
  <c r="F256" i="5"/>
  <c r="E256" i="5"/>
  <c r="P255" i="5"/>
  <c r="N255" i="5"/>
  <c r="M255" i="5"/>
  <c r="L255" i="5"/>
  <c r="K255" i="5"/>
  <c r="J255" i="5"/>
  <c r="I255" i="5"/>
  <c r="F255" i="5"/>
  <c r="E255" i="5"/>
  <c r="P254" i="5"/>
  <c r="N254" i="5"/>
  <c r="M254" i="5"/>
  <c r="L254" i="5"/>
  <c r="K254" i="5"/>
  <c r="J254" i="5"/>
  <c r="I254" i="5"/>
  <c r="F254" i="5"/>
  <c r="E254" i="5"/>
  <c r="P253" i="5"/>
  <c r="N253" i="5"/>
  <c r="M253" i="5"/>
  <c r="L253" i="5"/>
  <c r="K253" i="5"/>
  <c r="J253" i="5"/>
  <c r="I253" i="5"/>
  <c r="F253" i="5"/>
  <c r="E253" i="5"/>
  <c r="P252" i="5"/>
  <c r="N252" i="5"/>
  <c r="M252" i="5"/>
  <c r="L252" i="5"/>
  <c r="K252" i="5"/>
  <c r="J252" i="5"/>
  <c r="I252" i="5"/>
  <c r="F252" i="5"/>
  <c r="E252" i="5"/>
  <c r="P251" i="5"/>
  <c r="N251" i="5"/>
  <c r="M251" i="5"/>
  <c r="L251" i="5"/>
  <c r="K251" i="5"/>
  <c r="J251" i="5"/>
  <c r="I251" i="5"/>
  <c r="F251" i="5"/>
  <c r="E251" i="5"/>
  <c r="P250" i="5"/>
  <c r="N250" i="5"/>
  <c r="M250" i="5"/>
  <c r="L250" i="5"/>
  <c r="K250" i="5"/>
  <c r="J250" i="5"/>
  <c r="I250" i="5"/>
  <c r="F250" i="5"/>
  <c r="E250" i="5"/>
  <c r="P249" i="5"/>
  <c r="N249" i="5"/>
  <c r="M249" i="5"/>
  <c r="L249" i="5"/>
  <c r="K249" i="5"/>
  <c r="J249" i="5"/>
  <c r="I249" i="5"/>
  <c r="F249" i="5"/>
  <c r="E249" i="5"/>
  <c r="P248" i="5"/>
  <c r="N248" i="5"/>
  <c r="M248" i="5"/>
  <c r="L248" i="5"/>
  <c r="K248" i="5"/>
  <c r="J248" i="5"/>
  <c r="I248" i="5"/>
  <c r="F248" i="5"/>
  <c r="E248" i="5"/>
  <c r="P247" i="5"/>
  <c r="N247" i="5"/>
  <c r="M247" i="5"/>
  <c r="L247" i="5"/>
  <c r="K247" i="5"/>
  <c r="J247" i="5"/>
  <c r="I247" i="5"/>
  <c r="F247" i="5"/>
  <c r="E247" i="5"/>
  <c r="P246" i="5"/>
  <c r="N246" i="5"/>
  <c r="M246" i="5"/>
  <c r="L246" i="5"/>
  <c r="K246" i="5"/>
  <c r="J246" i="5"/>
  <c r="I246" i="5"/>
  <c r="F246" i="5"/>
  <c r="E246" i="5"/>
  <c r="P245" i="5"/>
  <c r="N245" i="5"/>
  <c r="M245" i="5"/>
  <c r="L245" i="5"/>
  <c r="K245" i="5"/>
  <c r="J245" i="5"/>
  <c r="I245" i="5"/>
  <c r="F245" i="5"/>
  <c r="E245" i="5"/>
  <c r="P244" i="5"/>
  <c r="N244" i="5"/>
  <c r="M244" i="5"/>
  <c r="L244" i="5"/>
  <c r="K244" i="5"/>
  <c r="J244" i="5"/>
  <c r="I244" i="5"/>
  <c r="F244" i="5"/>
  <c r="E244" i="5"/>
  <c r="P243" i="5"/>
  <c r="N243" i="5"/>
  <c r="M243" i="5"/>
  <c r="L243" i="5"/>
  <c r="K243" i="5"/>
  <c r="J243" i="5"/>
  <c r="I243" i="5"/>
  <c r="F243" i="5"/>
  <c r="E243" i="5"/>
  <c r="P242" i="5"/>
  <c r="N242" i="5"/>
  <c r="M242" i="5"/>
  <c r="L242" i="5"/>
  <c r="K242" i="5"/>
  <c r="J242" i="5"/>
  <c r="I242" i="5"/>
  <c r="F242" i="5"/>
  <c r="E242" i="5"/>
  <c r="P241" i="5"/>
  <c r="N241" i="5"/>
  <c r="M241" i="5"/>
  <c r="L241" i="5"/>
  <c r="K241" i="5"/>
  <c r="J241" i="5"/>
  <c r="I241" i="5"/>
  <c r="F241" i="5"/>
  <c r="E241" i="5"/>
  <c r="P240" i="5"/>
  <c r="N240" i="5"/>
  <c r="M240" i="5"/>
  <c r="L240" i="5"/>
  <c r="K240" i="5"/>
  <c r="J240" i="5"/>
  <c r="I240" i="5"/>
  <c r="F240" i="5"/>
  <c r="E240" i="5"/>
  <c r="P239" i="5"/>
  <c r="N239" i="5"/>
  <c r="M239" i="5"/>
  <c r="L239" i="5"/>
  <c r="K239" i="5"/>
  <c r="J239" i="5"/>
  <c r="I239" i="5"/>
  <c r="F239" i="5"/>
  <c r="E239" i="5"/>
  <c r="P238" i="5"/>
  <c r="N238" i="5"/>
  <c r="M238" i="5"/>
  <c r="L238" i="5"/>
  <c r="K238" i="5"/>
  <c r="J238" i="5"/>
  <c r="I238" i="5"/>
  <c r="F238" i="5"/>
  <c r="E238" i="5"/>
  <c r="P237" i="5"/>
  <c r="N237" i="5"/>
  <c r="M237" i="5"/>
  <c r="L237" i="5"/>
  <c r="K237" i="5"/>
  <c r="J237" i="5"/>
  <c r="I237" i="5"/>
  <c r="F237" i="5"/>
  <c r="E237" i="5"/>
  <c r="P236" i="5"/>
  <c r="N236" i="5"/>
  <c r="M236" i="5"/>
  <c r="L236" i="5"/>
  <c r="K236" i="5"/>
  <c r="J236" i="5"/>
  <c r="I236" i="5"/>
  <c r="F236" i="5"/>
  <c r="E236" i="5"/>
  <c r="P235" i="5"/>
  <c r="N235" i="5"/>
  <c r="M235" i="5"/>
  <c r="L235" i="5"/>
  <c r="K235" i="5"/>
  <c r="J235" i="5"/>
  <c r="I235" i="5"/>
  <c r="F235" i="5"/>
  <c r="E235" i="5"/>
  <c r="P234" i="5"/>
  <c r="N234" i="5"/>
  <c r="M234" i="5"/>
  <c r="L234" i="5"/>
  <c r="K234" i="5"/>
  <c r="J234" i="5"/>
  <c r="I234" i="5"/>
  <c r="F234" i="5"/>
  <c r="E234" i="5"/>
  <c r="P233" i="5"/>
  <c r="N233" i="5"/>
  <c r="M233" i="5"/>
  <c r="L233" i="5"/>
  <c r="K233" i="5"/>
  <c r="J233" i="5"/>
  <c r="I233" i="5"/>
  <c r="F233" i="5"/>
  <c r="E233" i="5"/>
  <c r="P232" i="5"/>
  <c r="N232" i="5"/>
  <c r="M232" i="5"/>
  <c r="L232" i="5"/>
  <c r="K232" i="5"/>
  <c r="J232" i="5"/>
  <c r="I232" i="5"/>
  <c r="F232" i="5"/>
  <c r="E232" i="5"/>
  <c r="P231" i="5"/>
  <c r="N231" i="5"/>
  <c r="M231" i="5"/>
  <c r="L231" i="5"/>
  <c r="K231" i="5"/>
  <c r="J231" i="5"/>
  <c r="I231" i="5"/>
  <c r="F231" i="5"/>
  <c r="E231" i="5"/>
  <c r="P230" i="5"/>
  <c r="N230" i="5"/>
  <c r="M230" i="5"/>
  <c r="L230" i="5"/>
  <c r="K230" i="5"/>
  <c r="J230" i="5"/>
  <c r="I230" i="5"/>
  <c r="F230" i="5"/>
  <c r="E230" i="5"/>
  <c r="P229" i="5"/>
  <c r="N229" i="5"/>
  <c r="M229" i="5"/>
  <c r="L229" i="5"/>
  <c r="K229" i="5"/>
  <c r="J229" i="5"/>
  <c r="I229" i="5"/>
  <c r="F229" i="5"/>
  <c r="E229" i="5"/>
  <c r="P228" i="5"/>
  <c r="N228" i="5"/>
  <c r="M228" i="5"/>
  <c r="L228" i="5"/>
  <c r="K228" i="5"/>
  <c r="J228" i="5"/>
  <c r="I228" i="5"/>
  <c r="F228" i="5"/>
  <c r="E228" i="5"/>
  <c r="P227" i="5"/>
  <c r="N227" i="5"/>
  <c r="M227" i="5"/>
  <c r="L227" i="5"/>
  <c r="K227" i="5"/>
  <c r="J227" i="5"/>
  <c r="I227" i="5"/>
  <c r="F227" i="5"/>
  <c r="E227" i="5"/>
  <c r="P226" i="5"/>
  <c r="N226" i="5"/>
  <c r="M226" i="5"/>
  <c r="L226" i="5"/>
  <c r="K226" i="5"/>
  <c r="J226" i="5"/>
  <c r="I226" i="5"/>
  <c r="F226" i="5"/>
  <c r="E226" i="5"/>
  <c r="P225" i="5"/>
  <c r="N225" i="5"/>
  <c r="M225" i="5"/>
  <c r="L225" i="5"/>
  <c r="K225" i="5"/>
  <c r="J225" i="5"/>
  <c r="I225" i="5"/>
  <c r="F225" i="5"/>
  <c r="E225" i="5"/>
  <c r="P224" i="5"/>
  <c r="N224" i="5"/>
  <c r="M224" i="5"/>
  <c r="L224" i="5"/>
  <c r="K224" i="5"/>
  <c r="J224" i="5"/>
  <c r="I224" i="5"/>
  <c r="F224" i="5"/>
  <c r="E224" i="5"/>
  <c r="P223" i="5"/>
  <c r="N223" i="5"/>
  <c r="M223" i="5"/>
  <c r="L223" i="5"/>
  <c r="K223" i="5"/>
  <c r="J223" i="5"/>
  <c r="I223" i="5"/>
  <c r="F223" i="5"/>
  <c r="E223" i="5"/>
  <c r="P222" i="5"/>
  <c r="N222" i="5"/>
  <c r="M222" i="5"/>
  <c r="L222" i="5"/>
  <c r="K222" i="5"/>
  <c r="J222" i="5"/>
  <c r="I222" i="5"/>
  <c r="F222" i="5"/>
  <c r="E222" i="5"/>
  <c r="P221" i="5"/>
  <c r="N221" i="5"/>
  <c r="M221" i="5"/>
  <c r="L221" i="5"/>
  <c r="K221" i="5"/>
  <c r="J221" i="5"/>
  <c r="I221" i="5"/>
  <c r="F221" i="5"/>
  <c r="E221" i="5"/>
  <c r="P220" i="5"/>
  <c r="N220" i="5"/>
  <c r="M220" i="5"/>
  <c r="L220" i="5"/>
  <c r="K220" i="5"/>
  <c r="J220" i="5"/>
  <c r="I220" i="5"/>
  <c r="F220" i="5"/>
  <c r="E220" i="5"/>
  <c r="P219" i="5"/>
  <c r="N219" i="5"/>
  <c r="M219" i="5"/>
  <c r="L219" i="5"/>
  <c r="K219" i="5"/>
  <c r="J219" i="5"/>
  <c r="I219" i="5"/>
  <c r="F219" i="5"/>
  <c r="E219" i="5"/>
  <c r="P218" i="5"/>
  <c r="N218" i="5"/>
  <c r="M218" i="5"/>
  <c r="L218" i="5"/>
  <c r="K218" i="5"/>
  <c r="J218" i="5"/>
  <c r="I218" i="5"/>
  <c r="F218" i="5"/>
  <c r="E218" i="5"/>
  <c r="P217" i="5"/>
  <c r="N217" i="5"/>
  <c r="M217" i="5"/>
  <c r="L217" i="5"/>
  <c r="K217" i="5"/>
  <c r="J217" i="5"/>
  <c r="I217" i="5"/>
  <c r="F217" i="5"/>
  <c r="E217" i="5"/>
  <c r="P216" i="5"/>
  <c r="N216" i="5"/>
  <c r="M216" i="5"/>
  <c r="L216" i="5"/>
  <c r="K216" i="5"/>
  <c r="J216" i="5"/>
  <c r="I216" i="5"/>
  <c r="F216" i="5"/>
  <c r="E216" i="5"/>
  <c r="P215" i="5"/>
  <c r="N215" i="5"/>
  <c r="M215" i="5"/>
  <c r="L215" i="5"/>
  <c r="K215" i="5"/>
  <c r="J215" i="5"/>
  <c r="I215" i="5"/>
  <c r="F215" i="5"/>
  <c r="E215" i="5"/>
  <c r="P214" i="5"/>
  <c r="N214" i="5"/>
  <c r="M214" i="5"/>
  <c r="L214" i="5"/>
  <c r="K214" i="5"/>
  <c r="J214" i="5"/>
  <c r="I214" i="5"/>
  <c r="F214" i="5"/>
  <c r="E214" i="5"/>
  <c r="P213" i="5"/>
  <c r="N213" i="5"/>
  <c r="M213" i="5"/>
  <c r="L213" i="5"/>
  <c r="K213" i="5"/>
  <c r="J213" i="5"/>
  <c r="I213" i="5"/>
  <c r="F213" i="5"/>
  <c r="E213" i="5"/>
  <c r="P212" i="5"/>
  <c r="N212" i="5"/>
  <c r="M212" i="5"/>
  <c r="L212" i="5"/>
  <c r="K212" i="5"/>
  <c r="J212" i="5"/>
  <c r="I212" i="5"/>
  <c r="F212" i="5"/>
  <c r="E212" i="5"/>
  <c r="P211" i="5"/>
  <c r="N211" i="5"/>
  <c r="M211" i="5"/>
  <c r="L211" i="5"/>
  <c r="K211" i="5"/>
  <c r="J211" i="5"/>
  <c r="I211" i="5"/>
  <c r="F211" i="5"/>
  <c r="E211" i="5"/>
  <c r="P210" i="5"/>
  <c r="N210" i="5"/>
  <c r="M210" i="5"/>
  <c r="L210" i="5"/>
  <c r="K210" i="5"/>
  <c r="J210" i="5"/>
  <c r="I210" i="5"/>
  <c r="F210" i="5"/>
  <c r="E210" i="5"/>
  <c r="P209" i="5"/>
  <c r="N209" i="5"/>
  <c r="M209" i="5"/>
  <c r="L209" i="5"/>
  <c r="K209" i="5"/>
  <c r="J209" i="5"/>
  <c r="I209" i="5"/>
  <c r="F209" i="5"/>
  <c r="E209" i="5"/>
  <c r="P208" i="5"/>
  <c r="N208" i="5"/>
  <c r="M208" i="5"/>
  <c r="L208" i="5"/>
  <c r="K208" i="5"/>
  <c r="J208" i="5"/>
  <c r="I208" i="5"/>
  <c r="F208" i="5"/>
  <c r="E208" i="5"/>
  <c r="P207" i="5"/>
  <c r="N207" i="5"/>
  <c r="M207" i="5"/>
  <c r="L207" i="5"/>
  <c r="K207" i="5"/>
  <c r="J207" i="5"/>
  <c r="I207" i="5"/>
  <c r="F207" i="5"/>
  <c r="E207" i="5"/>
  <c r="P206" i="5"/>
  <c r="N206" i="5"/>
  <c r="M206" i="5"/>
  <c r="L206" i="5"/>
  <c r="K206" i="5"/>
  <c r="J206" i="5"/>
  <c r="I206" i="5"/>
  <c r="F206" i="5"/>
  <c r="E206" i="5"/>
  <c r="P205" i="5"/>
  <c r="N205" i="5"/>
  <c r="M205" i="5"/>
  <c r="L205" i="5"/>
  <c r="K205" i="5"/>
  <c r="J205" i="5"/>
  <c r="I205" i="5"/>
  <c r="F205" i="5"/>
  <c r="E205" i="5"/>
  <c r="P204" i="5"/>
  <c r="N204" i="5"/>
  <c r="M204" i="5"/>
  <c r="L204" i="5"/>
  <c r="K204" i="5"/>
  <c r="J204" i="5"/>
  <c r="I204" i="5"/>
  <c r="F204" i="5"/>
  <c r="E204" i="5"/>
  <c r="P203" i="5"/>
  <c r="N203" i="5"/>
  <c r="M203" i="5"/>
  <c r="L203" i="5"/>
  <c r="K203" i="5"/>
  <c r="J203" i="5"/>
  <c r="I203" i="5"/>
  <c r="F203" i="5"/>
  <c r="E203" i="5"/>
  <c r="P202" i="5"/>
  <c r="N202" i="5"/>
  <c r="M202" i="5"/>
  <c r="L202" i="5"/>
  <c r="K202" i="5"/>
  <c r="J202" i="5"/>
  <c r="I202" i="5"/>
  <c r="F202" i="5"/>
  <c r="E202" i="5"/>
  <c r="P201" i="5"/>
  <c r="N201" i="5"/>
  <c r="M201" i="5"/>
  <c r="L201" i="5"/>
  <c r="K201" i="5"/>
  <c r="J201" i="5"/>
  <c r="I201" i="5"/>
  <c r="F201" i="5"/>
  <c r="E201" i="5"/>
  <c r="P200" i="5"/>
  <c r="N200" i="5"/>
  <c r="M200" i="5"/>
  <c r="L200" i="5"/>
  <c r="K200" i="5"/>
  <c r="J200" i="5"/>
  <c r="I200" i="5"/>
  <c r="F200" i="5"/>
  <c r="E200" i="5"/>
  <c r="P199" i="5"/>
  <c r="N199" i="5"/>
  <c r="M199" i="5"/>
  <c r="L199" i="5"/>
  <c r="K199" i="5"/>
  <c r="J199" i="5"/>
  <c r="I199" i="5"/>
  <c r="F199" i="5"/>
  <c r="E199" i="5"/>
  <c r="P198" i="5"/>
  <c r="N198" i="5"/>
  <c r="M198" i="5"/>
  <c r="L198" i="5"/>
  <c r="K198" i="5"/>
  <c r="J198" i="5"/>
  <c r="I198" i="5"/>
  <c r="F198" i="5"/>
  <c r="E198" i="5"/>
  <c r="P197" i="5"/>
  <c r="N197" i="5"/>
  <c r="M197" i="5"/>
  <c r="L197" i="5"/>
  <c r="K197" i="5"/>
  <c r="J197" i="5"/>
  <c r="I197" i="5"/>
  <c r="F197" i="5"/>
  <c r="E197" i="5"/>
  <c r="P196" i="5"/>
  <c r="N196" i="5"/>
  <c r="M196" i="5"/>
  <c r="L196" i="5"/>
  <c r="K196" i="5"/>
  <c r="J196" i="5"/>
  <c r="I196" i="5"/>
  <c r="F196" i="5"/>
  <c r="E196" i="5"/>
  <c r="P195" i="5"/>
  <c r="N195" i="5"/>
  <c r="M195" i="5"/>
  <c r="L195" i="5"/>
  <c r="K195" i="5"/>
  <c r="J195" i="5"/>
  <c r="I195" i="5"/>
  <c r="F195" i="5"/>
  <c r="E195" i="5"/>
  <c r="P194" i="5"/>
  <c r="N194" i="5"/>
  <c r="M194" i="5"/>
  <c r="L194" i="5"/>
  <c r="K194" i="5"/>
  <c r="J194" i="5"/>
  <c r="I194" i="5"/>
  <c r="F194" i="5"/>
  <c r="E194" i="5"/>
  <c r="P193" i="5"/>
  <c r="N193" i="5"/>
  <c r="M193" i="5"/>
  <c r="L193" i="5"/>
  <c r="K193" i="5"/>
  <c r="J193" i="5"/>
  <c r="I193" i="5"/>
  <c r="F193" i="5"/>
  <c r="E193" i="5"/>
  <c r="P192" i="5"/>
  <c r="N192" i="5"/>
  <c r="M192" i="5"/>
  <c r="L192" i="5"/>
  <c r="K192" i="5"/>
  <c r="J192" i="5"/>
  <c r="I192" i="5"/>
  <c r="F192" i="5"/>
  <c r="E192" i="5"/>
  <c r="P191" i="5"/>
  <c r="N191" i="5"/>
  <c r="M191" i="5"/>
  <c r="L191" i="5"/>
  <c r="K191" i="5"/>
  <c r="J191" i="5"/>
  <c r="I191" i="5"/>
  <c r="F191" i="5"/>
  <c r="E191" i="5"/>
  <c r="P190" i="5"/>
  <c r="N190" i="5"/>
  <c r="M190" i="5"/>
  <c r="L190" i="5"/>
  <c r="K190" i="5"/>
  <c r="J190" i="5"/>
  <c r="I190" i="5"/>
  <c r="F190" i="5"/>
  <c r="E190" i="5"/>
  <c r="P189" i="5"/>
  <c r="N189" i="5"/>
  <c r="M189" i="5"/>
  <c r="L189" i="5"/>
  <c r="K189" i="5"/>
  <c r="J189" i="5"/>
  <c r="I189" i="5"/>
  <c r="F189" i="5"/>
  <c r="E189" i="5"/>
  <c r="P188" i="5"/>
  <c r="N188" i="5"/>
  <c r="M188" i="5"/>
  <c r="L188" i="5"/>
  <c r="K188" i="5"/>
  <c r="J188" i="5"/>
  <c r="I188" i="5"/>
  <c r="F188" i="5"/>
  <c r="E188" i="5"/>
  <c r="P187" i="5"/>
  <c r="N187" i="5"/>
  <c r="M187" i="5"/>
  <c r="L187" i="5"/>
  <c r="K187" i="5"/>
  <c r="J187" i="5"/>
  <c r="I187" i="5"/>
  <c r="F187" i="5"/>
  <c r="E187" i="5"/>
  <c r="P186" i="5"/>
  <c r="N186" i="5"/>
  <c r="M186" i="5"/>
  <c r="L186" i="5"/>
  <c r="K186" i="5"/>
  <c r="J186" i="5"/>
  <c r="I186" i="5"/>
  <c r="F186" i="5"/>
  <c r="E186" i="5"/>
  <c r="P185" i="5"/>
  <c r="N185" i="5"/>
  <c r="M185" i="5"/>
  <c r="L185" i="5"/>
  <c r="K185" i="5"/>
  <c r="J185" i="5"/>
  <c r="I185" i="5"/>
  <c r="F185" i="5"/>
  <c r="E185" i="5"/>
  <c r="P184" i="5"/>
  <c r="N184" i="5"/>
  <c r="M184" i="5"/>
  <c r="L184" i="5"/>
  <c r="K184" i="5"/>
  <c r="J184" i="5"/>
  <c r="I184" i="5"/>
  <c r="F184" i="5"/>
  <c r="E184" i="5"/>
  <c r="P183" i="5"/>
  <c r="N183" i="5"/>
  <c r="M183" i="5"/>
  <c r="L183" i="5"/>
  <c r="K183" i="5"/>
  <c r="J183" i="5"/>
  <c r="I183" i="5"/>
  <c r="F183" i="5"/>
  <c r="E183" i="5"/>
  <c r="P182" i="5"/>
  <c r="N182" i="5"/>
  <c r="M182" i="5"/>
  <c r="L182" i="5"/>
  <c r="K182" i="5"/>
  <c r="J182" i="5"/>
  <c r="I182" i="5"/>
  <c r="F182" i="5"/>
  <c r="E182" i="5"/>
  <c r="P181" i="5"/>
  <c r="N181" i="5"/>
  <c r="M181" i="5"/>
  <c r="L181" i="5"/>
  <c r="K181" i="5"/>
  <c r="J181" i="5"/>
  <c r="I181" i="5"/>
  <c r="F181" i="5"/>
  <c r="E181" i="5"/>
  <c r="P180" i="5"/>
  <c r="N180" i="5"/>
  <c r="M180" i="5"/>
  <c r="L180" i="5"/>
  <c r="K180" i="5"/>
  <c r="J180" i="5"/>
  <c r="I180" i="5"/>
  <c r="F180" i="5"/>
  <c r="E180" i="5"/>
  <c r="P179" i="5"/>
  <c r="N179" i="5"/>
  <c r="M179" i="5"/>
  <c r="L179" i="5"/>
  <c r="K179" i="5"/>
  <c r="J179" i="5"/>
  <c r="I179" i="5"/>
  <c r="F179" i="5"/>
  <c r="E179" i="5"/>
  <c r="P178" i="5"/>
  <c r="N178" i="5"/>
  <c r="M178" i="5"/>
  <c r="L178" i="5"/>
  <c r="K178" i="5"/>
  <c r="J178" i="5"/>
  <c r="I178" i="5"/>
  <c r="F178" i="5"/>
  <c r="E178" i="5"/>
  <c r="P177" i="5"/>
  <c r="N177" i="5"/>
  <c r="M177" i="5"/>
  <c r="L177" i="5"/>
  <c r="K177" i="5"/>
  <c r="J177" i="5"/>
  <c r="I177" i="5"/>
  <c r="F177" i="5"/>
  <c r="E177" i="5"/>
  <c r="P176" i="5"/>
  <c r="N176" i="5"/>
  <c r="M176" i="5"/>
  <c r="L176" i="5"/>
  <c r="K176" i="5"/>
  <c r="J176" i="5"/>
  <c r="I176" i="5"/>
  <c r="F176" i="5"/>
  <c r="E176" i="5"/>
  <c r="P175" i="5"/>
  <c r="N175" i="5"/>
  <c r="M175" i="5"/>
  <c r="L175" i="5"/>
  <c r="K175" i="5"/>
  <c r="J175" i="5"/>
  <c r="I175" i="5"/>
  <c r="F175" i="5"/>
  <c r="E175" i="5"/>
  <c r="P174" i="5"/>
  <c r="N174" i="5"/>
  <c r="M174" i="5"/>
  <c r="L174" i="5"/>
  <c r="K174" i="5"/>
  <c r="J174" i="5"/>
  <c r="I174" i="5"/>
  <c r="F174" i="5"/>
  <c r="E174" i="5"/>
  <c r="P173" i="5"/>
  <c r="N173" i="5"/>
  <c r="M173" i="5"/>
  <c r="L173" i="5"/>
  <c r="K173" i="5"/>
  <c r="J173" i="5"/>
  <c r="I173" i="5"/>
  <c r="F173" i="5"/>
  <c r="E173" i="5"/>
  <c r="P172" i="5"/>
  <c r="N172" i="5"/>
  <c r="M172" i="5"/>
  <c r="L172" i="5"/>
  <c r="K172" i="5"/>
  <c r="J172" i="5"/>
  <c r="I172" i="5"/>
  <c r="F172" i="5"/>
  <c r="E172" i="5"/>
  <c r="P171" i="5"/>
  <c r="N171" i="5"/>
  <c r="M171" i="5"/>
  <c r="L171" i="5"/>
  <c r="K171" i="5"/>
  <c r="J171" i="5"/>
  <c r="I171" i="5"/>
  <c r="F171" i="5"/>
  <c r="E171" i="5"/>
  <c r="P170" i="5"/>
  <c r="N170" i="5"/>
  <c r="M170" i="5"/>
  <c r="L170" i="5"/>
  <c r="K170" i="5"/>
  <c r="J170" i="5"/>
  <c r="I170" i="5"/>
  <c r="F170" i="5"/>
  <c r="E170" i="5"/>
  <c r="P169" i="5"/>
  <c r="N169" i="5"/>
  <c r="M169" i="5"/>
  <c r="L169" i="5"/>
  <c r="K169" i="5"/>
  <c r="J169" i="5"/>
  <c r="I169" i="5"/>
  <c r="F169" i="5"/>
  <c r="E169" i="5"/>
  <c r="P168" i="5"/>
  <c r="N168" i="5"/>
  <c r="M168" i="5"/>
  <c r="L168" i="5"/>
  <c r="K168" i="5"/>
  <c r="J168" i="5"/>
  <c r="I168" i="5"/>
  <c r="F168" i="5"/>
  <c r="E168" i="5"/>
  <c r="P167" i="5"/>
  <c r="N167" i="5"/>
  <c r="M167" i="5"/>
  <c r="L167" i="5"/>
  <c r="K167" i="5"/>
  <c r="J167" i="5"/>
  <c r="I167" i="5"/>
  <c r="F167" i="5"/>
  <c r="E167" i="5"/>
  <c r="P166" i="5"/>
  <c r="N166" i="5"/>
  <c r="M166" i="5"/>
  <c r="L166" i="5"/>
  <c r="K166" i="5"/>
  <c r="J166" i="5"/>
  <c r="I166" i="5"/>
  <c r="F166" i="5"/>
  <c r="E166" i="5"/>
  <c r="P165" i="5"/>
  <c r="N165" i="5"/>
  <c r="M165" i="5"/>
  <c r="L165" i="5"/>
  <c r="K165" i="5"/>
  <c r="J165" i="5"/>
  <c r="I165" i="5"/>
  <c r="F165" i="5"/>
  <c r="E165" i="5"/>
  <c r="P164" i="5"/>
  <c r="N164" i="5"/>
  <c r="M164" i="5"/>
  <c r="L164" i="5"/>
  <c r="K164" i="5"/>
  <c r="J164" i="5"/>
  <c r="I164" i="5"/>
  <c r="F164" i="5"/>
  <c r="E164" i="5"/>
  <c r="P163" i="5"/>
  <c r="N163" i="5"/>
  <c r="M163" i="5"/>
  <c r="L163" i="5"/>
  <c r="K163" i="5"/>
  <c r="J163" i="5"/>
  <c r="I163" i="5"/>
  <c r="F163" i="5"/>
  <c r="E163" i="5"/>
  <c r="P162" i="5"/>
  <c r="N162" i="5"/>
  <c r="M162" i="5"/>
  <c r="L162" i="5"/>
  <c r="K162" i="5"/>
  <c r="J162" i="5"/>
  <c r="I162" i="5"/>
  <c r="F162" i="5"/>
  <c r="E162" i="5"/>
  <c r="P161" i="5"/>
  <c r="N161" i="5"/>
  <c r="M161" i="5"/>
  <c r="L161" i="5"/>
  <c r="K161" i="5"/>
  <c r="J161" i="5"/>
  <c r="I161" i="5"/>
  <c r="F161" i="5"/>
  <c r="E161" i="5"/>
  <c r="P160" i="5"/>
  <c r="N160" i="5"/>
  <c r="M160" i="5"/>
  <c r="L160" i="5"/>
  <c r="K160" i="5"/>
  <c r="J160" i="5"/>
  <c r="I160" i="5"/>
  <c r="F160" i="5"/>
  <c r="E160" i="5"/>
  <c r="P159" i="5"/>
  <c r="N159" i="5"/>
  <c r="M159" i="5"/>
  <c r="L159" i="5"/>
  <c r="K159" i="5"/>
  <c r="J159" i="5"/>
  <c r="I159" i="5"/>
  <c r="F159" i="5"/>
  <c r="E159" i="5"/>
  <c r="P158" i="5"/>
  <c r="N158" i="5"/>
  <c r="M158" i="5"/>
  <c r="L158" i="5"/>
  <c r="K158" i="5"/>
  <c r="J158" i="5"/>
  <c r="I158" i="5"/>
  <c r="F158" i="5"/>
  <c r="E158" i="5"/>
  <c r="P157" i="5"/>
  <c r="N157" i="5"/>
  <c r="M157" i="5"/>
  <c r="L157" i="5"/>
  <c r="K157" i="5"/>
  <c r="J157" i="5"/>
  <c r="I157" i="5"/>
  <c r="F157" i="5"/>
  <c r="E157" i="5"/>
  <c r="P156" i="5"/>
  <c r="N156" i="5"/>
  <c r="M156" i="5"/>
  <c r="L156" i="5"/>
  <c r="K156" i="5"/>
  <c r="J156" i="5"/>
  <c r="I156" i="5"/>
  <c r="F156" i="5"/>
  <c r="E156" i="5"/>
  <c r="P155" i="5"/>
  <c r="N155" i="5"/>
  <c r="M155" i="5"/>
  <c r="L155" i="5"/>
  <c r="K155" i="5"/>
  <c r="J155" i="5"/>
  <c r="I155" i="5"/>
  <c r="F155" i="5"/>
  <c r="E155" i="5"/>
  <c r="P154" i="5"/>
  <c r="N154" i="5"/>
  <c r="M154" i="5"/>
  <c r="L154" i="5"/>
  <c r="K154" i="5"/>
  <c r="J154" i="5"/>
  <c r="I154" i="5"/>
  <c r="F154" i="5"/>
  <c r="E154" i="5"/>
  <c r="P153" i="5"/>
  <c r="N153" i="5"/>
  <c r="M153" i="5"/>
  <c r="L153" i="5"/>
  <c r="K153" i="5"/>
  <c r="J153" i="5"/>
  <c r="I153" i="5"/>
  <c r="F153" i="5"/>
  <c r="E153" i="5"/>
  <c r="P152" i="5"/>
  <c r="N152" i="5"/>
  <c r="M152" i="5"/>
  <c r="L152" i="5"/>
  <c r="K152" i="5"/>
  <c r="J152" i="5"/>
  <c r="I152" i="5"/>
  <c r="F152" i="5"/>
  <c r="E152" i="5"/>
  <c r="P151" i="5"/>
  <c r="N151" i="5"/>
  <c r="M151" i="5"/>
  <c r="L151" i="5"/>
  <c r="K151" i="5"/>
  <c r="J151" i="5"/>
  <c r="I151" i="5"/>
  <c r="F151" i="5"/>
  <c r="E151" i="5"/>
  <c r="P150" i="5"/>
  <c r="N150" i="5"/>
  <c r="M150" i="5"/>
  <c r="L150" i="5"/>
  <c r="K150" i="5"/>
  <c r="J150" i="5"/>
  <c r="I150" i="5"/>
  <c r="F150" i="5"/>
  <c r="E150" i="5"/>
  <c r="P149" i="5"/>
  <c r="N149" i="5"/>
  <c r="M149" i="5"/>
  <c r="L149" i="5"/>
  <c r="K149" i="5"/>
  <c r="J149" i="5"/>
  <c r="I149" i="5"/>
  <c r="F149" i="5"/>
  <c r="E149" i="5"/>
  <c r="P148" i="5"/>
  <c r="N148" i="5"/>
  <c r="M148" i="5"/>
  <c r="L148" i="5"/>
  <c r="K148" i="5"/>
  <c r="J148" i="5"/>
  <c r="I148" i="5"/>
  <c r="F148" i="5"/>
  <c r="E148" i="5"/>
  <c r="P147" i="5"/>
  <c r="N147" i="5"/>
  <c r="M147" i="5"/>
  <c r="L147" i="5"/>
  <c r="K147" i="5"/>
  <c r="J147" i="5"/>
  <c r="I147" i="5"/>
  <c r="F147" i="5"/>
  <c r="E147" i="5"/>
  <c r="P146" i="5"/>
  <c r="N146" i="5"/>
  <c r="M146" i="5"/>
  <c r="L146" i="5"/>
  <c r="K146" i="5"/>
  <c r="J146" i="5"/>
  <c r="I146" i="5"/>
  <c r="F146" i="5"/>
  <c r="E146" i="5"/>
  <c r="P145" i="5"/>
  <c r="N145" i="5"/>
  <c r="M145" i="5"/>
  <c r="L145" i="5"/>
  <c r="K145" i="5"/>
  <c r="J145" i="5"/>
  <c r="I145" i="5"/>
  <c r="F145" i="5"/>
  <c r="E145" i="5"/>
  <c r="P144" i="5"/>
  <c r="N144" i="5"/>
  <c r="M144" i="5"/>
  <c r="L144" i="5"/>
  <c r="K144" i="5"/>
  <c r="J144" i="5"/>
  <c r="I144" i="5"/>
  <c r="F144" i="5"/>
  <c r="E144" i="5"/>
  <c r="P143" i="5"/>
  <c r="N143" i="5"/>
  <c r="M143" i="5"/>
  <c r="L143" i="5"/>
  <c r="K143" i="5"/>
  <c r="J143" i="5"/>
  <c r="I143" i="5"/>
  <c r="F143" i="5"/>
  <c r="E143" i="5"/>
  <c r="P142" i="5"/>
  <c r="N142" i="5"/>
  <c r="M142" i="5"/>
  <c r="L142" i="5"/>
  <c r="K142" i="5"/>
  <c r="J142" i="5"/>
  <c r="I142" i="5"/>
  <c r="F142" i="5"/>
  <c r="E142" i="5"/>
  <c r="P141" i="5"/>
  <c r="N141" i="5"/>
  <c r="M141" i="5"/>
  <c r="L141" i="5"/>
  <c r="K141" i="5"/>
  <c r="J141" i="5"/>
  <c r="I141" i="5"/>
  <c r="F141" i="5"/>
  <c r="E141" i="5"/>
  <c r="P140" i="5"/>
  <c r="N140" i="5"/>
  <c r="M140" i="5"/>
  <c r="L140" i="5"/>
  <c r="K140" i="5"/>
  <c r="J140" i="5"/>
  <c r="I140" i="5"/>
  <c r="F140" i="5"/>
  <c r="E140" i="5"/>
  <c r="P139" i="5"/>
  <c r="N139" i="5"/>
  <c r="M139" i="5"/>
  <c r="L139" i="5"/>
  <c r="K139" i="5"/>
  <c r="J139" i="5"/>
  <c r="I139" i="5"/>
  <c r="F139" i="5"/>
  <c r="E139" i="5"/>
  <c r="P138" i="5"/>
  <c r="N138" i="5"/>
  <c r="M138" i="5"/>
  <c r="L138" i="5"/>
  <c r="K138" i="5"/>
  <c r="J138" i="5"/>
  <c r="I138" i="5"/>
  <c r="F138" i="5"/>
  <c r="E138" i="5"/>
  <c r="P137" i="5"/>
  <c r="N137" i="5"/>
  <c r="M137" i="5"/>
  <c r="L137" i="5"/>
  <c r="K137" i="5"/>
  <c r="J137" i="5"/>
  <c r="I137" i="5"/>
  <c r="F137" i="5"/>
  <c r="E137" i="5"/>
  <c r="P136" i="5"/>
  <c r="N136" i="5"/>
  <c r="M136" i="5"/>
  <c r="L136" i="5"/>
  <c r="K136" i="5"/>
  <c r="J136" i="5"/>
  <c r="I136" i="5"/>
  <c r="F136" i="5"/>
  <c r="E136" i="5"/>
  <c r="P135" i="5"/>
  <c r="N135" i="5"/>
  <c r="M135" i="5"/>
  <c r="L135" i="5"/>
  <c r="K135" i="5"/>
  <c r="J135" i="5"/>
  <c r="I135" i="5"/>
  <c r="F135" i="5"/>
  <c r="E135" i="5"/>
  <c r="P134" i="5"/>
  <c r="N134" i="5"/>
  <c r="M134" i="5"/>
  <c r="L134" i="5"/>
  <c r="K134" i="5"/>
  <c r="J134" i="5"/>
  <c r="I134" i="5"/>
  <c r="F134" i="5"/>
  <c r="E134" i="5"/>
  <c r="P133" i="5"/>
  <c r="N133" i="5"/>
  <c r="M133" i="5"/>
  <c r="L133" i="5"/>
  <c r="K133" i="5"/>
  <c r="J133" i="5"/>
  <c r="I133" i="5"/>
  <c r="F133" i="5"/>
  <c r="E133" i="5"/>
  <c r="P132" i="5"/>
  <c r="N132" i="5"/>
  <c r="M132" i="5"/>
  <c r="L132" i="5"/>
  <c r="K132" i="5"/>
  <c r="J132" i="5"/>
  <c r="I132" i="5"/>
  <c r="F132" i="5"/>
  <c r="E132" i="5"/>
  <c r="P131" i="5"/>
  <c r="N131" i="5"/>
  <c r="M131" i="5"/>
  <c r="L131" i="5"/>
  <c r="K131" i="5"/>
  <c r="J131" i="5"/>
  <c r="I131" i="5"/>
  <c r="F131" i="5"/>
  <c r="E131" i="5"/>
  <c r="P130" i="5"/>
  <c r="N130" i="5"/>
  <c r="M130" i="5"/>
  <c r="L130" i="5"/>
  <c r="K130" i="5"/>
  <c r="J130" i="5"/>
  <c r="I130" i="5"/>
  <c r="F130" i="5"/>
  <c r="E130" i="5"/>
  <c r="P129" i="5"/>
  <c r="N129" i="5"/>
  <c r="M129" i="5"/>
  <c r="L129" i="5"/>
  <c r="K129" i="5"/>
  <c r="J129" i="5"/>
  <c r="I129" i="5"/>
  <c r="F129" i="5"/>
  <c r="E129" i="5"/>
  <c r="P128" i="5"/>
  <c r="N128" i="5"/>
  <c r="M128" i="5"/>
  <c r="L128" i="5"/>
  <c r="K128" i="5"/>
  <c r="J128" i="5"/>
  <c r="I128" i="5"/>
  <c r="F128" i="5"/>
  <c r="E128" i="5"/>
  <c r="P127" i="5"/>
  <c r="N127" i="5"/>
  <c r="M127" i="5"/>
  <c r="L127" i="5"/>
  <c r="K127" i="5"/>
  <c r="J127" i="5"/>
  <c r="I127" i="5"/>
  <c r="F127" i="5"/>
  <c r="E127" i="5"/>
  <c r="P126" i="5"/>
  <c r="N126" i="5"/>
  <c r="M126" i="5"/>
  <c r="L126" i="5"/>
  <c r="K126" i="5"/>
  <c r="J126" i="5"/>
  <c r="I126" i="5"/>
  <c r="F126" i="5"/>
  <c r="E126" i="5"/>
  <c r="P125" i="5"/>
  <c r="N125" i="5"/>
  <c r="M125" i="5"/>
  <c r="L125" i="5"/>
  <c r="K125" i="5"/>
  <c r="J125" i="5"/>
  <c r="I125" i="5"/>
  <c r="F125" i="5"/>
  <c r="E125" i="5"/>
  <c r="P124" i="5"/>
  <c r="N124" i="5"/>
  <c r="M124" i="5"/>
  <c r="L124" i="5"/>
  <c r="K124" i="5"/>
  <c r="J124" i="5"/>
  <c r="I124" i="5"/>
  <c r="F124" i="5"/>
  <c r="E124" i="5"/>
  <c r="P123" i="5"/>
  <c r="N123" i="5"/>
  <c r="M123" i="5"/>
  <c r="L123" i="5"/>
  <c r="K123" i="5"/>
  <c r="J123" i="5"/>
  <c r="I123" i="5"/>
  <c r="F123" i="5"/>
  <c r="E123" i="5"/>
  <c r="P122" i="5"/>
  <c r="N122" i="5"/>
  <c r="M122" i="5"/>
  <c r="L122" i="5"/>
  <c r="K122" i="5"/>
  <c r="J122" i="5"/>
  <c r="I122" i="5"/>
  <c r="F122" i="5"/>
  <c r="E122" i="5"/>
  <c r="P121" i="5"/>
  <c r="N121" i="5"/>
  <c r="M121" i="5"/>
  <c r="L121" i="5"/>
  <c r="K121" i="5"/>
  <c r="J121" i="5"/>
  <c r="I121" i="5"/>
  <c r="F121" i="5"/>
  <c r="E121" i="5"/>
  <c r="P120" i="5"/>
  <c r="N120" i="5"/>
  <c r="M120" i="5"/>
  <c r="L120" i="5"/>
  <c r="K120" i="5"/>
  <c r="J120" i="5"/>
  <c r="I120" i="5"/>
  <c r="F120" i="5"/>
  <c r="E120" i="5"/>
  <c r="P119" i="5"/>
  <c r="N119" i="5"/>
  <c r="M119" i="5"/>
  <c r="L119" i="5"/>
  <c r="K119" i="5"/>
  <c r="J119" i="5"/>
  <c r="I119" i="5"/>
  <c r="F119" i="5"/>
  <c r="E119" i="5"/>
  <c r="P118" i="5"/>
  <c r="N118" i="5"/>
  <c r="M118" i="5"/>
  <c r="L118" i="5"/>
  <c r="K118" i="5"/>
  <c r="J118" i="5"/>
  <c r="I118" i="5"/>
  <c r="F118" i="5"/>
  <c r="E118" i="5"/>
  <c r="P117" i="5"/>
  <c r="N117" i="5"/>
  <c r="M117" i="5"/>
  <c r="L117" i="5"/>
  <c r="K117" i="5"/>
  <c r="J117" i="5"/>
  <c r="I117" i="5"/>
  <c r="F117" i="5"/>
  <c r="E117" i="5"/>
  <c r="P116" i="5"/>
  <c r="N116" i="5"/>
  <c r="M116" i="5"/>
  <c r="L116" i="5"/>
  <c r="K116" i="5"/>
  <c r="J116" i="5"/>
  <c r="I116" i="5"/>
  <c r="F116" i="5"/>
  <c r="E116" i="5"/>
  <c r="P115" i="5"/>
  <c r="N115" i="5"/>
  <c r="M115" i="5"/>
  <c r="L115" i="5"/>
  <c r="K115" i="5"/>
  <c r="J115" i="5"/>
  <c r="I115" i="5"/>
  <c r="F115" i="5"/>
  <c r="E115" i="5"/>
  <c r="P114" i="5"/>
  <c r="N114" i="5"/>
  <c r="M114" i="5"/>
  <c r="L114" i="5"/>
  <c r="K114" i="5"/>
  <c r="J114" i="5"/>
  <c r="I114" i="5"/>
  <c r="F114" i="5"/>
  <c r="E114" i="5"/>
  <c r="P113" i="5"/>
  <c r="N113" i="5"/>
  <c r="M113" i="5"/>
  <c r="L113" i="5"/>
  <c r="K113" i="5"/>
  <c r="J113" i="5"/>
  <c r="I113" i="5"/>
  <c r="F113" i="5"/>
  <c r="E113" i="5"/>
  <c r="P112" i="5"/>
  <c r="N112" i="5"/>
  <c r="M112" i="5"/>
  <c r="L112" i="5"/>
  <c r="K112" i="5"/>
  <c r="J112" i="5"/>
  <c r="I112" i="5"/>
  <c r="F112" i="5"/>
  <c r="E112" i="5"/>
  <c r="P111" i="5"/>
  <c r="N111" i="5"/>
  <c r="M111" i="5"/>
  <c r="L111" i="5"/>
  <c r="K111" i="5"/>
  <c r="J111" i="5"/>
  <c r="I111" i="5"/>
  <c r="F111" i="5"/>
  <c r="E111" i="5"/>
  <c r="P110" i="5"/>
  <c r="N110" i="5"/>
  <c r="M110" i="5"/>
  <c r="L110" i="5"/>
  <c r="K110" i="5"/>
  <c r="J110" i="5"/>
  <c r="I110" i="5"/>
  <c r="F110" i="5"/>
  <c r="E110" i="5"/>
  <c r="P109" i="5"/>
  <c r="N109" i="5"/>
  <c r="M109" i="5"/>
  <c r="L109" i="5"/>
  <c r="K109" i="5"/>
  <c r="J109" i="5"/>
  <c r="I109" i="5"/>
  <c r="F109" i="5"/>
  <c r="E109" i="5"/>
  <c r="P108" i="5"/>
  <c r="N108" i="5"/>
  <c r="M108" i="5"/>
  <c r="L108" i="5"/>
  <c r="K108" i="5"/>
  <c r="J108" i="5"/>
  <c r="I108" i="5"/>
  <c r="F108" i="5"/>
  <c r="E108" i="5"/>
  <c r="P107" i="5"/>
  <c r="N107" i="5"/>
  <c r="M107" i="5"/>
  <c r="L107" i="5"/>
  <c r="K107" i="5"/>
  <c r="J107" i="5"/>
  <c r="I107" i="5"/>
  <c r="F107" i="5"/>
  <c r="E107" i="5"/>
  <c r="P106" i="5"/>
  <c r="N106" i="5"/>
  <c r="M106" i="5"/>
  <c r="L106" i="5"/>
  <c r="K106" i="5"/>
  <c r="J106" i="5"/>
  <c r="I106" i="5"/>
  <c r="F106" i="5"/>
  <c r="E106" i="5"/>
  <c r="P105" i="5"/>
  <c r="N105" i="5"/>
  <c r="M105" i="5"/>
  <c r="L105" i="5"/>
  <c r="K105" i="5"/>
  <c r="J105" i="5"/>
  <c r="I105" i="5"/>
  <c r="F105" i="5"/>
  <c r="E105" i="5"/>
  <c r="P104" i="5"/>
  <c r="N104" i="5"/>
  <c r="M104" i="5"/>
  <c r="L104" i="5"/>
  <c r="K104" i="5"/>
  <c r="J104" i="5"/>
  <c r="I104" i="5"/>
  <c r="F104" i="5"/>
  <c r="E104" i="5"/>
  <c r="P103" i="5"/>
  <c r="N103" i="5"/>
  <c r="M103" i="5"/>
  <c r="L103" i="5"/>
  <c r="K103" i="5"/>
  <c r="J103" i="5"/>
  <c r="I103" i="5"/>
  <c r="F103" i="5"/>
  <c r="E103" i="5"/>
  <c r="P102" i="5"/>
  <c r="N102" i="5"/>
  <c r="M102" i="5"/>
  <c r="L102" i="5"/>
  <c r="K102" i="5"/>
  <c r="J102" i="5"/>
  <c r="I102" i="5"/>
  <c r="F102" i="5"/>
  <c r="E102" i="5"/>
  <c r="P101" i="5"/>
  <c r="N101" i="5"/>
  <c r="M101" i="5"/>
  <c r="L101" i="5"/>
  <c r="K101" i="5"/>
  <c r="J101" i="5"/>
  <c r="I101" i="5"/>
  <c r="F101" i="5"/>
  <c r="E101" i="5"/>
  <c r="P100" i="5"/>
  <c r="N100" i="5"/>
  <c r="M100" i="5"/>
  <c r="L100" i="5"/>
  <c r="K100" i="5"/>
  <c r="J100" i="5"/>
  <c r="I100" i="5"/>
  <c r="F100" i="5"/>
  <c r="E100" i="5"/>
  <c r="P99" i="5"/>
  <c r="N99" i="5"/>
  <c r="M99" i="5"/>
  <c r="L99" i="5"/>
  <c r="K99" i="5"/>
  <c r="J99" i="5"/>
  <c r="I99" i="5"/>
  <c r="F99" i="5"/>
  <c r="E99" i="5"/>
  <c r="P98" i="5"/>
  <c r="N98" i="5"/>
  <c r="M98" i="5"/>
  <c r="L98" i="5"/>
  <c r="K98" i="5"/>
  <c r="J98" i="5"/>
  <c r="I98" i="5"/>
  <c r="F98" i="5"/>
  <c r="E98" i="5"/>
  <c r="P97" i="5"/>
  <c r="N97" i="5"/>
  <c r="M97" i="5"/>
  <c r="L97" i="5"/>
  <c r="K97" i="5"/>
  <c r="J97" i="5"/>
  <c r="I97" i="5"/>
  <c r="F97" i="5"/>
  <c r="E97" i="5"/>
  <c r="P96" i="5"/>
  <c r="N96" i="5"/>
  <c r="M96" i="5"/>
  <c r="L96" i="5"/>
  <c r="K96" i="5"/>
  <c r="J96" i="5"/>
  <c r="I96" i="5"/>
  <c r="F96" i="5"/>
  <c r="E96" i="5"/>
  <c r="P95" i="5"/>
  <c r="N95" i="5"/>
  <c r="M95" i="5"/>
  <c r="L95" i="5"/>
  <c r="K95" i="5"/>
  <c r="J95" i="5"/>
  <c r="I95" i="5"/>
  <c r="F95" i="5"/>
  <c r="E95" i="5"/>
  <c r="P94" i="5"/>
  <c r="N94" i="5"/>
  <c r="M94" i="5"/>
  <c r="L94" i="5"/>
  <c r="K94" i="5"/>
  <c r="J94" i="5"/>
  <c r="I94" i="5"/>
  <c r="F94" i="5"/>
  <c r="E94" i="5"/>
  <c r="P93" i="5"/>
  <c r="N93" i="5"/>
  <c r="M93" i="5"/>
  <c r="L93" i="5"/>
  <c r="K93" i="5"/>
  <c r="J93" i="5"/>
  <c r="I93" i="5"/>
  <c r="F93" i="5"/>
  <c r="E93" i="5"/>
  <c r="P92" i="5"/>
  <c r="N92" i="5"/>
  <c r="M92" i="5"/>
  <c r="L92" i="5"/>
  <c r="K92" i="5"/>
  <c r="J92" i="5"/>
  <c r="I92" i="5"/>
  <c r="F92" i="5"/>
  <c r="E92" i="5"/>
  <c r="P91" i="5"/>
  <c r="N91" i="5"/>
  <c r="M91" i="5"/>
  <c r="L91" i="5"/>
  <c r="K91" i="5"/>
  <c r="J91" i="5"/>
  <c r="I91" i="5"/>
  <c r="F91" i="5"/>
  <c r="E91" i="5"/>
  <c r="P90" i="5"/>
  <c r="N90" i="5"/>
  <c r="M90" i="5"/>
  <c r="L90" i="5"/>
  <c r="K90" i="5"/>
  <c r="J90" i="5"/>
  <c r="I90" i="5"/>
  <c r="F90" i="5"/>
  <c r="E90" i="5"/>
  <c r="P89" i="5"/>
  <c r="N89" i="5"/>
  <c r="M89" i="5"/>
  <c r="L89" i="5"/>
  <c r="K89" i="5"/>
  <c r="J89" i="5"/>
  <c r="I89" i="5"/>
  <c r="F89" i="5"/>
  <c r="E89" i="5"/>
  <c r="P88" i="5"/>
  <c r="N88" i="5"/>
  <c r="M88" i="5"/>
  <c r="L88" i="5"/>
  <c r="K88" i="5"/>
  <c r="J88" i="5"/>
  <c r="I88" i="5"/>
  <c r="F88" i="5"/>
  <c r="E88" i="5"/>
  <c r="P87" i="5"/>
  <c r="N87" i="5"/>
  <c r="M87" i="5"/>
  <c r="L87" i="5"/>
  <c r="K87" i="5"/>
  <c r="J87" i="5"/>
  <c r="I87" i="5"/>
  <c r="F87" i="5"/>
  <c r="E87" i="5"/>
  <c r="P86" i="5"/>
  <c r="N86" i="5"/>
  <c r="M86" i="5"/>
  <c r="L86" i="5"/>
  <c r="K86" i="5"/>
  <c r="J86" i="5"/>
  <c r="I86" i="5"/>
  <c r="F86" i="5"/>
  <c r="E86" i="5"/>
  <c r="P85" i="5"/>
  <c r="N85" i="5"/>
  <c r="M85" i="5"/>
  <c r="L85" i="5"/>
  <c r="K85" i="5"/>
  <c r="J85" i="5"/>
  <c r="I85" i="5"/>
  <c r="F85" i="5"/>
  <c r="E85" i="5"/>
  <c r="P84" i="5"/>
  <c r="N84" i="5"/>
  <c r="M84" i="5"/>
  <c r="L84" i="5"/>
  <c r="K84" i="5"/>
  <c r="J84" i="5"/>
  <c r="I84" i="5"/>
  <c r="F84" i="5"/>
  <c r="E84" i="5"/>
  <c r="P83" i="5"/>
  <c r="N83" i="5"/>
  <c r="M83" i="5"/>
  <c r="L83" i="5"/>
  <c r="K83" i="5"/>
  <c r="J83" i="5"/>
  <c r="I83" i="5"/>
  <c r="F83" i="5"/>
  <c r="E83" i="5"/>
  <c r="P82" i="5"/>
  <c r="N82" i="5"/>
  <c r="M82" i="5"/>
  <c r="L82" i="5"/>
  <c r="K82" i="5"/>
  <c r="J82" i="5"/>
  <c r="I82" i="5"/>
  <c r="F82" i="5"/>
  <c r="E82" i="5"/>
  <c r="P81" i="5"/>
  <c r="N81" i="5"/>
  <c r="M81" i="5"/>
  <c r="L81" i="5"/>
  <c r="K81" i="5"/>
  <c r="J81" i="5"/>
  <c r="I81" i="5"/>
  <c r="F81" i="5"/>
  <c r="E81" i="5"/>
  <c r="P80" i="5"/>
  <c r="N80" i="5"/>
  <c r="M80" i="5"/>
  <c r="L80" i="5"/>
  <c r="K80" i="5"/>
  <c r="J80" i="5"/>
  <c r="I80" i="5"/>
  <c r="F80" i="5"/>
  <c r="E80" i="5"/>
  <c r="P79" i="5"/>
  <c r="N79" i="5"/>
  <c r="M79" i="5"/>
  <c r="L79" i="5"/>
  <c r="K79" i="5"/>
  <c r="J79" i="5"/>
  <c r="I79" i="5"/>
  <c r="F79" i="5"/>
  <c r="E79" i="5"/>
  <c r="P78" i="5"/>
  <c r="N78" i="5"/>
  <c r="M78" i="5"/>
  <c r="L78" i="5"/>
  <c r="K78" i="5"/>
  <c r="J78" i="5"/>
  <c r="I78" i="5"/>
  <c r="F78" i="5"/>
  <c r="E78" i="5"/>
  <c r="P77" i="5"/>
  <c r="N77" i="5"/>
  <c r="M77" i="5"/>
  <c r="L77" i="5"/>
  <c r="K77" i="5"/>
  <c r="J77" i="5"/>
  <c r="I77" i="5"/>
  <c r="F77" i="5"/>
  <c r="E77" i="5"/>
  <c r="P76" i="5"/>
  <c r="N76" i="5"/>
  <c r="M76" i="5"/>
  <c r="L76" i="5"/>
  <c r="K76" i="5"/>
  <c r="J76" i="5"/>
  <c r="I76" i="5"/>
  <c r="F76" i="5"/>
  <c r="E76" i="5"/>
  <c r="P75" i="5"/>
  <c r="N75" i="5"/>
  <c r="M75" i="5"/>
  <c r="L75" i="5"/>
  <c r="K75" i="5"/>
  <c r="J75" i="5"/>
  <c r="I75" i="5"/>
  <c r="F75" i="5"/>
  <c r="E75" i="5"/>
  <c r="P74" i="5"/>
  <c r="N74" i="5"/>
  <c r="M74" i="5"/>
  <c r="L74" i="5"/>
  <c r="K74" i="5"/>
  <c r="J74" i="5"/>
  <c r="I74" i="5"/>
  <c r="F74" i="5"/>
  <c r="E74" i="5"/>
  <c r="P73" i="5"/>
  <c r="N73" i="5"/>
  <c r="M73" i="5"/>
  <c r="L73" i="5"/>
  <c r="K73" i="5"/>
  <c r="J73" i="5"/>
  <c r="I73" i="5"/>
  <c r="F73" i="5"/>
  <c r="E73" i="5"/>
  <c r="P72" i="5"/>
  <c r="N72" i="5"/>
  <c r="M72" i="5"/>
  <c r="L72" i="5"/>
  <c r="K72" i="5"/>
  <c r="J72" i="5"/>
  <c r="I72" i="5"/>
  <c r="F72" i="5"/>
  <c r="E72" i="5"/>
  <c r="P71" i="5"/>
  <c r="N71" i="5"/>
  <c r="M71" i="5"/>
  <c r="L71" i="5"/>
  <c r="K71" i="5"/>
  <c r="J71" i="5"/>
  <c r="I71" i="5"/>
  <c r="F71" i="5"/>
  <c r="E71" i="5"/>
  <c r="P70" i="5"/>
  <c r="N70" i="5"/>
  <c r="M70" i="5"/>
  <c r="L70" i="5"/>
  <c r="K70" i="5"/>
  <c r="J70" i="5"/>
  <c r="I70" i="5"/>
  <c r="F70" i="5"/>
  <c r="E70" i="5"/>
  <c r="P69" i="5"/>
  <c r="N69" i="5"/>
  <c r="M69" i="5"/>
  <c r="L69" i="5"/>
  <c r="K69" i="5"/>
  <c r="J69" i="5"/>
  <c r="I69" i="5"/>
  <c r="F69" i="5"/>
  <c r="E69" i="5"/>
  <c r="P68" i="5"/>
  <c r="N68" i="5"/>
  <c r="M68" i="5"/>
  <c r="L68" i="5"/>
  <c r="K68" i="5"/>
  <c r="J68" i="5"/>
  <c r="I68" i="5"/>
  <c r="F68" i="5"/>
  <c r="E68" i="5"/>
  <c r="P67" i="5"/>
  <c r="N67" i="5"/>
  <c r="M67" i="5"/>
  <c r="L67" i="5"/>
  <c r="K67" i="5"/>
  <c r="J67" i="5"/>
  <c r="I67" i="5"/>
  <c r="F67" i="5"/>
  <c r="E67" i="5"/>
  <c r="P66" i="5"/>
  <c r="N66" i="5"/>
  <c r="M66" i="5"/>
  <c r="L66" i="5"/>
  <c r="K66" i="5"/>
  <c r="J66" i="5"/>
  <c r="I66" i="5"/>
  <c r="F66" i="5"/>
  <c r="E66" i="5"/>
  <c r="P65" i="5"/>
  <c r="N65" i="5"/>
  <c r="M65" i="5"/>
  <c r="L65" i="5"/>
  <c r="K65" i="5"/>
  <c r="J65" i="5"/>
  <c r="I65" i="5"/>
  <c r="F65" i="5"/>
  <c r="E65" i="5"/>
  <c r="P64" i="5"/>
  <c r="N64" i="5"/>
  <c r="M64" i="5"/>
  <c r="L64" i="5"/>
  <c r="K64" i="5"/>
  <c r="J64" i="5"/>
  <c r="I64" i="5"/>
  <c r="F64" i="5"/>
  <c r="E64" i="5"/>
  <c r="P63" i="5"/>
  <c r="N63" i="5"/>
  <c r="M63" i="5"/>
  <c r="L63" i="5"/>
  <c r="K63" i="5"/>
  <c r="J63" i="5"/>
  <c r="I63" i="5"/>
  <c r="F63" i="5"/>
  <c r="E63" i="5"/>
  <c r="P62" i="5"/>
  <c r="N62" i="5"/>
  <c r="M62" i="5"/>
  <c r="L62" i="5"/>
  <c r="K62" i="5"/>
  <c r="J62" i="5"/>
  <c r="I62" i="5"/>
  <c r="F62" i="5"/>
  <c r="E62" i="5"/>
  <c r="P61" i="5"/>
  <c r="N61" i="5"/>
  <c r="M61" i="5"/>
  <c r="L61" i="5"/>
  <c r="K61" i="5"/>
  <c r="J61" i="5"/>
  <c r="I61" i="5"/>
  <c r="F61" i="5"/>
  <c r="E61" i="5"/>
  <c r="P60" i="5"/>
  <c r="N60" i="5"/>
  <c r="M60" i="5"/>
  <c r="L60" i="5"/>
  <c r="K60" i="5"/>
  <c r="J60" i="5"/>
  <c r="I60" i="5"/>
  <c r="F60" i="5"/>
  <c r="E60" i="5"/>
  <c r="P59" i="5"/>
  <c r="N59" i="5"/>
  <c r="M59" i="5"/>
  <c r="L59" i="5"/>
  <c r="K59" i="5"/>
  <c r="J59" i="5"/>
  <c r="I59" i="5"/>
  <c r="F59" i="5"/>
  <c r="E59" i="5"/>
  <c r="P58" i="5"/>
  <c r="N58" i="5"/>
  <c r="M58" i="5"/>
  <c r="L58" i="5"/>
  <c r="K58" i="5"/>
  <c r="J58" i="5"/>
  <c r="I58" i="5"/>
  <c r="F58" i="5"/>
  <c r="E58" i="5"/>
  <c r="P57" i="5"/>
  <c r="N57" i="5"/>
  <c r="M57" i="5"/>
  <c r="L57" i="5"/>
  <c r="K57" i="5"/>
  <c r="J57" i="5"/>
  <c r="I57" i="5"/>
  <c r="F57" i="5"/>
  <c r="E57" i="5"/>
  <c r="P56" i="5"/>
  <c r="N56" i="5"/>
  <c r="M56" i="5"/>
  <c r="L56" i="5"/>
  <c r="K56" i="5"/>
  <c r="J56" i="5"/>
  <c r="I56" i="5"/>
  <c r="F56" i="5"/>
  <c r="E56" i="5"/>
  <c r="P55" i="5"/>
  <c r="N55" i="5"/>
  <c r="M55" i="5"/>
  <c r="L55" i="5"/>
  <c r="K55" i="5"/>
  <c r="J55" i="5"/>
  <c r="I55" i="5"/>
  <c r="F55" i="5"/>
  <c r="E55" i="5"/>
  <c r="P54" i="5"/>
  <c r="N54" i="5"/>
  <c r="M54" i="5"/>
  <c r="L54" i="5"/>
  <c r="K54" i="5"/>
  <c r="J54" i="5"/>
  <c r="I54" i="5"/>
  <c r="F54" i="5"/>
  <c r="E54" i="5"/>
  <c r="P53" i="5"/>
  <c r="N53" i="5"/>
  <c r="M53" i="5"/>
  <c r="L53" i="5"/>
  <c r="K53" i="5"/>
  <c r="J53" i="5"/>
  <c r="I53" i="5"/>
  <c r="F53" i="5"/>
  <c r="E53" i="5"/>
  <c r="P52" i="5"/>
  <c r="N52" i="5"/>
  <c r="M52" i="5"/>
  <c r="L52" i="5"/>
  <c r="K52" i="5"/>
  <c r="J52" i="5"/>
  <c r="I52" i="5"/>
  <c r="F52" i="5"/>
  <c r="E52" i="5"/>
  <c r="P51" i="5"/>
  <c r="N51" i="5"/>
  <c r="M51" i="5"/>
  <c r="L51" i="5"/>
  <c r="K51" i="5"/>
  <c r="J51" i="5"/>
  <c r="I51" i="5"/>
  <c r="F51" i="5"/>
  <c r="E51" i="5"/>
  <c r="P50" i="5"/>
  <c r="N50" i="5"/>
  <c r="M50" i="5"/>
  <c r="L50" i="5"/>
  <c r="K50" i="5"/>
  <c r="J50" i="5"/>
  <c r="I50" i="5"/>
  <c r="F50" i="5"/>
  <c r="E50" i="5"/>
  <c r="P49" i="5"/>
  <c r="N49" i="5"/>
  <c r="M49" i="5"/>
  <c r="L49" i="5"/>
  <c r="K49" i="5"/>
  <c r="J49" i="5"/>
  <c r="I49" i="5"/>
  <c r="F49" i="5"/>
  <c r="E49" i="5"/>
  <c r="P48" i="5"/>
  <c r="N48" i="5"/>
  <c r="M48" i="5"/>
  <c r="L48" i="5"/>
  <c r="K48" i="5"/>
  <c r="J48" i="5"/>
  <c r="I48" i="5"/>
  <c r="F48" i="5"/>
  <c r="E48" i="5"/>
  <c r="P47" i="5"/>
  <c r="N47" i="5"/>
  <c r="M47" i="5"/>
  <c r="L47" i="5"/>
  <c r="K47" i="5"/>
  <c r="J47" i="5"/>
  <c r="I47" i="5"/>
  <c r="F47" i="5"/>
  <c r="E47" i="5"/>
  <c r="P46" i="5"/>
  <c r="N46" i="5"/>
  <c r="M46" i="5"/>
  <c r="L46" i="5"/>
  <c r="K46" i="5"/>
  <c r="J46" i="5"/>
  <c r="I46" i="5"/>
  <c r="F46" i="5"/>
  <c r="E46" i="5"/>
  <c r="P45" i="5"/>
  <c r="N45" i="5"/>
  <c r="M45" i="5"/>
  <c r="L45" i="5"/>
  <c r="K45" i="5"/>
  <c r="J45" i="5"/>
  <c r="I45" i="5"/>
  <c r="F45" i="5"/>
  <c r="E45" i="5"/>
  <c r="P44" i="5"/>
  <c r="N44" i="5"/>
  <c r="M44" i="5"/>
  <c r="L44" i="5"/>
  <c r="K44" i="5"/>
  <c r="J44" i="5"/>
  <c r="I44" i="5"/>
  <c r="F44" i="5"/>
  <c r="E44" i="5"/>
  <c r="P43" i="5"/>
  <c r="N43" i="5"/>
  <c r="M43" i="5"/>
  <c r="L43" i="5"/>
  <c r="K43" i="5"/>
  <c r="J43" i="5"/>
  <c r="I43" i="5"/>
  <c r="F43" i="5"/>
  <c r="E43" i="5"/>
  <c r="P42" i="5"/>
  <c r="N42" i="5"/>
  <c r="M42" i="5"/>
  <c r="L42" i="5"/>
  <c r="K42" i="5"/>
  <c r="J42" i="5"/>
  <c r="I42" i="5"/>
  <c r="F42" i="5"/>
  <c r="E42" i="5"/>
  <c r="P41" i="5"/>
  <c r="N41" i="5"/>
  <c r="M41" i="5"/>
  <c r="L41" i="5"/>
  <c r="K41" i="5"/>
  <c r="J41" i="5"/>
  <c r="I41" i="5"/>
  <c r="F41" i="5"/>
  <c r="E41" i="5"/>
  <c r="P40" i="5"/>
  <c r="N40" i="5"/>
  <c r="M40" i="5"/>
  <c r="L40" i="5"/>
  <c r="K40" i="5"/>
  <c r="J40" i="5"/>
  <c r="I40" i="5"/>
  <c r="F40" i="5"/>
  <c r="E40" i="5"/>
  <c r="P39" i="5"/>
  <c r="N39" i="5"/>
  <c r="M39" i="5"/>
  <c r="L39" i="5"/>
  <c r="K39" i="5"/>
  <c r="J39" i="5"/>
  <c r="I39" i="5"/>
  <c r="F39" i="5"/>
  <c r="E39" i="5"/>
  <c r="P38" i="5"/>
  <c r="N38" i="5"/>
  <c r="M38" i="5"/>
  <c r="L38" i="5"/>
  <c r="K38" i="5"/>
  <c r="J38" i="5"/>
  <c r="I38" i="5"/>
  <c r="F38" i="5"/>
  <c r="E38" i="5"/>
  <c r="P37" i="5"/>
  <c r="N37" i="5"/>
  <c r="M37" i="5"/>
  <c r="L37" i="5"/>
  <c r="K37" i="5"/>
  <c r="J37" i="5"/>
  <c r="I37" i="5"/>
  <c r="F37" i="5"/>
  <c r="E37" i="5"/>
  <c r="P36" i="5"/>
  <c r="N36" i="5"/>
  <c r="M36" i="5"/>
  <c r="L36" i="5"/>
  <c r="K36" i="5"/>
  <c r="J36" i="5"/>
  <c r="I36" i="5"/>
  <c r="F36" i="5"/>
  <c r="E36" i="5"/>
  <c r="P35" i="5"/>
  <c r="N35" i="5"/>
  <c r="M35" i="5"/>
  <c r="L35" i="5"/>
  <c r="K35" i="5"/>
  <c r="J35" i="5"/>
  <c r="I35" i="5"/>
  <c r="F35" i="5"/>
  <c r="E35" i="5"/>
  <c r="P34" i="5"/>
  <c r="N34" i="5"/>
  <c r="M34" i="5"/>
  <c r="L34" i="5"/>
  <c r="K34" i="5"/>
  <c r="J34" i="5"/>
  <c r="I34" i="5"/>
  <c r="F34" i="5"/>
  <c r="E34" i="5"/>
  <c r="P33" i="5"/>
  <c r="N33" i="5"/>
  <c r="M33" i="5"/>
  <c r="L33" i="5"/>
  <c r="K33" i="5"/>
  <c r="J33" i="5"/>
  <c r="I33" i="5"/>
  <c r="F33" i="5"/>
  <c r="E33" i="5"/>
  <c r="P32" i="5"/>
  <c r="N32" i="5"/>
  <c r="M32" i="5"/>
  <c r="L32" i="5"/>
  <c r="K32" i="5"/>
  <c r="J32" i="5"/>
  <c r="I32" i="5"/>
  <c r="F32" i="5"/>
  <c r="E32" i="5"/>
  <c r="P31" i="5"/>
  <c r="N31" i="5"/>
  <c r="M31" i="5"/>
  <c r="L31" i="5"/>
  <c r="K31" i="5"/>
  <c r="J31" i="5"/>
  <c r="I31" i="5"/>
  <c r="F31" i="5"/>
  <c r="E31" i="5"/>
  <c r="P30" i="5"/>
  <c r="N30" i="5"/>
  <c r="M30" i="5"/>
  <c r="L30" i="5"/>
  <c r="K30" i="5"/>
  <c r="J30" i="5"/>
  <c r="I30" i="5"/>
  <c r="F30" i="5"/>
  <c r="E30" i="5"/>
  <c r="P29" i="5"/>
  <c r="N29" i="5"/>
  <c r="M29" i="5"/>
  <c r="L29" i="5"/>
  <c r="K29" i="5"/>
  <c r="J29" i="5"/>
  <c r="I29" i="5"/>
  <c r="F29" i="5"/>
  <c r="E29" i="5"/>
  <c r="P28" i="5"/>
  <c r="N28" i="5"/>
  <c r="M28" i="5"/>
  <c r="L28" i="5"/>
  <c r="K28" i="5"/>
  <c r="J28" i="5"/>
  <c r="I28" i="5"/>
  <c r="F28" i="5"/>
  <c r="E28" i="5"/>
  <c r="P27" i="5"/>
  <c r="N27" i="5"/>
  <c r="M27" i="5"/>
  <c r="L27" i="5"/>
  <c r="K27" i="5"/>
  <c r="J27" i="5"/>
  <c r="I27" i="5"/>
  <c r="F27" i="5"/>
  <c r="E27" i="5"/>
  <c r="P26" i="5"/>
  <c r="N26" i="5"/>
  <c r="M26" i="5"/>
  <c r="L26" i="5"/>
  <c r="K26" i="5"/>
  <c r="J26" i="5"/>
  <c r="I26" i="5"/>
  <c r="F26" i="5"/>
  <c r="E26" i="5"/>
  <c r="P25" i="5"/>
  <c r="N25" i="5"/>
  <c r="M25" i="5"/>
  <c r="L25" i="5"/>
  <c r="K25" i="5"/>
  <c r="J25" i="5"/>
  <c r="I25" i="5"/>
  <c r="F25" i="5"/>
  <c r="E25" i="5"/>
  <c r="P24" i="5"/>
  <c r="N24" i="5"/>
  <c r="M24" i="5"/>
  <c r="L24" i="5"/>
  <c r="K24" i="5"/>
  <c r="J24" i="5"/>
  <c r="I24" i="5"/>
  <c r="F24" i="5"/>
  <c r="E24" i="5"/>
  <c r="P23" i="5"/>
  <c r="N23" i="5"/>
  <c r="M23" i="5"/>
  <c r="L23" i="5"/>
  <c r="K23" i="5"/>
  <c r="J23" i="5"/>
  <c r="I23" i="5"/>
  <c r="F23" i="5"/>
  <c r="E23" i="5"/>
  <c r="P22" i="5"/>
  <c r="N22" i="5"/>
  <c r="M22" i="5"/>
  <c r="L22" i="5"/>
  <c r="K22" i="5"/>
  <c r="J22" i="5"/>
  <c r="I22" i="5"/>
  <c r="F22" i="5"/>
  <c r="E22" i="5"/>
  <c r="P21" i="5"/>
  <c r="N21" i="5"/>
  <c r="M21" i="5"/>
  <c r="L21" i="5"/>
  <c r="K21" i="5"/>
  <c r="J21" i="5"/>
  <c r="I21" i="5"/>
  <c r="F21" i="5"/>
  <c r="E21" i="5"/>
  <c r="P20" i="5"/>
  <c r="N20" i="5"/>
  <c r="M20" i="5"/>
  <c r="L20" i="5"/>
  <c r="K20" i="5"/>
  <c r="J20" i="5"/>
  <c r="I20" i="5"/>
  <c r="F20" i="5"/>
  <c r="E20" i="5"/>
  <c r="P19" i="5"/>
  <c r="N19" i="5"/>
  <c r="M19" i="5"/>
  <c r="L19" i="5"/>
  <c r="K19" i="5"/>
  <c r="J19" i="5"/>
  <c r="I19" i="5"/>
  <c r="F19" i="5"/>
  <c r="E19" i="5"/>
  <c r="P18" i="5"/>
  <c r="N18" i="5"/>
  <c r="M18" i="5"/>
  <c r="L18" i="5"/>
  <c r="K18" i="5"/>
  <c r="J18" i="5"/>
  <c r="I18" i="5"/>
  <c r="F18" i="5"/>
  <c r="E18" i="5"/>
  <c r="P17" i="5"/>
  <c r="N17" i="5"/>
  <c r="M17" i="5"/>
  <c r="L17" i="5"/>
  <c r="K17" i="5"/>
  <c r="J17" i="5"/>
  <c r="I17" i="5"/>
  <c r="F17" i="5"/>
  <c r="E17" i="5"/>
  <c r="P16" i="5"/>
  <c r="N16" i="5"/>
  <c r="M16" i="5"/>
  <c r="L16" i="5"/>
  <c r="K16" i="5"/>
  <c r="J16" i="5"/>
  <c r="I16" i="5"/>
  <c r="F16" i="5"/>
  <c r="E16" i="5"/>
  <c r="P15" i="5"/>
  <c r="N15" i="5"/>
  <c r="M15" i="5"/>
  <c r="L15" i="5"/>
  <c r="K15" i="5"/>
  <c r="J15" i="5"/>
  <c r="I15" i="5"/>
  <c r="F15" i="5"/>
  <c r="E15" i="5"/>
  <c r="P14" i="5"/>
  <c r="N14" i="5"/>
  <c r="M14" i="5"/>
  <c r="L14" i="5"/>
  <c r="K14" i="5"/>
  <c r="J14" i="5"/>
  <c r="I14" i="5"/>
  <c r="F14" i="5"/>
  <c r="E14" i="5"/>
  <c r="P13" i="5"/>
  <c r="N13" i="5"/>
  <c r="M13" i="5"/>
  <c r="L13" i="5"/>
  <c r="K13" i="5"/>
  <c r="J13" i="5"/>
  <c r="I13" i="5"/>
  <c r="F13" i="5"/>
  <c r="E13" i="5"/>
  <c r="P12" i="5"/>
  <c r="N12" i="5"/>
  <c r="M12" i="5"/>
  <c r="L12" i="5"/>
  <c r="K12" i="5"/>
  <c r="J12" i="5"/>
  <c r="I12" i="5"/>
  <c r="F12" i="5"/>
  <c r="E12" i="5"/>
  <c r="P11" i="5"/>
  <c r="N11" i="5"/>
  <c r="M11" i="5"/>
  <c r="L11" i="5"/>
  <c r="K11" i="5"/>
  <c r="J11" i="5"/>
  <c r="I11" i="5"/>
  <c r="F11" i="5"/>
  <c r="E11" i="5"/>
  <c r="P10" i="5"/>
  <c r="N10" i="5"/>
  <c r="M10" i="5"/>
  <c r="L10" i="5"/>
  <c r="K10" i="5"/>
  <c r="J10" i="5"/>
  <c r="I10" i="5"/>
  <c r="F10" i="5"/>
  <c r="E10" i="5"/>
  <c r="P9" i="5"/>
  <c r="N9" i="5"/>
  <c r="M9" i="5"/>
  <c r="L9" i="5"/>
  <c r="K9" i="5"/>
  <c r="J9" i="5"/>
  <c r="I9" i="5"/>
  <c r="F9" i="5"/>
  <c r="E9" i="5"/>
  <c r="P8" i="5"/>
  <c r="N8" i="5"/>
  <c r="M8" i="5"/>
  <c r="L8" i="5"/>
  <c r="K8" i="5"/>
  <c r="J8" i="5"/>
  <c r="I8" i="5"/>
  <c r="F8" i="5"/>
  <c r="E8" i="5"/>
  <c r="P7" i="5"/>
  <c r="N7" i="5"/>
  <c r="M7" i="5"/>
  <c r="L7" i="5"/>
  <c r="K7" i="5"/>
  <c r="J7" i="5"/>
  <c r="I7" i="5"/>
  <c r="F7" i="5"/>
  <c r="E7" i="5"/>
  <c r="P6" i="5"/>
  <c r="N6" i="5"/>
  <c r="M6" i="5"/>
  <c r="L6" i="5"/>
  <c r="K6" i="5"/>
  <c r="J6" i="5"/>
  <c r="I6" i="5"/>
  <c r="F6" i="5"/>
  <c r="E6" i="5"/>
  <c r="P5" i="5"/>
  <c r="N5" i="5"/>
  <c r="M5" i="5"/>
  <c r="L5" i="5"/>
  <c r="K5" i="5"/>
  <c r="J5" i="5"/>
  <c r="I5" i="5"/>
  <c r="F5" i="5"/>
  <c r="E5" i="5"/>
  <c r="P4" i="5"/>
  <c r="N4" i="5"/>
  <c r="M4" i="5"/>
  <c r="L4" i="5"/>
  <c r="K4" i="5"/>
  <c r="J4" i="5"/>
  <c r="I4" i="5"/>
  <c r="F4" i="5"/>
  <c r="E4" i="5"/>
  <c r="P3" i="5"/>
  <c r="N3" i="5"/>
  <c r="M3" i="5"/>
  <c r="L3" i="5"/>
  <c r="K3" i="5"/>
  <c r="J3" i="5"/>
  <c r="I3" i="5"/>
  <c r="F3" i="5"/>
  <c r="E3" i="5"/>
  <c r="P2" i="5"/>
  <c r="N2" i="5"/>
  <c r="M2" i="5"/>
  <c r="L2" i="5"/>
  <c r="K2" i="5"/>
  <c r="J2" i="5"/>
  <c r="I2" i="5"/>
  <c r="F2" i="5"/>
  <c r="E2" i="5"/>
</calcChain>
</file>

<file path=xl/sharedStrings.xml><?xml version="1.0" encoding="utf-8"?>
<sst xmlns="http://schemas.openxmlformats.org/spreadsheetml/2006/main" count="9271" uniqueCount="3564">
  <si>
    <t>MARCA</t>
  </si>
  <si>
    <t>EMAIL ENV</t>
  </si>
  <si>
    <t>PROPOSTA</t>
  </si>
  <si>
    <t>CONTATO TEL REAL DEV</t>
  </si>
  <si>
    <t>22.067.184/0001-40</t>
  </si>
  <si>
    <t>CAVALCANTE &amp; PANIAGO CURSOS PROFISSIONALIZANTES LT</t>
  </si>
  <si>
    <t>BUSCA PROCESSUAL POS</t>
  </si>
  <si>
    <t>CORRES DEVEDOR</t>
  </si>
  <si>
    <t>CONTATO TEL REC DEV</t>
  </si>
  <si>
    <t>183.271.128-56</t>
  </si>
  <si>
    <t>ALEXANDRE CORBO</t>
  </si>
  <si>
    <t>24.293.209/0002-30</t>
  </si>
  <si>
    <t>AGS TREINAMENTOS EIRELI ME</t>
  </si>
  <si>
    <t>06.555.129/0001-42</t>
  </si>
  <si>
    <t>ALEXANDRE MARIA PETRONILHO ME</t>
  </si>
  <si>
    <t>ALEXANDRE PEREIRA DE SOUZA ME</t>
  </si>
  <si>
    <t>29.582.026/0001-77</t>
  </si>
  <si>
    <t>26.149.246/0001-13</t>
  </si>
  <si>
    <t>ANANDA OVALLES PALMEIRA 02355071217</t>
  </si>
  <si>
    <t>ANDRE DE SOUSA GABRIEL</t>
  </si>
  <si>
    <t>27.383.676/0001-68</t>
  </si>
  <si>
    <t>APOIO ESCOLAR VICENTE PIRES EIRELI - ME</t>
  </si>
  <si>
    <t>APRENDA MAIS COMPLEMENTO ESCOLAR LTDA - ME</t>
  </si>
  <si>
    <t>803.959.103-15</t>
  </si>
  <si>
    <t>ANGELINE MOREIRA CELESTINO DA COSTA</t>
  </si>
  <si>
    <t>17.836.947/0001-30</t>
  </si>
  <si>
    <t>CAMINHO BELO COMPLEMENTO ESCOLAR LTDA</t>
  </si>
  <si>
    <t>CELIA BARBOSA CALUETE</t>
  </si>
  <si>
    <t>CESAR AUGUSTO MEDEIROS LUCHESI</t>
  </si>
  <si>
    <t>29.549.335/0002-26</t>
  </si>
  <si>
    <t>CENTRO EDUCACIONAL CALAIS CORREA LTDA</t>
  </si>
  <si>
    <t>29.549.335/0001-45</t>
  </si>
  <si>
    <t>CMJG EDUCACIONAL LTDA ME</t>
  </si>
  <si>
    <t>LUMADIAS CURSOS QUALIFICACAO PROF &amp; CONSULT. LTDA</t>
  </si>
  <si>
    <t>393.745.562-00</t>
  </si>
  <si>
    <t>ELISANGELA GONCALVES DE MACEDO</t>
  </si>
  <si>
    <t>18.419.329/0001-57</t>
  </si>
  <si>
    <t>SOUSA E SANTOS EDUCACAO PROFISSIONAL LTDA -  ME</t>
  </si>
  <si>
    <t>287.295.198-96</t>
  </si>
  <si>
    <t>CRISTIANO LOPES DA SILVA</t>
  </si>
  <si>
    <t>CYPRESTE &amp; OLIVEIRA ASSESSORIA E CONSULTORIA LTDA</t>
  </si>
  <si>
    <t>24.221.521/0001-37</t>
  </si>
  <si>
    <t>DBS ENSINO DE IDIOMAS LTDA - ME</t>
  </si>
  <si>
    <t>21.747.059/0001-18</t>
  </si>
  <si>
    <t>AGAPITO &amp; MACIEL ENSINO COMPLEMENTAR LTDA- EPP</t>
  </si>
  <si>
    <t>130.897.221-00</t>
  </si>
  <si>
    <t>DIVINA ARMINDA FERREIRA</t>
  </si>
  <si>
    <t>02.944.735/0001-07</t>
  </si>
  <si>
    <t>D. R. E SIQUEIRA MENDES LTDA - ME</t>
  </si>
  <si>
    <t>11.060.716/0001-09</t>
  </si>
  <si>
    <t>EDUTEC SERVICOS DE ESC. E TREI. EM DES. PROF. LTDA</t>
  </si>
  <si>
    <t>T G S MORCELI</t>
  </si>
  <si>
    <t>20.683.465/0001-00</t>
  </si>
  <si>
    <t>ESCOLA PROFISSIONALIZANTE CAMARGO &amp; PAULA LTDA - M</t>
  </si>
  <si>
    <t>ESSENCIAL FORMACAO PROFISSIONAL LTDA - EPP</t>
  </si>
  <si>
    <t>FABIANA FREIRE COELHO - CURSOS - ME</t>
  </si>
  <si>
    <t>28.671.629/0001-82</t>
  </si>
  <si>
    <t>FC EDUCACAO E TECNOLOGIA LTDA ME</t>
  </si>
  <si>
    <t>WHATSAPP MENS ENV</t>
  </si>
  <si>
    <t>FERNANDA CAMARA LOPES EIRELI - ME</t>
  </si>
  <si>
    <t>511.600.724-34</t>
  </si>
  <si>
    <t>MARIA PIEDADE COUTINHO MARCAL AZEVEDO</t>
  </si>
  <si>
    <t>21.408.060/0001-18</t>
  </si>
  <si>
    <t>MARIA IASMYNE VIANA PAIVA 04790493350</t>
  </si>
  <si>
    <t>CENTRO DE COMPLEMENTO ESCOLAR VANESSA V. KREUSCHER</t>
  </si>
  <si>
    <t>29.999.698/0001-82</t>
  </si>
  <si>
    <t>VANESSA LOPES DOS SANTOS JUNQUEIRA EIRELI</t>
  </si>
  <si>
    <t>27.831.434/0001-90</t>
  </si>
  <si>
    <t>PROGRAMAS EDUCACIONAIS ENSINA MAIS TURMA DA MONICA</t>
  </si>
  <si>
    <t>28.081.837/0001-21</t>
  </si>
  <si>
    <t>ACS CONSULTORIA EM EDUCACAO TREINAMENTO E CAPACITACAO EIRELI</t>
  </si>
  <si>
    <t>30.164.942/0001-76</t>
  </si>
  <si>
    <t>VIVIANE LIMA MAZUROK CURSOS</t>
  </si>
  <si>
    <t>28.390.280/0001-00</t>
  </si>
  <si>
    <t>CANAL APOIO ESCOLAR EIRELI - ME</t>
  </si>
  <si>
    <t>INSTITUTO DE EDUCACAO E CONSULTORIA MARIA MARQUES LTDA</t>
  </si>
  <si>
    <t>30.077.204/0001-91</t>
  </si>
  <si>
    <t>LOGOS CENTRO EDUCACIONAL UMUARAMA LTDA</t>
  </si>
  <si>
    <t>PREPARA MAIS CURSOS LTDA</t>
  </si>
  <si>
    <t>27.510.037/0001-16</t>
  </si>
  <si>
    <t>QUIRINO SISTEMA EDUCACIONAL EIRELI - ME</t>
  </si>
  <si>
    <t>DVR PROGRAMAS EDUCACIONAL EIRELI</t>
  </si>
  <si>
    <t>MATOS &amp; SANTOS PROMISSAO LTDA - ME</t>
  </si>
  <si>
    <t>N L DOS SANTOS CURSOS PROFISSIONALIZANTES ME</t>
  </si>
  <si>
    <t>NATALIA MIRELA PRATO GUILHERME ME</t>
  </si>
  <si>
    <t>20.804.046/0001-70</t>
  </si>
  <si>
    <t>M. E. B. ENSINO COMPLEMENTAR LTDA - ME</t>
  </si>
  <si>
    <t>24.680.658/0001-50</t>
  </si>
  <si>
    <t>C. C. PORFIRIO - ME</t>
  </si>
  <si>
    <t>830.252.869-20</t>
  </si>
  <si>
    <t>CLEBIO RIBEIRO</t>
  </si>
  <si>
    <t>316.335.728-89</t>
  </si>
  <si>
    <t>GILBERTO DE BRITO JUNIOR</t>
  </si>
  <si>
    <t>007.042.769-09</t>
  </si>
  <si>
    <t>FERNANDA FERREIRA FARIAS RIBEIRO</t>
  </si>
  <si>
    <t>FRANCO INOVACOES E SOLUCOES EDUCACIONAIS EIRELI</t>
  </si>
  <si>
    <t>22.725.948/0001-47</t>
  </si>
  <si>
    <t>FTW- CURSOS PROFISSIONALIZANTES E TREINAMENTOS LTD</t>
  </si>
  <si>
    <t>26.645.573/0001-66</t>
  </si>
  <si>
    <t>IRINI COMERCIAL E EDITORA LTDA EPP</t>
  </si>
  <si>
    <t>365.763.008-24</t>
  </si>
  <si>
    <t>LILIAN CINTRA DA SILVA HENRIQUE</t>
  </si>
  <si>
    <t>20.185.713/0001-84</t>
  </si>
  <si>
    <t>GERLANDO ARAUJO DA COSTA - EPP</t>
  </si>
  <si>
    <t>964.219.243-87</t>
  </si>
  <si>
    <t>LEONARDO IVAN DA PAZ ARAUJO</t>
  </si>
  <si>
    <t>199.623.898-10</t>
  </si>
  <si>
    <t>LUIS CARLOS DE PONTE JUNIOR</t>
  </si>
  <si>
    <t>31.022.714/0001-24</t>
  </si>
  <si>
    <t>LEEV ENSINO DE IDIOMAS LTDA</t>
  </si>
  <si>
    <t>11.065.209/0002-30</t>
  </si>
  <si>
    <t>LUCINELMA C DA SILVA - ME</t>
  </si>
  <si>
    <t>19.438.148/0001-30</t>
  </si>
  <si>
    <t>JC E NS TREINAMENTOS EM INFORMATICA LTDA ME</t>
  </si>
  <si>
    <t>LGM DESENVOLVIMENTO PESSOAL E PROFISSIONAL LTDA</t>
  </si>
  <si>
    <t>O ACENDEDOR DE LAMPIOES ATIVIDADES DE EDUCACAO COMPLEMENTAR</t>
  </si>
  <si>
    <t>010.081.541-30</t>
  </si>
  <si>
    <t>KARINY GOMES GARCIA</t>
  </si>
  <si>
    <t>KIDSCHOOL PROGRAMAS EDUCACIONAIS LTDA</t>
  </si>
  <si>
    <t>MUNDO UNIDO LTDA</t>
  </si>
  <si>
    <t>PROGRAMAS EDUCACIONAIS BOSEL &amp; BOSEL LTDA - ME</t>
  </si>
  <si>
    <t>09.430.680/0001-58</t>
  </si>
  <si>
    <t>MF BATISTA CURSOS PROFISSIONALIZANTES - ME</t>
  </si>
  <si>
    <t>ESPARTA DESENVOLVIMENTO PROFISSIONAL LTDA</t>
  </si>
  <si>
    <t>JP &amp; M CURSOS PROFISSIONALIZANTES LTDA - ME</t>
  </si>
  <si>
    <t>A.C. BARCELOS COMERCIO E SERVICOS ME</t>
  </si>
  <si>
    <t>ANA S COMPLEMENTO ESCOLAR LTDA</t>
  </si>
  <si>
    <t>CENTRO DE FORMACAO PROFISSIONAL AZOR RIO BONITO LTDA</t>
  </si>
  <si>
    <t>22.120.389/0001-41</t>
  </si>
  <si>
    <t>29.955.355/0001-16</t>
  </si>
  <si>
    <t>ENGLISH TALK RIO PRETO</t>
  </si>
  <si>
    <t>857.934.936-20</t>
  </si>
  <si>
    <t>PATRICIA DIAS RIBEIRO E SILVA</t>
  </si>
  <si>
    <t>SUELI MARY FUKAGAWA XAVIER - ME</t>
  </si>
  <si>
    <t>312.906.168-17</t>
  </si>
  <si>
    <t>RENATA DA SILVA ALBUQUERQUE</t>
  </si>
  <si>
    <t>MARCIO CAPPELANI</t>
  </si>
  <si>
    <t>062.305.926-65</t>
  </si>
  <si>
    <t>THIAGO QUIRINO DA SILVA</t>
  </si>
  <si>
    <t>MARCELA LUISA MANETTI</t>
  </si>
  <si>
    <t>70.071.022/0001-28</t>
  </si>
  <si>
    <t>17.939.036/0001-38</t>
  </si>
  <si>
    <t>PONTO &amp; VIRGULA COMPLEMENTO ESCOLAR LTDA - ME</t>
  </si>
  <si>
    <t>24.450.196/0001-84</t>
  </si>
  <si>
    <t>APOIO ESCOLAS AGUAS CLARAS LTDA ME</t>
  </si>
  <si>
    <t>11.211.453/0001-83</t>
  </si>
  <si>
    <t>P. R. CURSOS PROFISSIONALIZANTES LTDA - ME</t>
  </si>
  <si>
    <t>18.607.043/0001-03</t>
  </si>
  <si>
    <t>MARCOS &amp; MILENA CURSOS LTDA - ME</t>
  </si>
  <si>
    <t>LKPC COMPLEMENTO ESCOLAR LTDA - ME</t>
  </si>
  <si>
    <t>SOLVHE CURSOS LTDA - ME</t>
  </si>
  <si>
    <t>20.845.234/0001-47</t>
  </si>
  <si>
    <t>MB CENTRO DE ENSINO TECNICO LTDA - EPP</t>
  </si>
  <si>
    <t>17.811.110/0001-36</t>
  </si>
  <si>
    <t>VENCER CURSOS EDUCACIONAIS LTDA - ME</t>
  </si>
  <si>
    <t>SERGIO PONZE</t>
  </si>
  <si>
    <t>16.613.894/0002-06</t>
  </si>
  <si>
    <t>PIMPINELLA CURSOS PROFISSIONALIZANTES LTDA</t>
  </si>
  <si>
    <t>PLINIO MARCOS CARUSO BOCAMINO</t>
  </si>
  <si>
    <t>27.262.205/0001-00</t>
  </si>
  <si>
    <t>MIRIAN E C VILLAGRAN MACHADO - ME</t>
  </si>
  <si>
    <t>139.878.088-02</t>
  </si>
  <si>
    <t>PAULO ROBERTO SIQUEIRA</t>
  </si>
  <si>
    <t>28.199.203/0001-78</t>
  </si>
  <si>
    <t>SALLES SOUZA ESCOLA DE IDIOMAS LTDA</t>
  </si>
  <si>
    <t>THIAGO KATSUMI MATSUMURA</t>
  </si>
  <si>
    <t>26.420.480/0001-33</t>
  </si>
  <si>
    <t>MULTIPLOS SABERES APRIMORAMENTO TECNICO E INTELECT</t>
  </si>
  <si>
    <t>RODRIGO LUCAS FERNANDES 27968594871</t>
  </si>
  <si>
    <t>29.933.455/0001-41</t>
  </si>
  <si>
    <t>PINGU'S ENGLISH RIO PRETO LTDA</t>
  </si>
  <si>
    <t>29.067.072/0001-38</t>
  </si>
  <si>
    <t>HFH MOURA PROGRAMAS EDUCACIONAIS EIRELI - ME</t>
  </si>
  <si>
    <t>233.200.442-49</t>
  </si>
  <si>
    <t>HAMILTON NUNES DE MENEZES</t>
  </si>
  <si>
    <t>MAIS - CAPACITACAO PEDAGOGICA E CURSOS PROFISSIONA</t>
  </si>
  <si>
    <t>VARGAS E FONSECA LTDA ME</t>
  </si>
  <si>
    <t>12.544.850/0001-30</t>
  </si>
  <si>
    <t>PRIME CURSOS DE FORMACAO PROFISSIONAL LTDA ME</t>
  </si>
  <si>
    <t>09.278.793/0001-80</t>
  </si>
  <si>
    <t>PRIME CURSOS PROFISSIONALIZANTES LTDA</t>
  </si>
  <si>
    <t>21.450.611/0001-01</t>
  </si>
  <si>
    <t>V &amp; S CURSOS LTDA - ME</t>
  </si>
  <si>
    <t>26.030.755/0001-22</t>
  </si>
  <si>
    <t>VERONICA DIAS MOURA GOMES</t>
  </si>
  <si>
    <t>10.604.058/0002-89</t>
  </si>
  <si>
    <t>SANDRA ALTAIDE FERREIRA TIYODA - ME</t>
  </si>
  <si>
    <t>JMSB INOVACOES E SOLUCOES EDUCACIONAIS LTDA</t>
  </si>
  <si>
    <t>PAULO ROGERIO DE OLIVEIRA CARVALHO</t>
  </si>
  <si>
    <t>CENTRO CULTURAL CHANNEL DE RORAIMA LTDA</t>
  </si>
  <si>
    <t>29.041.445/0001-00</t>
  </si>
  <si>
    <t>12.698.743/0001-66</t>
  </si>
  <si>
    <t>J OLIVEIRA DA SILVA</t>
  </si>
  <si>
    <t>380.972.718-00</t>
  </si>
  <si>
    <t>NATALIA RIBEIRO DO PRADO</t>
  </si>
  <si>
    <t>189.409.478-60</t>
  </si>
  <si>
    <t>ELIANE TAVARES PESSOA PAULON</t>
  </si>
  <si>
    <t>GRAZIELLE DE SOUSA VIEIRA</t>
  </si>
  <si>
    <t>18.540.892/0001-89</t>
  </si>
  <si>
    <t>DAMIAO E LOBO SERVICOS EDUCACIONAIS LTDA</t>
  </si>
  <si>
    <t>ALMEIDA PRIMO PREPARA CURSOS CANDEIAS LTDA</t>
  </si>
  <si>
    <t>18.448.343/0001-89</t>
  </si>
  <si>
    <t>PEREIRA &amp; SOARES CURSOS PROFISSIONALIZANTES LTDA</t>
  </si>
  <si>
    <t>190.672.538-12</t>
  </si>
  <si>
    <t>LEANDRO AUGUSTO COSTA</t>
  </si>
  <si>
    <t>15.011.942/0001-42</t>
  </si>
  <si>
    <t>SUSCESSO CURSOS E SERVICO PROFICIONAIS EIRELI - ME</t>
  </si>
  <si>
    <t>19.385.891/0001-70</t>
  </si>
  <si>
    <t>TRINDADE CAPACITACAO PROFISSIONAL LTDA</t>
  </si>
  <si>
    <t>227.794.098-43</t>
  </si>
  <si>
    <t>AILSON GOMES RODRIGUES</t>
  </si>
  <si>
    <t>18.685.720/0003-65</t>
  </si>
  <si>
    <t>A P L DOURADO CENTRO DE TREINAMENTOS</t>
  </si>
  <si>
    <t>21.244.056/0001-61</t>
  </si>
  <si>
    <t>KAROL COSTA - TREINAMENTOS E CURSOS DE INFORMARTICA EIRELI</t>
  </si>
  <si>
    <t>HUANDA MARA JUNQUEIRA</t>
  </si>
  <si>
    <t>20.811.100/0001-05</t>
  </si>
  <si>
    <t>INFORMATICA DO FUTURO LTDA - ME</t>
  </si>
  <si>
    <t>22.506.754/0001-50</t>
  </si>
  <si>
    <t>FENIX SOLUCOES EDUCACIONAIS EIRELI - ME</t>
  </si>
  <si>
    <t>LCT CURSOS E TREINAMENTOS LTDA - EPP</t>
  </si>
  <si>
    <t>22.087.569/0001-79</t>
  </si>
  <si>
    <t>SILVA E MESQUITA TREINAMENTO E DESENV. PROFISSIONAL LTDA</t>
  </si>
  <si>
    <t>26.132.015/0002-88</t>
  </si>
  <si>
    <t>A F DA SILVA CURSOS ME</t>
  </si>
  <si>
    <t>24.412.436/0001-56</t>
  </si>
  <si>
    <t>WEC CURSOS PROFISSIONALIZANTES LTDA</t>
  </si>
  <si>
    <t>19.512.025/0002-83</t>
  </si>
  <si>
    <t>PAULO E CIA LTDA</t>
  </si>
  <si>
    <t>19.108.508/0001-36</t>
  </si>
  <si>
    <t>BSX CURSOS PROFISSIONALIZANTES LTDA ME</t>
  </si>
  <si>
    <t>L T TREINAMENTOS EIRELI</t>
  </si>
  <si>
    <t>27.403.550/0001-08</t>
  </si>
  <si>
    <t>J. DOS S.LOBO SERVICOS EDUCACIONAIS E ADMINIST ME</t>
  </si>
  <si>
    <t>26.132.015/0001-05</t>
  </si>
  <si>
    <t>A F D DA SILVA CURSOS ME</t>
  </si>
  <si>
    <t>806.158.059-49</t>
  </si>
  <si>
    <t>CRISTIANO KNABBEN ESMERALDINO</t>
  </si>
  <si>
    <t>27.529.482/0001-28</t>
  </si>
  <si>
    <t>27.417.444/0001-83</t>
  </si>
  <si>
    <t>PREPARA CENTRO DE ENSINO PROFISSIONALIZANTE LTDA</t>
  </si>
  <si>
    <t>28.497.492/0001-91</t>
  </si>
  <si>
    <t>W.B.EDUCACIONAL LTDA -ME</t>
  </si>
  <si>
    <t>28.763.624/0001-80</t>
  </si>
  <si>
    <t>QUALIDADE EM EDUCACAO E CONSULTORIA EIRELI - ME</t>
  </si>
  <si>
    <t>28.720.376/0001-90</t>
  </si>
  <si>
    <t>ESTEVAM E MADUREIRA CAPACITACAO PROFISSIONAL LTDA</t>
  </si>
  <si>
    <t>COMPLEXO EDUCACIONAL GP LTDA.</t>
  </si>
  <si>
    <t>10.257.843/0001-21</t>
  </si>
  <si>
    <t>UEHARA E TESHIMA LTDA ME</t>
  </si>
  <si>
    <t>10.339.779/0001-28</t>
  </si>
  <si>
    <t>CENTRO DE FORMACAO PROFISSIONAL SAO PAULO LTDA ME</t>
  </si>
  <si>
    <t>10.388.836/0001-69</t>
  </si>
  <si>
    <t>MESQUITA E SILVA CURSOS DE INFORMATICA LTDA ME</t>
  </si>
  <si>
    <t>10.604.058/0001-06</t>
  </si>
  <si>
    <t>SANDRA ALTAIDE FERREIRA TYODA - ME</t>
  </si>
  <si>
    <t>3C SISTEMAS LTDA</t>
  </si>
  <si>
    <t>13.231.509/0001-97</t>
  </si>
  <si>
    <t>PREPARA CURSOS PROFISSIONALIZANTES LTDA</t>
  </si>
  <si>
    <t>13.567.244/0001-00</t>
  </si>
  <si>
    <t>CURSOS PREPARA CAMACARI LTDA</t>
  </si>
  <si>
    <t>73.159.873/0001-15</t>
  </si>
  <si>
    <t>VILA MARIANA CURSO PROFISSIONALIZANTE E IDIOMA LTDA</t>
  </si>
  <si>
    <t>009.654.114-86</t>
  </si>
  <si>
    <t>FELIPE CUNHA CIRNE</t>
  </si>
  <si>
    <t>29.047.346/0001-27</t>
  </si>
  <si>
    <t>EVOLUIR FORMACAO CONTINUADA LTDA ME</t>
  </si>
  <si>
    <t>11.407.560/0001-81</t>
  </si>
  <si>
    <t>RT TREINAMENTO EM DESENVOLVIMENTO PROFISSIONAL LTD</t>
  </si>
  <si>
    <t>16.596.939/0001-09</t>
  </si>
  <si>
    <t>SANTOS PEREIRA EDUCACAO LTDA ME</t>
  </si>
  <si>
    <t>16.809.045/0001-41</t>
  </si>
  <si>
    <t>ERIKA NEUMANN - ME</t>
  </si>
  <si>
    <t>ROGER ALMEIDA DO NASCIMENTO - ME</t>
  </si>
  <si>
    <t>01.799.882/0001-60</t>
  </si>
  <si>
    <t>EUROSERVICE COMERCIAL INFORMATICA LTDA - ME</t>
  </si>
  <si>
    <t>15.006.546/0001-27</t>
  </si>
  <si>
    <t>ASSIS &amp; CLIMACO CURSOS PROFISSIONALIZANTES LTDA</t>
  </si>
  <si>
    <t>30.013.053/0001-08</t>
  </si>
  <si>
    <t>GEET TREINAMENTOS E INSTRUCOES LTDA</t>
  </si>
  <si>
    <t>08.956.696/0002-17</t>
  </si>
  <si>
    <t>J.M.T. OLIMPIA COMERCIO E SERVICOS EDUCACIONAIS LTDA ME</t>
  </si>
  <si>
    <t>SM CURSOS PROFISSIONALIZANTES LTDA</t>
  </si>
  <si>
    <t>015.108.395-93</t>
  </si>
  <si>
    <t>GISIEL SILVA CUNHA</t>
  </si>
  <si>
    <t>013.848.495-30</t>
  </si>
  <si>
    <t>JOSE SERGIO SOARES DA ROCHA</t>
  </si>
  <si>
    <t>04.635.153/0001-66</t>
  </si>
  <si>
    <t>VIANNA COMERCIO E CURSOS LTDA</t>
  </si>
  <si>
    <t>IMPACT CURSOS PROFISSIONALIZANTES LTDA</t>
  </si>
  <si>
    <t>PROSPERA CURSOS PROFISSIONALIZANTES LTDA</t>
  </si>
  <si>
    <t>005.595.861-32</t>
  </si>
  <si>
    <t>ALEX ALVES FEITOSA</t>
  </si>
  <si>
    <t>06.226.503/0001-66</t>
  </si>
  <si>
    <t>WINNING ESCOLA DE IDIOMAS EIRELI</t>
  </si>
  <si>
    <t>29.300.204/0001-20</t>
  </si>
  <si>
    <t>27.722.815/0001-30</t>
  </si>
  <si>
    <t>MARTILIANO TREINAMENTO EM DESENVOLVIMENTO PROFISSIONAL LTDA</t>
  </si>
  <si>
    <t>30.810.174/0001-80</t>
  </si>
  <si>
    <t>CURSOS PREPARA SALVADOR RIO VERMELHO LTDA</t>
  </si>
  <si>
    <t>MARIA IASMYNE VIANA PAIVA</t>
  </si>
  <si>
    <t>31.190.046/0001-44</t>
  </si>
  <si>
    <t>VLC CURSOS VILA PRUDENTE EIRELI</t>
  </si>
  <si>
    <t>30.310.897/0001-10</t>
  </si>
  <si>
    <t>CIRNE E CIRNE CENTRO DE TREINAMENTO E ENSINO LTDA</t>
  </si>
  <si>
    <t>07.899.464/0001-20</t>
  </si>
  <si>
    <t>T R VILARINI</t>
  </si>
  <si>
    <t>22.329.534/0001-07</t>
  </si>
  <si>
    <t>N L DOS SANTOS CURSOS PROFISSIONALIZANTES - ME</t>
  </si>
  <si>
    <t>32.658.093/0001-32</t>
  </si>
  <si>
    <t>F &amp; D TREINAMENTOS E CURSOS EIRELI</t>
  </si>
  <si>
    <t>29.047.346/0003-99</t>
  </si>
  <si>
    <t>EVOLUIR FORMACAO CONTINUADA</t>
  </si>
  <si>
    <t>33.314.671/0001-86</t>
  </si>
  <si>
    <t>PATRICIA DE SOUZA 05619959902</t>
  </si>
  <si>
    <t>17.127.544/0002-00</t>
  </si>
  <si>
    <t>VIEIRA &amp; JUSTO LTDA - ME</t>
  </si>
  <si>
    <t>13.193.705/0001-14</t>
  </si>
  <si>
    <t>CTM CURSO PROFISSIONALIZANTE LTDA</t>
  </si>
  <si>
    <t>J P D ARAUJO CURSOS PROFISSIONALIZANTES</t>
  </si>
  <si>
    <t>32.318.135/0001-96</t>
  </si>
  <si>
    <t>LEANDRO DOS SANTOS LEITE GODOY - ME</t>
  </si>
  <si>
    <t>24.550.263/0001-32</t>
  </si>
  <si>
    <t>T&amp;L TREINAMENTO EM DESENVOLVIMENTO PROF. E GERENCIAL EIRELI</t>
  </si>
  <si>
    <t>19.553.461/0001-10</t>
  </si>
  <si>
    <t>LGB PROFISSIONALIZACOES LTDA</t>
  </si>
  <si>
    <t>22.834.425/0001-39</t>
  </si>
  <si>
    <t>JR TREINAMENTOS LTDA</t>
  </si>
  <si>
    <t>VIDA FORMACAO LTDA ME</t>
  </si>
  <si>
    <t>NOGUEIRA &amp; ASSUNCAO - CURSOS E TREINAMENTOS LTDA ME</t>
  </si>
  <si>
    <t>955.959.963-15</t>
  </si>
  <si>
    <t>ROCHANA UIANARA MARTINS DE OLIVEIRA PAIVA</t>
  </si>
  <si>
    <t>128.120.446-32</t>
  </si>
  <si>
    <t>RICHARD ROGERIO DE CARVALHO PORTO</t>
  </si>
  <si>
    <t>30.276.019/0001-26</t>
  </si>
  <si>
    <t>I R TREINAMENTO LTDA</t>
  </si>
  <si>
    <t>075.501.144-98</t>
  </si>
  <si>
    <t>EBERT VIEIRA DA SILVA</t>
  </si>
  <si>
    <t>IBCP - CERTIFICADORA BRASILEIRA DE PROFISSIONAIS LTDA</t>
  </si>
  <si>
    <t>INFOLLY MAD INFORMATICA E CURSOS LTDA ME</t>
  </si>
  <si>
    <t>04.300.921/0001-20</t>
  </si>
  <si>
    <t>3EMI EMPREENDIMENTOS LTDA ME</t>
  </si>
  <si>
    <t>10.790.733/0001-20</t>
  </si>
  <si>
    <t>ARAUJO &amp; PARANHOS CURSOS PROFISSIONALIZANTES LTDA</t>
  </si>
  <si>
    <t>13.133.416/0001-20</t>
  </si>
  <si>
    <t>BRUNO MARTINS MONTEIRO</t>
  </si>
  <si>
    <t>10.612.027/0001-99</t>
  </si>
  <si>
    <t>CENTRO DE FORMACAO PROFISSIONAL DE ANAPOLIS LTDA</t>
  </si>
  <si>
    <t>29.182.183/0001-95</t>
  </si>
  <si>
    <t>C.M. DE FREITAS MARTINEZ</t>
  </si>
  <si>
    <t>23.047.560/0001-05</t>
  </si>
  <si>
    <t>CONSOLI &amp; LACERDA LTDA ME</t>
  </si>
  <si>
    <t>24.379.533/0001-94</t>
  </si>
  <si>
    <t>CUNHA E OLIVEIRA FORMACAO PROFISSIONAL LTDA</t>
  </si>
  <si>
    <t>GABRIELLE KARINE DA SILVA FONTENELE DE ALBUQUERQUE</t>
  </si>
  <si>
    <t>18.006.784/0001-20</t>
  </si>
  <si>
    <t>KR CURSOS E TREINAMENTOS LTDA</t>
  </si>
  <si>
    <t>388.029.965-04</t>
  </si>
  <si>
    <t>LUIS MARTINS GOMES</t>
  </si>
  <si>
    <t>14.146.940/0001-06</t>
  </si>
  <si>
    <t>MENDES E SILVA CURSOS PREPARATORIOS E COMERCIO LTD</t>
  </si>
  <si>
    <t>22.037.084/0001-70</t>
  </si>
  <si>
    <t>OFFICE CURSOS LTDA - ME</t>
  </si>
  <si>
    <t>COLISEU CURSOS PROFISSIONALIZANTES LTDA</t>
  </si>
  <si>
    <t>19.906.305/0001-95</t>
  </si>
  <si>
    <t>PRIMEDUCAR EIRELI</t>
  </si>
  <si>
    <t>RIZZATTO CURSOS PROFISSIONALIZANTES LTDA - ME</t>
  </si>
  <si>
    <t>SCAFF &amp; SANTOS LTDA ME</t>
  </si>
  <si>
    <t>ALMEIDA PRIMO PREPARA CURSOS SERRINHA LTDA</t>
  </si>
  <si>
    <t>CENTRO EDUCACIONAL GOMES PRIMO LTDA-ME</t>
  </si>
  <si>
    <t>16.950.767/0001-11</t>
  </si>
  <si>
    <t>COGNOSCERE EDUCACIONAL LTDA - EPP</t>
  </si>
  <si>
    <t>19.356.162/0001-95</t>
  </si>
  <si>
    <t>REDE FRAGA INSTITUTO DE ENSINO LTDA</t>
  </si>
  <si>
    <t>20.287.580/0001-57</t>
  </si>
  <si>
    <t>JCA ENSINOS E TREINAMENTOS LTDA - ME</t>
  </si>
  <si>
    <t>18.820.145/0001-02</t>
  </si>
  <si>
    <t>ROGERIO A. BRITO - TREINAMENTOS - ME</t>
  </si>
  <si>
    <t>DANILO SOARES SOBRAL - ME</t>
  </si>
  <si>
    <t>MP2 DESENVOLVIMENTO E CAPACITACAO PROFISSIONAL LTDA</t>
  </si>
  <si>
    <t>18.978.151/0001-84</t>
  </si>
  <si>
    <t>REALIZAR SERVICOS LTDA - ME</t>
  </si>
  <si>
    <t>30.353.792/0001-49</t>
  </si>
  <si>
    <t>P &amp; J CURSOS PROFISSIONALIZANTES LTDA</t>
  </si>
  <si>
    <t>21.687.002/0001-70</t>
  </si>
  <si>
    <t>SET SANTO EXPEDITO TREINAMENTOS E CURSOS LTDA - EP</t>
  </si>
  <si>
    <t>F.F. CURSOS PROFISSIONALIZANTES LTDA - ME</t>
  </si>
  <si>
    <t>AVANES CHOLLET RODRIGUES - ME</t>
  </si>
  <si>
    <t>JORGE E ALVARENGA DESENVOLVIMENTO PROFISSIONAL LTDA</t>
  </si>
  <si>
    <t>CENTRO DE ENSINO PROFISSIONALIZANTE ELIABE LTDA</t>
  </si>
  <si>
    <t>68.839.430/0001-35</t>
  </si>
  <si>
    <t>RC MEIRA DO NASCIMENTO - EIRELI</t>
  </si>
  <si>
    <t>23.538.589/0001-81</t>
  </si>
  <si>
    <t>PSG CURSOS E TREINAMENTOS EIRELI</t>
  </si>
  <si>
    <t>FLUIR TREINAMENTO E DESENVOLVIMENTO PROFISSIONAL</t>
  </si>
  <si>
    <t>SANTANA CURSOS PROFISSIONALIZANTES EIRELI</t>
  </si>
  <si>
    <t>CD MACHADO DEODATO DESENVOLVIMENTO PROFISSIONAL ME</t>
  </si>
  <si>
    <t>24.293.209/0001-59</t>
  </si>
  <si>
    <t>AGS TREINAMENTOS EIRELLI - ME</t>
  </si>
  <si>
    <t>14.848.230/0001-10</t>
  </si>
  <si>
    <t>MICROARA AMERICO BRASILIENSE CURSOS PROF LTDA ME</t>
  </si>
  <si>
    <t>ALMEIDA E ROCHA LTDA ME</t>
  </si>
  <si>
    <t>ORION TREINAMENTO E APERFEICOAMENTO PESSOAL LTDA -</t>
  </si>
  <si>
    <t>26.516.361/0001-89</t>
  </si>
  <si>
    <t>21.339.877/0001-81</t>
  </si>
  <si>
    <t>EMMANUEL CURSOS PROFISSIONALIZANTES LTDA EPP</t>
  </si>
  <si>
    <t>27.127.016/0001-16</t>
  </si>
  <si>
    <t>W.F GAMA COSTA EIRELI</t>
  </si>
  <si>
    <t>PLATZ E BOCCIA FORMACAO PROFISSIONAL EIRELI - ME</t>
  </si>
  <si>
    <t>17.533.420/0001-36</t>
  </si>
  <si>
    <t>M. A. GIGLIO - ME</t>
  </si>
  <si>
    <t>R R CURSOS DE BOM JESUS LTDA</t>
  </si>
  <si>
    <t>27.343.251/0001-25</t>
  </si>
  <si>
    <t>BRILHAR EDUCACAO LTDA ME</t>
  </si>
  <si>
    <t>18.557.597/0001-35</t>
  </si>
  <si>
    <t>PAULO TIAGO LIMA DE ALMEIDA LEITE</t>
  </si>
  <si>
    <t>BRAGA ADMINISTRACAO SUPORTE E TECNOLOGIA LTDA -ME</t>
  </si>
  <si>
    <t>PREPARATION CURSOS E TREINAMENTOS LTDA -ME</t>
  </si>
  <si>
    <t>GOMES TREINAMENTOS E EMPREENDIMENTOS LTDA</t>
  </si>
  <si>
    <t>CENTRO DE FORMACAO PROFISSIONAL GOIAS LTDA</t>
  </si>
  <si>
    <t>J B A CUNHA TREINAMENTO EMPRESARIAL - ME</t>
  </si>
  <si>
    <t>10.247.834/0001-50</t>
  </si>
  <si>
    <t>CENTRO DE FORMAÇÃO PROFISSIONAL ESPOSITO LTDA</t>
  </si>
  <si>
    <t>BOLONHEIS &amp; GARCIA LTDA</t>
  </si>
  <si>
    <t>10.580.323/0001-55</t>
  </si>
  <si>
    <t>MULLER GARCIA TREINAMENTOS E COMERCIO DE LIVROS DIDATICOS LT</t>
  </si>
  <si>
    <t>549.021.508-91</t>
  </si>
  <si>
    <t>JOSE CARLOS VENTURA</t>
  </si>
  <si>
    <t>10.727.172/0001-15</t>
  </si>
  <si>
    <t>FAMA CENTRO DE FORMACAO PROFISSIONAL LTDA - ME</t>
  </si>
  <si>
    <t>WFM CURSOS PROFISSIONALIZANTES LTDA</t>
  </si>
  <si>
    <t>ALMEIDA PRIMO PREPARA CURSOS BERIMBAU LTDA</t>
  </si>
  <si>
    <t>11.599.906/0001-90</t>
  </si>
  <si>
    <t>11.592.964/0001-92</t>
  </si>
  <si>
    <t>DR SILVA TREINAMENTOS E CURSOS</t>
  </si>
  <si>
    <t>80.544.059/0001-80</t>
  </si>
  <si>
    <t>EDUCA CENTER, LUMADIAS LTDA</t>
  </si>
  <si>
    <t>10.968.523/0001-80</t>
  </si>
  <si>
    <t>RODRIGUES &amp; RIGUETO LTDA - ME</t>
  </si>
  <si>
    <t>ANDRADE E FONTES CURSOS PROFISSIONALIZANTES LTDA M</t>
  </si>
  <si>
    <t>PROATIVA TREINAMENTOS LTDA</t>
  </si>
  <si>
    <t>12.589.062/0001-60</t>
  </si>
  <si>
    <t>I9ACAO TREINAMENTO EM INFORMATICA LTDA ME</t>
  </si>
  <si>
    <t>RUWELL TREINAMENTOS E CURSOS LTDA ME</t>
  </si>
  <si>
    <t>A &amp; S SERVICOS EDUCACIONAIS LTDA - ME</t>
  </si>
  <si>
    <t>BNF CURSOS PROFISSIONALIZANTES LTDA</t>
  </si>
  <si>
    <t>PRIMO PREPARA CURSOS ALAGOINHAS LTDA</t>
  </si>
  <si>
    <t>TE SASAKI CURSOS PROFISSIONALIZANTES LTDA ME</t>
  </si>
  <si>
    <t>13.993.641/0001-36</t>
  </si>
  <si>
    <t>LUPINO &amp; CASTRO CURSOS DE INFORMATICA LTDA-ME</t>
  </si>
  <si>
    <t>G F QUALIFICACAO PROFISSIONAL LTDA ME</t>
  </si>
  <si>
    <t>INFO STUDIO CURSOS PROFISSIONALIZANTES LTDA ME</t>
  </si>
  <si>
    <t>14.193.192/0001-04</t>
  </si>
  <si>
    <t>PREPARA CURSOS PROFISSIONALIZANTES - UNIDADE JUAZEIRO DO NOR</t>
  </si>
  <si>
    <t>14.853.374/0001-64</t>
  </si>
  <si>
    <t>CONQUISTA CURSOS PROFISSIONALIZANTES LTDA ME</t>
  </si>
  <si>
    <t>ANDRADE E MENDONCA LTDA ME</t>
  </si>
  <si>
    <t>MARCIO GEORGES CALDERARO ME</t>
  </si>
  <si>
    <t>ATIBAIA PRODUTOS, CURSOS LIVRES E CONSULTORIA LTDA</t>
  </si>
  <si>
    <t>14.911.292/0001-29</t>
  </si>
  <si>
    <t>ALVORADA TREINAMENTO E COMERCIO DE LIVROS LTDA</t>
  </si>
  <si>
    <t>RB MARQUES &amp; CIA LTDA - ME</t>
  </si>
  <si>
    <t>GRUPO EDUCACIONAL APLICATIVO LTDA EPP</t>
  </si>
  <si>
    <t>ILMA SANTOS LIMA</t>
  </si>
  <si>
    <t>PRO CURSOS UMUARAMA LTDA - ME</t>
  </si>
  <si>
    <t>V2W CURSOS PREPARATORIOS LTDA-ME</t>
  </si>
  <si>
    <t>17.742.790/0001-83</t>
  </si>
  <si>
    <t>BC CURSOS PROFISSIONALIZANTES LTDA</t>
  </si>
  <si>
    <t>BIJOS E NEGRAO LTDA ME</t>
  </si>
  <si>
    <t>07.936.232/0001-03</t>
  </si>
  <si>
    <t>PRINTCENTS COMERCIO DE PECAS E SUPR LTDA</t>
  </si>
  <si>
    <t>21.170.098/0001-03</t>
  </si>
  <si>
    <t>MQM CAPACITACAO E TREINAMENTO LTDA</t>
  </si>
  <si>
    <t>GRUPONET EDUCACAO E SERVICOS LTDA ME</t>
  </si>
  <si>
    <t>07.855.912/0001-94</t>
  </si>
  <si>
    <t>NIVIA ALVES DOS SANTOS ME</t>
  </si>
  <si>
    <t>RIGUETO &amp; RODRIGUES - INFORMATICA LTDA</t>
  </si>
  <si>
    <t>09.722.129/0001-88</t>
  </si>
  <si>
    <t>ILMA S. LIMA ME</t>
  </si>
  <si>
    <t>27.397.251/0001-08</t>
  </si>
  <si>
    <t>ENE CURSOS LTDA - ME</t>
  </si>
  <si>
    <t>18.288.085/0001-10</t>
  </si>
  <si>
    <t>A &amp; D TREINAMENTOS E CURSOS LTDA - ME</t>
  </si>
  <si>
    <t>5W2H EDUCACAO LTDA</t>
  </si>
  <si>
    <t>INVESTIR EDUCACIONAL EIRELI</t>
  </si>
  <si>
    <t>09.612.028/0002-35</t>
  </si>
  <si>
    <t>FREITAS E MASCARENHAS LTDA</t>
  </si>
  <si>
    <t>09.612.028/0001-54</t>
  </si>
  <si>
    <t>FREITAS E MASCARENHAS LTDA ME</t>
  </si>
  <si>
    <t>5W2H EDUCACAO LTDA - ME</t>
  </si>
  <si>
    <t>F E F ADMINISTRACAO DE ESCOLAS LTDA</t>
  </si>
  <si>
    <t>29.032.226/0001-56</t>
  </si>
  <si>
    <t>NOVA ERA TREINAMENTO PROFISSIONAL EIRELI</t>
  </si>
  <si>
    <t>RUBERLAN ALEX BILHA PICCINI TREINAMENTO</t>
  </si>
  <si>
    <t>18.460.130/0001-72</t>
  </si>
  <si>
    <t>QUALITY CURSOS PROFISSIONALIZANTES LTDA</t>
  </si>
  <si>
    <t>30.734.201/0001-83</t>
  </si>
  <si>
    <t>SERGIO MURILO CHALITA CAMPOS</t>
  </si>
  <si>
    <t>07.243.416/0001-80</t>
  </si>
  <si>
    <t>AGF SERVICOES POSTAIS LTDA</t>
  </si>
  <si>
    <t>31.030.472/0001-10</t>
  </si>
  <si>
    <t>TECH PEOPLE CURSOS E TREINAMENTOS LTDA</t>
  </si>
  <si>
    <t>31.368.876/0001-19</t>
  </si>
  <si>
    <t>G R DO NASCIMENTO COSTA DA CUNHA CURSOS</t>
  </si>
  <si>
    <t>30.868.720/0001-34</t>
  </si>
  <si>
    <t>MM CURSOS PROFISSIONALIZANTES EIRELI</t>
  </si>
  <si>
    <t>14.805.193/0001-62</t>
  </si>
  <si>
    <t>MICROARA IBATE PROFISSIONALIZANTES LTDA</t>
  </si>
  <si>
    <t>19.523.499/0002-20</t>
  </si>
  <si>
    <t>VAMOS CURSOS PROFISSIONALIZANTES EIRELLI</t>
  </si>
  <si>
    <t>31.564.103/0001-08</t>
  </si>
  <si>
    <t>CM CURSOS PROFISSIONALIZANTES LTDA</t>
  </si>
  <si>
    <t>939.712.570-20</t>
  </si>
  <si>
    <t>LEONARDO RUBIN BELLES</t>
  </si>
  <si>
    <t>R &amp; V DESENVOLVIMENTO PROFISSIONAL LTDA</t>
  </si>
  <si>
    <t>15.294.751/0001-35</t>
  </si>
  <si>
    <t>SANTANA SANTOS TREINAMENTO EM DESENVOLVIMENTO PROFISSIONAL E</t>
  </si>
  <si>
    <t>29.691.960/0001-27</t>
  </si>
  <si>
    <t>049.978.508-88</t>
  </si>
  <si>
    <t>ELIAS FRANCISCO DA SILVA RODRIGUES</t>
  </si>
  <si>
    <t>BEZERRA CURSOS PROFISSIONALIZANTES E TECNICOS LTDA</t>
  </si>
  <si>
    <t>13.293.453/0001-03</t>
  </si>
  <si>
    <t>14.665.919/0001-09</t>
  </si>
  <si>
    <t>SACAJ TREINAMENTO EM DESENVOLVIMENTO PROFISSIONAL LTDA</t>
  </si>
  <si>
    <t>17.988.662/0001-14</t>
  </si>
  <si>
    <t>NARP CENTRO DE ENSINO PROFISSIONALIZANTE LTDA</t>
  </si>
  <si>
    <t>043.646.934-05</t>
  </si>
  <si>
    <t>ERIKA RODRIGUES DE SANTANA GUEDES</t>
  </si>
  <si>
    <t>110.862.857-51</t>
  </si>
  <si>
    <t>DENYSE ROCHA DA SILVA</t>
  </si>
  <si>
    <t>024.935.893-00</t>
  </si>
  <si>
    <t>FRANCISCO RENIER UIURI MARTINS OLIVEIRA PAIVA</t>
  </si>
  <si>
    <t>JP CURSOS LTDA</t>
  </si>
  <si>
    <t>BARBARINI E BARBARINI INFORMATICA LTDA</t>
  </si>
  <si>
    <t>13.018.523/0001-07</t>
  </si>
  <si>
    <t>PREPARA CURSOS PROFISSIONALIZANTES-UNIDADE MARACANAU LTDA</t>
  </si>
  <si>
    <t>PROGRAMAS EDUCACIONAIS E CURSOS JUIZ DE FORA</t>
  </si>
  <si>
    <t>17.377.252/0001-37</t>
  </si>
  <si>
    <t>GRUPO AXIOMA</t>
  </si>
  <si>
    <t>16.501.555/0001-57</t>
  </si>
  <si>
    <t>224.693.078-21</t>
  </si>
  <si>
    <t>BRUNO EDUARDO GAIO</t>
  </si>
  <si>
    <t>14.353.416/0001-06</t>
  </si>
  <si>
    <t>BOURBON CURSOS PROFISSIONALIZANTES LTDA - ME</t>
  </si>
  <si>
    <t>JOAO JORGE NETO</t>
  </si>
  <si>
    <t>VAP LUMADIAS - TECNOLOGIA DA INFORMACAO LTDA</t>
  </si>
  <si>
    <t>INOVA TREINAMENTO EM DESENVOLVIMENTO PROFISSIONAL E GERENCIA</t>
  </si>
  <si>
    <t>02.797.469/0002-00</t>
  </si>
  <si>
    <t>DOM BOSCO ENSINO SUPERIOR LTDA</t>
  </si>
  <si>
    <t>APARECIDA ERNESTINA LEMOS EIRELI - ME</t>
  </si>
  <si>
    <t>364.222.578-05</t>
  </si>
  <si>
    <t>RENAN AUGUSTO CAVERSAN</t>
  </si>
  <si>
    <t>SSART CENTRO DE APOIO PEDAGOGICO LTDA</t>
  </si>
  <si>
    <t>743.807.613-04</t>
  </si>
  <si>
    <t>ANTONIO EDSON DOS SANTOS ALVES</t>
  </si>
  <si>
    <t>24.962.483/0001-73</t>
  </si>
  <si>
    <t>FMSC RECREACAO E ESTUDOS LTDA ME</t>
  </si>
  <si>
    <t>ROCHA COMPLEMENTO ESCOLAR EIRELI - ME</t>
  </si>
  <si>
    <t>JOSE ELENILSON BISPO DE JESUS</t>
  </si>
  <si>
    <t>25.249.058/0001-02</t>
  </si>
  <si>
    <t>APOIO EDUCACIONAL ASA SUL EIRELI - ME</t>
  </si>
  <si>
    <t>T B CURSOS PROFISSIONALIZANTES LTDA</t>
  </si>
  <si>
    <t>09.293.688/0001-10</t>
  </si>
  <si>
    <t>ALEGRETENSE CURSOS PREPARATORIOS PARA CONCURSO - EIRELI</t>
  </si>
  <si>
    <t>265.949.758-38</t>
  </si>
  <si>
    <t>HENRIQUE DOUGLAS SILVA JANINI</t>
  </si>
  <si>
    <t>312.679.218-97</t>
  </si>
  <si>
    <t>THIAGO ROBERTO SERRANO GINEZ</t>
  </si>
  <si>
    <t>CJR OFICINA DE TALENTOS CURSOS PROFISSIONALIZANTES LTDA</t>
  </si>
  <si>
    <t>12.645.203/0001-14</t>
  </si>
  <si>
    <t>KLEIN CURSOS PROFISSIONALIZANTES LTDA ME</t>
  </si>
  <si>
    <t>13.407.433/0001-08</t>
  </si>
  <si>
    <t>CDP CURSOS DE INFORMATICA E TECNICO PROFIS. LTDA</t>
  </si>
  <si>
    <t>RODRIGO VICARI</t>
  </si>
  <si>
    <t>FABRICIO BEZERRA DOS SANTOS</t>
  </si>
  <si>
    <t>K L COELHO DIAS</t>
  </si>
  <si>
    <t>12.960.425/0001-21</t>
  </si>
  <si>
    <t>FUTURO BRILHANTE CURSOS PROFISSIONALIZANTES LTDA -</t>
  </si>
  <si>
    <t>10.757.724/0001-38</t>
  </si>
  <si>
    <t>AQUARIUS CURSOS PROFISSIONALIZANTES LTDA - EPP</t>
  </si>
  <si>
    <t>13.969.911/0001-73</t>
  </si>
  <si>
    <t>EDUCACAO PARA A VIDA CURSOS PROFISSIONALIZANTES LT</t>
  </si>
  <si>
    <t>16.853.902/0001-00</t>
  </si>
  <si>
    <t>J. SANTOS DE QUEIROZ</t>
  </si>
  <si>
    <t>12.354.170/0001-53</t>
  </si>
  <si>
    <t>PRAZERES CURSOS PROFISSIONALIZANTES LTDA</t>
  </si>
  <si>
    <t>20.380.493/0001-40</t>
  </si>
  <si>
    <t>PH &amp; PHF FORMACAO PROFISSIONAL LTDA EPP</t>
  </si>
  <si>
    <t>10.562.231/0001-42</t>
  </si>
  <si>
    <t>ORJ CURSOS LTDA</t>
  </si>
  <si>
    <t>10.568.267/0001-33</t>
  </si>
  <si>
    <t>FUTURA CENTRO DE FORMACAO PROFISSIONAL</t>
  </si>
  <si>
    <t>10.403.462/0001-03</t>
  </si>
  <si>
    <t>APRENDE ILHABELA CURSOS PROFISSIONALIZANTES LTDA</t>
  </si>
  <si>
    <t>13.509.635/0001-60</t>
  </si>
  <si>
    <t>A. J. CURSOS PROFISSIONALIZANTES LTDA ME</t>
  </si>
  <si>
    <t>12.323.844/0002-33</t>
  </si>
  <si>
    <t>B&amp;G CURSOS PROFISSIONALIZANTES LTDA EPP</t>
  </si>
  <si>
    <t>16.658.560/0001-78</t>
  </si>
  <si>
    <t>MARIA DE LOURDES DE ALBUQUERQUE ANDRADE EPP</t>
  </si>
  <si>
    <t>14.046.301/0001-60</t>
  </si>
  <si>
    <t>CASTRO &amp; PEREIRA LTDA ME</t>
  </si>
  <si>
    <t>14.725.655/0001-31</t>
  </si>
  <si>
    <t>VAP TREINAMENTOS EM INFORMATICA LTDA - ME</t>
  </si>
  <si>
    <t>13.691.641/0001-81</t>
  </si>
  <si>
    <t>JMM CURSOS PROFISSIONALIZANTES LTDA</t>
  </si>
  <si>
    <t>14.191.972/0001-15</t>
  </si>
  <si>
    <t>BOA VISTA TREINAMENTOS LTDA</t>
  </si>
  <si>
    <t>13.399.991/0001-79</t>
  </si>
  <si>
    <t>MARCATO SILVEIRA CURSOS PROFISSIONALIZANTES LTDA</t>
  </si>
  <si>
    <t>13.976.862/0001-04</t>
  </si>
  <si>
    <t>PRO-CURSOS. CURSOS PROFISSIONALIZANTES LTDA</t>
  </si>
  <si>
    <t>22.934.117/0001-85</t>
  </si>
  <si>
    <t>ML CURSOS LTDA ME</t>
  </si>
  <si>
    <t>11.715.948/0001-40</t>
  </si>
  <si>
    <t>ESPOSITO E CARVALHO LTDA ME</t>
  </si>
  <si>
    <t>14.242.525/0001-48</t>
  </si>
  <si>
    <t>RIBEIRO SANTOS CURSOS LTDA</t>
  </si>
  <si>
    <t>003.868.451-90</t>
  </si>
  <si>
    <t>ALAOR VILELA MARINI</t>
  </si>
  <si>
    <t>CAPELO CURSOS E TREINAMENTOS LTDA</t>
  </si>
  <si>
    <t>34.383.846/0001-70</t>
  </si>
  <si>
    <t>I R 2 TREINAMENTO LTDA</t>
  </si>
  <si>
    <t>17.573.410/0001-24</t>
  </si>
  <si>
    <t>CURSOS, CONCURSOS E APOSTILAS CSUL LTDA</t>
  </si>
  <si>
    <t>ABREU E CUNHA DESENVOLVIMENTO PROFISSIONAL LTDA</t>
  </si>
  <si>
    <t>11.324.881/0001-12</t>
  </si>
  <si>
    <t>POLYANA R. DOS S. BOAVENTURA INFORMATICA</t>
  </si>
  <si>
    <t>SWOT SP EDUCACAO EIRELI</t>
  </si>
  <si>
    <t>BG TECNOLOGIA EM DESENVOLVIMENTO PESSOAL LTDA - ME</t>
  </si>
  <si>
    <t>890.453.609-00</t>
  </si>
  <si>
    <t>RICARDO RANGEL DE SOUSA</t>
  </si>
  <si>
    <t>23.544.676/0001-41</t>
  </si>
  <si>
    <t>FERNANDO PIRES FINATI 13709620880</t>
  </si>
  <si>
    <t>12.215.089/0001-92</t>
  </si>
  <si>
    <t>LC CURSOS GERENCIAIS E PROFISSIONALIZANTES LTDA</t>
  </si>
  <si>
    <t>12.615.559/0001-05</t>
  </si>
  <si>
    <t>SOUZA CURSOS GERENCIAIS E PROFISSONALIZANTES LTDA</t>
  </si>
  <si>
    <t>12.973.899/0001-08</t>
  </si>
  <si>
    <t>RODRIGO &amp; MIRIAM INFORMATICA LTDA. - ME</t>
  </si>
  <si>
    <t>587.317.921-20</t>
  </si>
  <si>
    <t>MILTON ANTONIO LINS</t>
  </si>
  <si>
    <t>25.220.395/0001-69</t>
  </si>
  <si>
    <t>MAURO MANFRINATTO JUNIOR - ME</t>
  </si>
  <si>
    <t>058.367.028-88</t>
  </si>
  <si>
    <t>MILTON RUBENS VIUDES GARCIA</t>
  </si>
  <si>
    <t>807.356.220-00</t>
  </si>
  <si>
    <t>LUIZ MATHEUS DORNELLES ACOSTA</t>
  </si>
  <si>
    <t>277.799.848-50</t>
  </si>
  <si>
    <t>GREYSSE CRISTINA MOREIRA DOS SANTOS</t>
  </si>
  <si>
    <t>14.748.791/0001-47</t>
  </si>
  <si>
    <t>JUAN DANIEL HIDALGO SALINAS - ME</t>
  </si>
  <si>
    <t>457.159.635-91</t>
  </si>
  <si>
    <t>JOSE MARCELINO MONTEIRO DE BRITO MENEZES</t>
  </si>
  <si>
    <t>15.270.339/0001-85</t>
  </si>
  <si>
    <t>SANTOS &amp; GUERREIRO LTDA</t>
  </si>
  <si>
    <t>12.215.089/0003-54</t>
  </si>
  <si>
    <t>LC CURSOS GERENCIAIS E PROFISSIONALIZANTES LTDA ME</t>
  </si>
  <si>
    <t>17.479.115/0001-03</t>
  </si>
  <si>
    <t>COSTA E RIBEIRO TREINAMENTO LTDA</t>
  </si>
  <si>
    <t>370.325.838-14</t>
  </si>
  <si>
    <t>CAIO CESAR FAVARIN YASINE</t>
  </si>
  <si>
    <t>409.553.048-06</t>
  </si>
  <si>
    <t>NATALIA MIRELA PRATO GUILHERME</t>
  </si>
  <si>
    <t>979.289.501-97</t>
  </si>
  <si>
    <t>LUCIERE ISABEL DA ROSA</t>
  </si>
  <si>
    <t>317.192.678-47</t>
  </si>
  <si>
    <t>CLEITON ANTONIO LANZA</t>
  </si>
  <si>
    <t>09.118.710/0001-95</t>
  </si>
  <si>
    <t>GISELE CRISTINA CAMPANA - ME</t>
  </si>
  <si>
    <t>12.136.378/0001-04</t>
  </si>
  <si>
    <t>JGC CURSOS GERENCIAIS</t>
  </si>
  <si>
    <t>12.462.306/0001-49</t>
  </si>
  <si>
    <t>SUED CENTRO DE TREINAMENTO PROFISSIONAL EIRELI- ME</t>
  </si>
  <si>
    <t>22.138.551/0001-59</t>
  </si>
  <si>
    <t>PRO CURSOS CIANORTE LTDA - ME</t>
  </si>
  <si>
    <t>026.417.569-78</t>
  </si>
  <si>
    <t>LEONARDO MARTINS ZUCCOLI</t>
  </si>
  <si>
    <t>286.272.448-39</t>
  </si>
  <si>
    <t>CINTIA DE MEDEIROS SOUZA</t>
  </si>
  <si>
    <t>408.181.398-11</t>
  </si>
  <si>
    <t>KELLY PONTES PEREIRA FRANCINO</t>
  </si>
  <si>
    <t>11.414.127/0001-73</t>
  </si>
  <si>
    <t>CLAYTON JOSE DE ALCANTARA MOURA</t>
  </si>
  <si>
    <t>177.291.398-71</t>
  </si>
  <si>
    <t>KAREN RONDELLO ABRAHAO</t>
  </si>
  <si>
    <t>109.497.395-53</t>
  </si>
  <si>
    <t>JOUBERT SOARES DA SILVA</t>
  </si>
  <si>
    <t>449.216.677-72</t>
  </si>
  <si>
    <t>JAYME DOS SANTOS</t>
  </si>
  <si>
    <t>156.856.018-40</t>
  </si>
  <si>
    <t>RICARDO LOURENCO DOS SANTOS</t>
  </si>
  <si>
    <t>325.456.568-10</t>
  </si>
  <si>
    <t>LEONE ARLINDO FONSECA SCHULTZ</t>
  </si>
  <si>
    <t>108.129.517-19</t>
  </si>
  <si>
    <t>GESILEIA DE SOUZA</t>
  </si>
  <si>
    <t>21.336.027/0001-20</t>
  </si>
  <si>
    <t>SHIRLEY SANTOS E SILVA</t>
  </si>
  <si>
    <t>10.409.400/0001-09</t>
  </si>
  <si>
    <t>DIANA CAROLINA MEDEIROS RODRIGUEZ - ME</t>
  </si>
  <si>
    <t>11.071.969/0001-70</t>
  </si>
  <si>
    <t>MARTINELLI CURSOS DE INFORMATICA LTDA ME</t>
  </si>
  <si>
    <t>841.954.958-49</t>
  </si>
  <si>
    <t>ANTONIO CARLOS PEREIRA</t>
  </si>
  <si>
    <t>10.413.165/0001-49</t>
  </si>
  <si>
    <t>ANDRE AUGUSTO ABRANTES ME</t>
  </si>
  <si>
    <t>11.066.245/0001-38</t>
  </si>
  <si>
    <t>BT SERVICOS TREINAMENTO E CAPACITACAO DE PESSOAS L</t>
  </si>
  <si>
    <t>246.362.168-06</t>
  </si>
  <si>
    <t>DARCI VELONI POLETI</t>
  </si>
  <si>
    <t>10.980.679/0001-86</t>
  </si>
  <si>
    <t>MT TREINAMENTO E CAPACITACAO LTDA</t>
  </si>
  <si>
    <t>14.072.381/0001-29</t>
  </si>
  <si>
    <t>GARCIA LEAL SISTEMA DE ENSINO LTDA-ME</t>
  </si>
  <si>
    <t>135.921.348-17</t>
  </si>
  <si>
    <t>ALEXANDRE MARIA PETRONILHO</t>
  </si>
  <si>
    <t>907.070.609-15</t>
  </si>
  <si>
    <t>CARLOS EDUARDO MAINARDES DE SOUZA</t>
  </si>
  <si>
    <t>104.352.658-73</t>
  </si>
  <si>
    <t>ARI AKEMAN SADETSKY</t>
  </si>
  <si>
    <t>788.711.233-87</t>
  </si>
  <si>
    <t>PAOLA CAPIBARIBE JATAHY AGUIAR</t>
  </si>
  <si>
    <t>18.711.086/0001-26</t>
  </si>
  <si>
    <t>A E S COMERCIO DE LIVROS LTDA-ME</t>
  </si>
  <si>
    <t>924.014.147-20</t>
  </si>
  <si>
    <t>KARLA SOCORRO GUEDES DE ANDRADE</t>
  </si>
  <si>
    <t>19.069.776/0001-96</t>
  </si>
  <si>
    <t>HLS CURSOS LTDA - ME</t>
  </si>
  <si>
    <t>17.466.800/0001-03</t>
  </si>
  <si>
    <t>B1 CRUSOS E INFORMATICA MOGI MIRIM LTDA</t>
  </si>
  <si>
    <t>228.710.308-20</t>
  </si>
  <si>
    <t>LUIS EDUARDO DOS SANTOS</t>
  </si>
  <si>
    <t>797.045.572-72</t>
  </si>
  <si>
    <t>JUCIER ARARIPE ROMAO</t>
  </si>
  <si>
    <t>20.921.719/0001-72</t>
  </si>
  <si>
    <t>ATIVA CURSOS PROFISSIONALIZANTES E RH EIRELLI - EP</t>
  </si>
  <si>
    <t>79.880.953/0001-41</t>
  </si>
  <si>
    <t>ROGERIO JOSE GARRIDO</t>
  </si>
  <si>
    <t>21.033.615/0001-94</t>
  </si>
  <si>
    <t>HTM EDUCACAO - EIRELI - ME</t>
  </si>
  <si>
    <t>22.497.386/0001-21</t>
  </si>
  <si>
    <t>EDAP ENSINO PROFISSIONALIZANTE LTDA - ME</t>
  </si>
  <si>
    <t>11.260.516/0001-91</t>
  </si>
  <si>
    <t>MAIS APROVACAO LTDA - ME</t>
  </si>
  <si>
    <t>10.568.209/0001-00</t>
  </si>
  <si>
    <t>LOMG CURSOS DE INFORMATICA LTDA.</t>
  </si>
  <si>
    <t>10.761.877/0001-59</t>
  </si>
  <si>
    <t>CAMACARI E LUTTIGARDS CURSOS PROF. E COM.LTDA</t>
  </si>
  <si>
    <t>258.146.738-00</t>
  </si>
  <si>
    <t>DANILO BORTOLETTO LICURSI</t>
  </si>
  <si>
    <t>432.353.598-85</t>
  </si>
  <si>
    <t>CAIQUE FARIA TRINDADE</t>
  </si>
  <si>
    <t>15.210.635/0001-90</t>
  </si>
  <si>
    <t>CECATO VERA TREINAMENTOS LTDA</t>
  </si>
  <si>
    <t>10.463.877/0002-53</t>
  </si>
  <si>
    <t>CECUSE CENTRAL DE CONCURSO SERGIPE  LTDA ME</t>
  </si>
  <si>
    <t>805.323.065-20</t>
  </si>
  <si>
    <t>TIAGO CARVALHO REGO</t>
  </si>
  <si>
    <t>001.273.073-46</t>
  </si>
  <si>
    <t>POLIMARQUES BISPO DOURADO</t>
  </si>
  <si>
    <t>20.477.024/0001-43</t>
  </si>
  <si>
    <t>GONZALES &amp; RIBEIRO LTDA - ME</t>
  </si>
  <si>
    <t>16.835.638/0001-82</t>
  </si>
  <si>
    <t>CARVALHO CURSOS PROFISSIONALIZANTES EIRELI-ME</t>
  </si>
  <si>
    <t>975.865.874-34</t>
  </si>
  <si>
    <t>CLOVIS OLAVO MACHADO JUNIOR</t>
  </si>
  <si>
    <t>819.673.302-04</t>
  </si>
  <si>
    <t>RENATO SILVA SOUZA</t>
  </si>
  <si>
    <t>THIAGO DUARTE DE OLIVEIRA</t>
  </si>
  <si>
    <t>741.383.160-00</t>
  </si>
  <si>
    <t>IZABEL CRISTINA DOS ANJOS NUNES</t>
  </si>
  <si>
    <t>33.447.773/0001-70</t>
  </si>
  <si>
    <t>INOVASTAKES SERVICOS EDUCACIONAIS LTDA</t>
  </si>
  <si>
    <t>PLINIO MARCOS GUSMAO DOS SANTOS</t>
  </si>
  <si>
    <t>BUSCA PROCESSUAL NEG</t>
  </si>
  <si>
    <t>09.634.972/0002-93</t>
  </si>
  <si>
    <t>SEMPRE INFORMATICA SERV.E EDICOES C ULTU</t>
  </si>
  <si>
    <t>04.988.070/0001-50</t>
  </si>
  <si>
    <t>NARALLI CENTRO DE TREINAMENTO EMPRE SARIAL LTDA</t>
  </si>
  <si>
    <t>11.800.189/0001-13</t>
  </si>
  <si>
    <t>MINASBRASIL INFORMATICA&amp;CURSOS PROFISSIO</t>
  </si>
  <si>
    <t>924.148.181-15</t>
  </si>
  <si>
    <t>EDUARDO PEREIRA VASCONCELOS</t>
  </si>
  <si>
    <t>12.215.089/0002-73</t>
  </si>
  <si>
    <t>LC CURSOS GERENCIAS E PROFISSIONALIZANTES LTDA</t>
  </si>
  <si>
    <t>11.666.335/0001-60</t>
  </si>
  <si>
    <t>FORTALEZA EDUCACAO PROFISSIONAL LTDA</t>
  </si>
  <si>
    <t>923.304.522-68</t>
  </si>
  <si>
    <t>WILLIAM CRISTIANO SOARES MELO</t>
  </si>
  <si>
    <t>01.507.211/0001-88</t>
  </si>
  <si>
    <t>HELP COMPUTER LTDA.</t>
  </si>
  <si>
    <t>137.096.208-80</t>
  </si>
  <si>
    <t>FERNANDO PIRES FINATI</t>
  </si>
  <si>
    <t>293.593.158-00</t>
  </si>
  <si>
    <t>MARCIO RODRIGUES</t>
  </si>
  <si>
    <t>696.064.041-53</t>
  </si>
  <si>
    <t>EBER MARTINS DE CAMPOS</t>
  </si>
  <si>
    <t>05.558.845/0001-10</t>
  </si>
  <si>
    <t>ESCOLA CURSOS PROF.DE GUARABIRA LTD A</t>
  </si>
  <si>
    <t>12.025.139/0001-79</t>
  </si>
  <si>
    <t>R.A. DOS SANTOS</t>
  </si>
  <si>
    <t>19.110.795/0001-19</t>
  </si>
  <si>
    <t>A&amp;L CURSOS E CONSULTORIA LTDA - ME</t>
  </si>
  <si>
    <t>16.619.487/0001-25</t>
  </si>
  <si>
    <t>FUTURO CERTO TREINAMENTO E COMERCIO DE LIVROS DIDA</t>
  </si>
  <si>
    <t>559.813.566-34</t>
  </si>
  <si>
    <t>JOSE ROGERIO ASSUNCAO</t>
  </si>
  <si>
    <t>LEVADA &amp; JUNIOR SERVICOS EM TECNOLOGIA DA INFORMACAO LTDA</t>
  </si>
  <si>
    <t>FRONTAL ORIENTACAO PEDAGOGICA E CONSULTORIA EMPRESARIAL LTDA</t>
  </si>
  <si>
    <t>09.274.389/0001-38</t>
  </si>
  <si>
    <t>GIRO EDUCACIONAL LTDA ME</t>
  </si>
  <si>
    <t>09.674.477/0001-27</t>
  </si>
  <si>
    <t>01.322.886/0001-52</t>
  </si>
  <si>
    <t>FREGUESIA CURSOS DE INFORMATICA LTD A</t>
  </si>
  <si>
    <t>18.310.764/0001-49</t>
  </si>
  <si>
    <t>CENTRO DE FORMACAO PROFISSIONAL FRA NCO</t>
  </si>
  <si>
    <t>05.469.466/0001-54</t>
  </si>
  <si>
    <t>SISTEMA DE ENSINO PROF. DO NORDESTE  LTDA</t>
  </si>
  <si>
    <t>034.632.386-08</t>
  </si>
  <si>
    <t>LILIANE ANGELO SOUZA BERNARDES</t>
  </si>
  <si>
    <t>12.537.722/0001-69</t>
  </si>
  <si>
    <t>RODRIGO FABIANO SIMAO 28742906881</t>
  </si>
  <si>
    <t>07.015.186/0001-00</t>
  </si>
  <si>
    <t>JLPS - CENTRO DE FORMACAO PROFISSIO NAL EIRELI - ME</t>
  </si>
  <si>
    <t>05.460.003/0001-21</t>
  </si>
  <si>
    <t>MARIA DAS NEVES ZUAZO SANCHIS CERON  - ME</t>
  </si>
  <si>
    <t>372.144.541-49</t>
  </si>
  <si>
    <t>JOAO FELIPE ARAUJO DA CUNHA</t>
  </si>
  <si>
    <t>05.155.715/0001-37</t>
  </si>
  <si>
    <t>CRISMYS CURSOS DE INFORMATICA LTDA</t>
  </si>
  <si>
    <t>16.853.790/0001-98</t>
  </si>
  <si>
    <t>INSTITUTO EDUCACIONAL RAMEC LTDA ME</t>
  </si>
  <si>
    <t>09.138.325/0001-00</t>
  </si>
  <si>
    <t>CENTRO DE FORMACAO PROFISSIONAL ROC INHA LTDA - ME</t>
  </si>
  <si>
    <t>219.692.638-81</t>
  </si>
  <si>
    <t>CRISLEI APARECIDA DA SILVA</t>
  </si>
  <si>
    <t>11.056.004/0002-99</t>
  </si>
  <si>
    <t>APP FORMACAO PROFISSSIONAL</t>
  </si>
  <si>
    <t>17.127.544/0001-11</t>
  </si>
  <si>
    <t>VIEIRA &amp; JUSTO LTDA</t>
  </si>
  <si>
    <t>JULIANA MEDEIROS</t>
  </si>
  <si>
    <t>05.843.928/0001-51</t>
  </si>
  <si>
    <t>JOSEFINA AP. RAVANELLI BULLARA ME</t>
  </si>
  <si>
    <t>23.757.578/0001-92</t>
  </si>
  <si>
    <t>SANDRA LOPES DE PAIVA - ME</t>
  </si>
  <si>
    <t>72.843.055/0001-74</t>
  </si>
  <si>
    <t>EMA DORI EDUCAIONAL LTDA ME</t>
  </si>
  <si>
    <t>09.305.796/0001-65</t>
  </si>
  <si>
    <t>S.J. VALE INFORMATICA EIRELI</t>
  </si>
  <si>
    <t>19.233.730/0001-60</t>
  </si>
  <si>
    <t>SOS VPN INFORMATICA EIRELI- ME</t>
  </si>
  <si>
    <t>08.977.418/0001-65</t>
  </si>
  <si>
    <t>S.S. NUNES</t>
  </si>
  <si>
    <t>20.985.194/0001-39</t>
  </si>
  <si>
    <t>ELH EDUCACAO E COMERCIO DE LIVROS L TDA - ME</t>
  </si>
  <si>
    <t>13.989.885/0001-45</t>
  </si>
  <si>
    <t>UBIRAJARA JOSE DE MORAIS JUNIOR</t>
  </si>
  <si>
    <t>08.337.667/0001-96</t>
  </si>
  <si>
    <t>CURSO PROFISSIONALIZANTE MARICA LTD A - ME</t>
  </si>
  <si>
    <t>22.497.512/0001-48</t>
  </si>
  <si>
    <t>ANJO DA GUARDA ESC. DE CAP. PROF. L TDA</t>
  </si>
  <si>
    <t>12.449.198/0001-74</t>
  </si>
  <si>
    <t>MCE CENTRO DE FORMACAO TIJUCA LTDA - ME</t>
  </si>
  <si>
    <t>59.642.561/0001-37</t>
  </si>
  <si>
    <t>FACTO EDUCACAO LTDA - ME</t>
  </si>
  <si>
    <t>100.267.338-03</t>
  </si>
  <si>
    <t>JOCELEM DAS GRACAS SIMOES LEITE</t>
  </si>
  <si>
    <t>13.495.511/0001-73</t>
  </si>
  <si>
    <t>LOPES E RODRIGUES CURSOS PROFISSION AL LTDA ME</t>
  </si>
  <si>
    <t>11.763.904/0001-95</t>
  </si>
  <si>
    <t>SAGABELLA EDUCACAO PROFISSIONAL</t>
  </si>
  <si>
    <t>06.023.317/0001-20</t>
  </si>
  <si>
    <t>EMPRESA EDUC. DE CURSOS E TREIINAME NTOS LIVRES LTDA</t>
  </si>
  <si>
    <t>12.481.973/0001-79</t>
  </si>
  <si>
    <t>JOELSON ALVES DE OLIVEIRA</t>
  </si>
  <si>
    <t>BILCHE E NOGUEIRA LTDA</t>
  </si>
  <si>
    <t>212.998.488-69</t>
  </si>
  <si>
    <t>ERIKA PATIRE MOLITO</t>
  </si>
  <si>
    <t>13.998.467/0001-14</t>
  </si>
  <si>
    <t>CAPACITAZIONE CURSOS LTDA</t>
  </si>
  <si>
    <t>34.878.293/0001-26</t>
  </si>
  <si>
    <t>ARDNAEL CURSOS PROFISSIONALIZANTES LTDA</t>
  </si>
  <si>
    <t>11.546.062/0001-10</t>
  </si>
  <si>
    <t>PEDRO PAULO DOS SANTOS DE MELLO ME</t>
  </si>
  <si>
    <t>15.345.326/0001-28</t>
  </si>
  <si>
    <t>EPROTEC-ESCOLA NACIONAL DE CURSOS P ROF.</t>
  </si>
  <si>
    <t>812.636.435-15</t>
  </si>
  <si>
    <t>SHEILA DE SOUZA DEMIAO LOBO</t>
  </si>
  <si>
    <t>14.917.086/0001-26</t>
  </si>
  <si>
    <t>CENTRO DE EDUCACAO PROF. E TECNICA DO MA</t>
  </si>
  <si>
    <t>335.815.868-35</t>
  </si>
  <si>
    <t>JULIANA SILVA COIMBRA DOS SANTOS</t>
  </si>
  <si>
    <t>05.454.534/0001-01</t>
  </si>
  <si>
    <t>INSTITUTO DE FORM. PROFIS.235 DE RE SENDE LTDA</t>
  </si>
  <si>
    <t>14.647.915/0001-06</t>
  </si>
  <si>
    <t>MAZEIRO &amp; PROVAZI LTDA</t>
  </si>
  <si>
    <t>ANA CAROLINA TOMAZ TAVARES</t>
  </si>
  <si>
    <t>34.800.208/0001-07</t>
  </si>
  <si>
    <t>DANIELLA MOREIRA DE OLIVEIRA 08142460602</t>
  </si>
  <si>
    <t>ATENA CURSOS EIRELI</t>
  </si>
  <si>
    <t>07.414.591/0001-92</t>
  </si>
  <si>
    <t>YCMR CURSOS LIVRES LTDA</t>
  </si>
  <si>
    <t>05.431.641/0001-14</t>
  </si>
  <si>
    <t>MPG LIVROS E FORMACAO PROFISSIONAL LTDA</t>
  </si>
  <si>
    <t>14.210.688/0001-49</t>
  </si>
  <si>
    <t>INSTITUTO EDUCACIONAL E PROFISSIONALIZANTES LTDA</t>
  </si>
  <si>
    <t>008.597.210-00</t>
  </si>
  <si>
    <t>EVANDRO DE BRUM SARAIVA</t>
  </si>
  <si>
    <t>15.638.865/0001-55</t>
  </si>
  <si>
    <t>SILVIA MARIA ELENA TAJES - EPP</t>
  </si>
  <si>
    <t>281.110.508-52</t>
  </si>
  <si>
    <t>DANIELA SPAGNUOLO BURGHETTI POLI</t>
  </si>
  <si>
    <t>11.245.641/0001-22</t>
  </si>
  <si>
    <t>MAX CURSOS APRENDIZADO  PROFISSIONAL DE  INFORMATI</t>
  </si>
  <si>
    <t>420.227.738-45</t>
  </si>
  <si>
    <t>RENAN SCHICHI FONSECA</t>
  </si>
  <si>
    <t>19.329.777/0001-22</t>
  </si>
  <si>
    <t>LETCURSOS PROFISSIONALIZANTES LTDA - ME</t>
  </si>
  <si>
    <t>11.218.549/0001-73</t>
  </si>
  <si>
    <t>GUIMARAES FERNANDES PROF. LTDA - ME</t>
  </si>
  <si>
    <t>05.244.682/0001-00</t>
  </si>
  <si>
    <t>ANN INFORMATICA E TREINAMENTO LTDA</t>
  </si>
  <si>
    <t>15.498.331/0001-70</t>
  </si>
  <si>
    <t>GUILHERME CORNACHINI BARZINSKI INFORMATICA - EPP</t>
  </si>
  <si>
    <t>09.600.953/0001-65</t>
  </si>
  <si>
    <t>ACD TREINAMENTO E INFORMATICA LTDA</t>
  </si>
  <si>
    <t>089.925.997-90</t>
  </si>
  <si>
    <t>DOUGLAS SANGES LAFERE MESQUITA</t>
  </si>
  <si>
    <t>331.124.498-27</t>
  </si>
  <si>
    <t>VANESSA DA SILVA RAMPAZO</t>
  </si>
  <si>
    <t>254.845.089-91</t>
  </si>
  <si>
    <t>SUELI SANTOS</t>
  </si>
  <si>
    <t>11.297.681/0001-18</t>
  </si>
  <si>
    <t>CM CONHECIMENTO E CRESCIMENTO LTDA</t>
  </si>
  <si>
    <t>351.020.598-74</t>
  </si>
  <si>
    <t>RODRIGO MARTINS BORDIN</t>
  </si>
  <si>
    <t>17.210.602/0001-76</t>
  </si>
  <si>
    <t>G.P.A. DE ALMEIDA CURSOS E TREINAMENTOS - ME</t>
  </si>
  <si>
    <t>15.307.289/0001-63</t>
  </si>
  <si>
    <t>EDUCAR BRASIL, CURSOS, TREINAMENTOS E COMERCIO DE</t>
  </si>
  <si>
    <t>614.337.138-53</t>
  </si>
  <si>
    <t>NOBUMITSU CHINEN</t>
  </si>
  <si>
    <t>14.107.024/0001-59</t>
  </si>
  <si>
    <t>A2E EMPRESARIAL LTDA</t>
  </si>
  <si>
    <t>15.409.079/0001-86</t>
  </si>
  <si>
    <t>M L CURSOS PROFISSIONALIZANTES LTDA ME</t>
  </si>
  <si>
    <t>10.313.132/0001-27</t>
  </si>
  <si>
    <t>M&amp;M CAPACITACAO PROFISSIONAL LTDA ME</t>
  </si>
  <si>
    <t>14.801.563/0001-93</t>
  </si>
  <si>
    <t>COLOMBO TREINAMENTOS LTDA</t>
  </si>
  <si>
    <t>11.888.164/0001-13</t>
  </si>
  <si>
    <t>P2 TREINAMENTO E SERVICOS LTDA.</t>
  </si>
  <si>
    <t>12.150.357/0001-35</t>
  </si>
  <si>
    <t>EVIDENCIA CONSULTORIA E NEGOCIOS LTDA</t>
  </si>
  <si>
    <t>219.517.388-29</t>
  </si>
  <si>
    <t>CARLOS ROBERTO CUNHA AMORIM</t>
  </si>
  <si>
    <t>14.718.998/0001-79</t>
  </si>
  <si>
    <t>LT TREINAMENTO E CURSOS PROFISSIONALIZANTES LTDA</t>
  </si>
  <si>
    <t>15.088.397/0001-92</t>
  </si>
  <si>
    <t>INST. DE FORMACAO PROF. ANDRE REBOU CAS</t>
  </si>
  <si>
    <t>18.855.323/0001-22</t>
  </si>
  <si>
    <t>ATUALIZE TREINAMENTOS E COMERCIO DE LIVROS LTDA -</t>
  </si>
  <si>
    <t>321.298.208-08</t>
  </si>
  <si>
    <t>MOISES ELIAS JUNIOR</t>
  </si>
  <si>
    <t>15.246.889/0001-69</t>
  </si>
  <si>
    <t>ATHER QUALIFICACOES LTDA</t>
  </si>
  <si>
    <t>17.392.372/0001-03</t>
  </si>
  <si>
    <t>LOPES CURSOS PROFISSIONALIZANTES LTDA - EPP</t>
  </si>
  <si>
    <t>02.268.592/0001-52</t>
  </si>
  <si>
    <t>DIAGRAMA CONSULTORES LTDA</t>
  </si>
  <si>
    <t>24.863.929/0001-02</t>
  </si>
  <si>
    <t>MAXIMUS EXCELENCIA EDUCACIONAL EIRELI-ME</t>
  </si>
  <si>
    <t>22.615.873/0001-41</t>
  </si>
  <si>
    <t>BRUNO SAMPAIO DE OLIVEIRA - ME</t>
  </si>
  <si>
    <t>19.833.414/0001-20</t>
  </si>
  <si>
    <t>PRIME INFORMATICA E TREINAMENTOS LT DA - ME</t>
  </si>
  <si>
    <t>01.188.956/0001-21</t>
  </si>
  <si>
    <t>CHRONOS INFORMATICA LTDA.</t>
  </si>
  <si>
    <t>17.960.416/0001-54</t>
  </si>
  <si>
    <t>CRX CURSOS PROFISSIONALIZANTES LTDA  - ME</t>
  </si>
  <si>
    <t>10.903.985/0001-19</t>
  </si>
  <si>
    <t>SCAFF E SANTOS LTDA - ME</t>
  </si>
  <si>
    <t>11.375.405/0001-20</t>
  </si>
  <si>
    <t>AMBJ TREINAMENTO GERENCIAL LTDA ME</t>
  </si>
  <si>
    <t>07.034.047/0001-15</t>
  </si>
  <si>
    <t>CABREU DE QUEIMADOS INFORMATICA LTD A</t>
  </si>
  <si>
    <t>00.733.431/0001-67</t>
  </si>
  <si>
    <t>THEMOTHEO EMPREENDIMENTOS DE ENSINO LTDA</t>
  </si>
  <si>
    <t>08.864.107/0001-90</t>
  </si>
  <si>
    <t>MAYER &amp; BREMM LTDA - ME</t>
  </si>
  <si>
    <t>CRVA - SOL</t>
  </si>
  <si>
    <t>20.718.349/0001-70</t>
  </si>
  <si>
    <t>CAP ENSINO E COMERCIO DE MATERIAL DIDATICO</t>
  </si>
  <si>
    <t>36.284.346/0001-06</t>
  </si>
  <si>
    <t>ENSINA AGUAS CLARAS PROGRAMAS EDUCACIONAIS EIRELI</t>
  </si>
  <si>
    <t>388.962.688-26</t>
  </si>
  <si>
    <t>BRUNO VALENTIM RIBEIRO</t>
  </si>
  <si>
    <t>33.843.524/0001-01</t>
  </si>
  <si>
    <t>ALEXANDRE MARTINS DE SA SIMOES</t>
  </si>
  <si>
    <t>AZOR EDUCACAO PROFISSIONAL LTDA</t>
  </si>
  <si>
    <t>VRL CURSOS E CONSULTORIA &amp; TREINAMENTOS LTDA</t>
  </si>
  <si>
    <t>G N DOS SANTOS ENSINOS DE INFORMATICA</t>
  </si>
  <si>
    <t>09.553.019/0001-30</t>
  </si>
  <si>
    <t>DIMENSION INFORMATICA CURSOS PROF. LTDA ME</t>
  </si>
  <si>
    <t>10.649.558/0001-56</t>
  </si>
  <si>
    <t>ADEMIR MOREIRA BUENO - ME</t>
  </si>
  <si>
    <t>11.579.428/0001-57</t>
  </si>
  <si>
    <t>QUEIROZ OLIVEIRA FORMACAO PROFISSIO NAL LTDA</t>
  </si>
  <si>
    <t>19.585.089/0001-23</t>
  </si>
  <si>
    <t>LIBERDADE CURSOS PROFISSIONALIZANTE  LTDA - ME</t>
  </si>
  <si>
    <t>08.645.824/0001-20</t>
  </si>
  <si>
    <t>AMBIENTE EDUCACIONAL LTDA - ME</t>
  </si>
  <si>
    <t>09.250.797/0001-50</t>
  </si>
  <si>
    <t>EDUARDO YUITI SHINOZAKI - ME</t>
  </si>
  <si>
    <t>13.038.553/0001-85</t>
  </si>
  <si>
    <t>E C DE F SILVA - ME</t>
  </si>
  <si>
    <t>06.181.461/0001-94</t>
  </si>
  <si>
    <t>INSTITUTO DE CAPACITACAO PROFISSION AL VILA VALQUEIRE LTDA M</t>
  </si>
  <si>
    <t>04.846.084/0001-30</t>
  </si>
  <si>
    <t>CRIATIVA CONSULTORIA &amp; RECURSOS HUM ANOS</t>
  </si>
  <si>
    <t>14.353.818/0001-00</t>
  </si>
  <si>
    <t>CTA LIVROS E FORMACAO PROFISSIONAL LTDA</t>
  </si>
  <si>
    <t>15.507.596/0001-98</t>
  </si>
  <si>
    <t>FBA CAXIAS ENSINO E CULTURA LTDA - ME</t>
  </si>
  <si>
    <t>20.828.538/0001-04</t>
  </si>
  <si>
    <t>SIMOES MENEZES CURSOS DE INFORMATICA E TECNICO PRO</t>
  </si>
  <si>
    <t>05.969.174/0001-80</t>
  </si>
  <si>
    <t>G &amp; R TREINAMENTO E DESENVOLVIMENTO  PROFISSIONAL LTDA ME</t>
  </si>
  <si>
    <t>06.948.791/0001-62</t>
  </si>
  <si>
    <t>NASCIMENTO XAVIER CURSOS PROFISSION ALIZANTES LTDA</t>
  </si>
  <si>
    <t>CAPACITA EMPREENDIMENTOS EDUC. LTDA</t>
  </si>
  <si>
    <t>08.035.142/0001-04</t>
  </si>
  <si>
    <t>G P INFORMATICA E EDITORACAO LTDA</t>
  </si>
  <si>
    <t>07.384.496/0001-93</t>
  </si>
  <si>
    <t>Y &amp; R REPRESENTACAO LTDA</t>
  </si>
  <si>
    <t>05.701.007/0001-54</t>
  </si>
  <si>
    <t>G.E.C PRESTACAO DE SERVICOS LTDA</t>
  </si>
  <si>
    <t>13.025.955/0002-26</t>
  </si>
  <si>
    <t>GURI EMPREENDIMENTOS LTDA - ME</t>
  </si>
  <si>
    <t>19.727.851/0001-69</t>
  </si>
  <si>
    <t>GP FROTA CURSOS PROFISSIONALIZANTES LTDA</t>
  </si>
  <si>
    <t>13.380.311/0001-75</t>
  </si>
  <si>
    <t>M&amp;M EDUCACAO PROFISSIONAL LTDA - ME</t>
  </si>
  <si>
    <t>03.884.694/0002-46</t>
  </si>
  <si>
    <t>ADR CONSULTORIA E INFORMATICA S/C L TDA</t>
  </si>
  <si>
    <t>13.098.885/0003-17</t>
  </si>
  <si>
    <t>GERALDO ALVES PEREIRA NETO - EPP</t>
  </si>
  <si>
    <t>20.990.643/0002-18</t>
  </si>
  <si>
    <t>RENATA LIVRARIA &amp; ACESSORIOS LTDA ME</t>
  </si>
  <si>
    <t>13.810.056/0001-53</t>
  </si>
  <si>
    <t>FLORISVALDO PEREIRA DOS SANTOS</t>
  </si>
  <si>
    <t>973.327.126-87</t>
  </si>
  <si>
    <t>AMAURI SILVA CORREA</t>
  </si>
  <si>
    <t>01.864.970/0001-06</t>
  </si>
  <si>
    <t>PENHA INFORMATICA  LTDA - EPP</t>
  </si>
  <si>
    <t>16.741.356/0001-16</t>
  </si>
  <si>
    <t>CLAIVA IDIOMAS E TREINAMENTOS LTDA - ME</t>
  </si>
  <si>
    <t>15.564.908/0001-03</t>
  </si>
  <si>
    <t>SDLONDRES COMERCIO DE LIVROS E IDIO MAS</t>
  </si>
  <si>
    <t>13.535.665/0001-41</t>
  </si>
  <si>
    <t>PRIME DESENVOLVIMENTO PROFISSIONAL LTDA - ME</t>
  </si>
  <si>
    <t>14.936.113/0001-08</t>
  </si>
  <si>
    <t>NORTEAR CURSOS DE APERFEICOAMENTO P ROFISSIONAL LTDA ME</t>
  </si>
  <si>
    <t>16.852.027/0001-42</t>
  </si>
  <si>
    <t>K G F BERGER ME</t>
  </si>
  <si>
    <t>14.964.129/0001-24</t>
  </si>
  <si>
    <t>ORJ CURSOS SAO JOAO LTDA</t>
  </si>
  <si>
    <t>08.241.460/0001-13</t>
  </si>
  <si>
    <t>CENTRO DE COMPUTACAO NOVA MACAE LTDA ME</t>
  </si>
  <si>
    <t>03.769.796/0001-30</t>
  </si>
  <si>
    <t>LIMITS ESCOLA DE INFORMATICA E COME RCIO</t>
  </si>
  <si>
    <t>19.553.100/0001-73</t>
  </si>
  <si>
    <t>CEN SETE CURSOS PROFISSIONALIZANTES LTDA</t>
  </si>
  <si>
    <t>14.335.218/0001-01</t>
  </si>
  <si>
    <t>COMPLETA CONSULTORIA E SERVICOS LTD A ME</t>
  </si>
  <si>
    <t>19.802.940/0001-22</t>
  </si>
  <si>
    <t>38.927.067/0002-20</t>
  </si>
  <si>
    <t>AZIZ INFORMATICA LTDA - ME</t>
  </si>
  <si>
    <t>09.634.972/0001-02</t>
  </si>
  <si>
    <t>SEMPRE INFORMATICA E TREINAMENTOS L TDA ME</t>
  </si>
  <si>
    <t>05.532.348/0001-43</t>
  </si>
  <si>
    <t>NOSSA SENHORA APARECIDA TREINAMENTO S LTD</t>
  </si>
  <si>
    <t>13.098.885/0001-55</t>
  </si>
  <si>
    <t>12.461.104/0001-82</t>
  </si>
  <si>
    <t>FUKUMOTO E ODAKA CURSOS E TREINAMEN TO DE INFORMATICA LTDA</t>
  </si>
  <si>
    <t>MILTON SILVA DE ARRUDA JUNIOR</t>
  </si>
  <si>
    <t>07.338.420/0001-21</t>
  </si>
  <si>
    <t>TRENY RECURSOS HUMANOS SOCIEDADE SI MPLES LTDA</t>
  </si>
  <si>
    <t>08.861.628/0001-93</t>
  </si>
  <si>
    <t>ITP INSTITUTO TECNOLOGICO E PROF  D E MA</t>
  </si>
  <si>
    <t>05.209.302/0001-98</t>
  </si>
  <si>
    <t>CENTRO DE FORMACAO PROFISSIONAL SAN TA CRUZ LTDA</t>
  </si>
  <si>
    <t>12.260.560/0001-64</t>
  </si>
  <si>
    <t>ACAO INFORMATICA E TREINAMENTOS LTD A - ME</t>
  </si>
  <si>
    <t>16.596.939/0002-81</t>
  </si>
  <si>
    <t>PEREIRA &amp; FERRAZ LTDA - ME</t>
  </si>
  <si>
    <t>446.628.948-40</t>
  </si>
  <si>
    <t>ANDRE LOPES SOARES DOS SANTOS</t>
  </si>
  <si>
    <t>10.635.994/0001-76</t>
  </si>
  <si>
    <t>F J CURSOS PROFISSIONALIZANTERS LTDA - ME</t>
  </si>
  <si>
    <t>07.219.555/0001-78</t>
  </si>
  <si>
    <t>PREPARA SERRA-CURSOS PROFISSIONALIZANTES LTDA-ME</t>
  </si>
  <si>
    <t>03.199.905/0001-20</t>
  </si>
  <si>
    <t>QUADROS &amp; ZOE TREINAMENTOS LTDA</t>
  </si>
  <si>
    <t>29.666.266/0001-50</t>
  </si>
  <si>
    <t>UKL TECNOLOGIA EM INFORMATICA EIRELI</t>
  </si>
  <si>
    <t>27.160.275/0001-49</t>
  </si>
  <si>
    <t>A C S CURSOS PROFISSIONALIZANTES LTDA</t>
  </si>
  <si>
    <t>TABATA OLINDO ZADAVALLI RAMOS 02346859133</t>
  </si>
  <si>
    <t>09.569.621/0002-46</t>
  </si>
  <si>
    <t>TRAINER CURSO DE INFORMATICA LTDA ME</t>
  </si>
  <si>
    <t>04.336.785/0001-29</t>
  </si>
  <si>
    <t>PRIMAFE SERVICOS TECNICOS LTDA</t>
  </si>
  <si>
    <t>13.025.955/0001-45</t>
  </si>
  <si>
    <t>GURI EMPREENDIMENTOS LTDA</t>
  </si>
  <si>
    <t>06.935.269/0001-46</t>
  </si>
  <si>
    <t>F.S.C. COMERCIO DE MAT. E. E CURSOS  PROF</t>
  </si>
  <si>
    <t>08.035.142/0002-87</t>
  </si>
  <si>
    <t>945.906.305-59</t>
  </si>
  <si>
    <t>MARIA ALICE MIRANDA GUERRA</t>
  </si>
  <si>
    <t>23.047.560/0002-88</t>
  </si>
  <si>
    <t>CONSOLI &amp; LACERDA LTDA</t>
  </si>
  <si>
    <t>F DE ALCANTARA XAVIER CURSOS</t>
  </si>
  <si>
    <t>269.988.418-92</t>
  </si>
  <si>
    <t>FABRICIO INNOCENTINI LOPES DE FARIA</t>
  </si>
  <si>
    <t>14.806.168/0001-01</t>
  </si>
  <si>
    <t>CENTRO DE FORM.PROF.DE PACIENCIA LT DA ME</t>
  </si>
  <si>
    <t>07.299.954/0004-39</t>
  </si>
  <si>
    <t>INCENTIVA RH - CENTRO DE DESENVOLVI MENT</t>
  </si>
  <si>
    <t>11.978.908/0001-90</t>
  </si>
  <si>
    <t>BW FORMACAO PROFISSIONAL LTDA</t>
  </si>
  <si>
    <t>PAULO HENRIQUE TAKAKURA 28811931886</t>
  </si>
  <si>
    <t>04.853.953/0001-53</t>
  </si>
  <si>
    <t>VALIO EDUCACAO PROFISSIONAL LTDA</t>
  </si>
  <si>
    <t>003.964.297-69</t>
  </si>
  <si>
    <t>ALEXANDRE RIO CARNEIRO</t>
  </si>
  <si>
    <t>425.237.738-21</t>
  </si>
  <si>
    <t>MAYARA BARBOSA POSCAI PIRES</t>
  </si>
  <si>
    <t>35.407.985/0001-59</t>
  </si>
  <si>
    <t>TALITA CARVALHO CARDOSO ESPOSITO LTDA</t>
  </si>
  <si>
    <t>35.796.766/0001-09</t>
  </si>
  <si>
    <t>WANESSA F. GAMA COSTA</t>
  </si>
  <si>
    <t>070.883.265-23</t>
  </si>
  <si>
    <t>IAGO DA CRUZ SANTOS</t>
  </si>
  <si>
    <t>JOSE AUGUSTO DE CARVALHO SANTOS FILHO</t>
  </si>
  <si>
    <t>14.850.894/0001-13</t>
  </si>
  <si>
    <t>JAC FORMACAO PROFISSIONAL LTDA</t>
  </si>
  <si>
    <t>RADICAL CURSOS PROFISSIONALIZANTES LTDA</t>
  </si>
  <si>
    <t>11.959.216/0001-03</t>
  </si>
  <si>
    <t>IZAURA MUSUGOSSA CAITANO ME</t>
  </si>
  <si>
    <t>36.621.364/0001-36</t>
  </si>
  <si>
    <t>JMI CURSOS PROFISSIONALIZANTES EIRELI</t>
  </si>
  <si>
    <t>34.316.404/0001-00</t>
  </si>
  <si>
    <t>HERALDO DIAS DA SILVA COSTA 63673886720</t>
  </si>
  <si>
    <t>37.293.706/0001-07</t>
  </si>
  <si>
    <t>FARIA COUTO FORMACAO PROFISSIONAL LTDA</t>
  </si>
  <si>
    <t>CEAMI CENTRO EDUCACIONAL LTDA</t>
  </si>
  <si>
    <t>16.958.870/0001-08</t>
  </si>
  <si>
    <t>D. G. SCHNEIDER-ME</t>
  </si>
  <si>
    <t>15.872.566/0001-80</t>
  </si>
  <si>
    <t>F.T.C DE CASTRO - ME</t>
  </si>
  <si>
    <t>37.360.348/0001-08</t>
  </si>
  <si>
    <t>TH ASSESSORIA E ENSINO PROFISSIONAL LTDA</t>
  </si>
  <si>
    <t>RR CURSOS DE BOM JESUS LTDA</t>
  </si>
  <si>
    <t>10.175.863/0001-53</t>
  </si>
  <si>
    <t>GRACIELLE MARIA DACZKOWSKI ME</t>
  </si>
  <si>
    <t>12.024.456/0001-70</t>
  </si>
  <si>
    <t>CURSOS PREPARATORIO JJ &amp; G LTDA</t>
  </si>
  <si>
    <t>11.437.919/0001-63</t>
  </si>
  <si>
    <t>I C J - INSTITUTO CULTURAL JEOVAJIRE LTDA</t>
  </si>
  <si>
    <t>13.092.335/0001-29</t>
  </si>
  <si>
    <t>SRSOARES EDUCAR CURSOS PROFISSIONALIZANTES LTDA</t>
  </si>
  <si>
    <t>11.087.554/0001-94</t>
  </si>
  <si>
    <t>EBN SERVICOS LTDA</t>
  </si>
  <si>
    <t>QUINTAS &amp; CUNHA SISTEMA EDUCACIONAL LTDA</t>
  </si>
  <si>
    <t>07.731.343/0001-75</t>
  </si>
  <si>
    <t>B &amp; D FORMACAO PROFISSIONAL LTDA ME</t>
  </si>
  <si>
    <t>05.881.098/0001-57</t>
  </si>
  <si>
    <t>13.829.218/0001-03</t>
  </si>
  <si>
    <t>MAIS INFORMATICA E TREINAMENTOS LTD A ME</t>
  </si>
  <si>
    <t>10.562.231/0002-23</t>
  </si>
  <si>
    <t>CRVA – POS</t>
  </si>
  <si>
    <t>13.481.654/0001-26</t>
  </si>
  <si>
    <t>STARDIGITAL LTDA</t>
  </si>
  <si>
    <t>RI SOL</t>
  </si>
  <si>
    <t>DEBORA LOPES BARRETO</t>
  </si>
  <si>
    <t>163.576.717-20</t>
  </si>
  <si>
    <t>JOSE ALZAMIR PEREIRA DA COSTA</t>
  </si>
  <si>
    <t>015.736.017-21</t>
  </si>
  <si>
    <t>ADRIANO FRANCISCO LOOS</t>
  </si>
  <si>
    <t>WENDER FERNANDES MASCELLANI</t>
  </si>
  <si>
    <t>RI POS</t>
  </si>
  <si>
    <t>CESAR AUGUSTO LIMA COSTA</t>
  </si>
  <si>
    <t>ELIANA CRISTINA MACIEL DE LARA</t>
  </si>
  <si>
    <t>WHATSAPP MENS REC</t>
  </si>
  <si>
    <t>VRL CURSOS E CONSULTORIA &amp; TREINAMENTOS EIRELI</t>
  </si>
  <si>
    <t>815.076.075-04</t>
  </si>
  <si>
    <t>DIOGO BRITO DE FIGUEIREDO</t>
  </si>
  <si>
    <t>12.396.630/0001-06</t>
  </si>
  <si>
    <t>TC TREINARE CURSOS PROFISSIONALIZANTES LTDA</t>
  </si>
  <si>
    <t>228.459.658-42</t>
  </si>
  <si>
    <t>RODOLPHO MARRARA GONCALVES</t>
  </si>
  <si>
    <t>300.303.528-27</t>
  </si>
  <si>
    <t>WELINGTON MARQUES PEREIRA DE CAMPOS</t>
  </si>
  <si>
    <t>119.746.287-28</t>
  </si>
  <si>
    <t>THAIS RODRIGUES DA COSTA</t>
  </si>
  <si>
    <t>108.277.807-96</t>
  </si>
  <si>
    <t>RODRIGO MIRANDA LAMBLET FAJARDO</t>
  </si>
  <si>
    <t>982.999.645-04</t>
  </si>
  <si>
    <t>29.447.313/0001-74</t>
  </si>
  <si>
    <t>03.893.671/0001-17</t>
  </si>
  <si>
    <t>TALUMA CURSOS LTDA</t>
  </si>
  <si>
    <t>AMG QUALIFICACAO PROFISSIONAL LTDA</t>
  </si>
  <si>
    <t>28.817.795/0001-44</t>
  </si>
  <si>
    <t>SILVA &amp; MARIA COMERCIO E EDUCACAO</t>
  </si>
  <si>
    <t>CENTRAL DE AULAS ULTRA CURSOS LTDA</t>
  </si>
  <si>
    <t>GRANDES DESCOBERTAS PROGRAMAS EDUCACIONAIS LTDA</t>
  </si>
  <si>
    <t>35.151.856/0001-42</t>
  </si>
  <si>
    <t>R2 TREINAMENTOS LTDA</t>
  </si>
  <si>
    <t>PREPARA CURSOS &amp; TREINAMENTOS PROFISSIONALIZANTES EIRELI</t>
  </si>
  <si>
    <t>BRENDA CRISTINE P SILVEIRA LIMITADA</t>
  </si>
  <si>
    <t>17.638.267/0001-01</t>
  </si>
  <si>
    <t>CCL-ENSINO DE IDIOMAS LTDA</t>
  </si>
  <si>
    <t>40.486.065/0001-03</t>
  </si>
  <si>
    <t>INGRID RC INFORMATICA LTDA</t>
  </si>
  <si>
    <t>EDUCA SZ LTDA</t>
  </si>
  <si>
    <t>TG PROGRAMAS EDUCACIONAIS E ESPORTIVAS LTDA</t>
  </si>
  <si>
    <t>BONALVES SERVICOS ADMINISTRATIVOS LTDA</t>
  </si>
  <si>
    <t>14.120.589/0001-76</t>
  </si>
  <si>
    <t>JAMEK CURSOS PROFISSIONALIZANTES LT DA M</t>
  </si>
  <si>
    <t>26.801.648/0001-50</t>
  </si>
  <si>
    <t>ABJ CURSOS PROFISSIONALIZANTES LTDA ME</t>
  </si>
  <si>
    <t>05.738.578/0002-44</t>
  </si>
  <si>
    <t>PEDROSA E CASTRO MANUTENCAO E QUALI FICACAO PROF LTDA ME</t>
  </si>
  <si>
    <t>24.448.654/0001-40</t>
  </si>
  <si>
    <t>DUAS ASAS CURSOS EIRELI ME</t>
  </si>
  <si>
    <t>17.027.496/0001-90</t>
  </si>
  <si>
    <t>EDUPRO GUADALUPE LTDA</t>
  </si>
  <si>
    <t>09.569.621/0001-65</t>
  </si>
  <si>
    <t>TRAINER CURSO DE INFORMATICA LTDA M E</t>
  </si>
  <si>
    <t>JOSIE AMORIM OLIVEIRA JOAQUIM</t>
  </si>
  <si>
    <t>34.798.077/0001-70</t>
  </si>
  <si>
    <t>POTENGE CURSOS PROFISSIONALIZANTES LTDA</t>
  </si>
  <si>
    <t>ARAXA EDUCACIONAL COMERCIO DE MATERIAL DIDATICO LTDA</t>
  </si>
  <si>
    <t>BW DESENVOLVIMENTO PROFISSIONAL LTDA</t>
  </si>
  <si>
    <t>11.362.578/0001-04</t>
  </si>
  <si>
    <t>PAZ E CHAVES LTDA</t>
  </si>
  <si>
    <t>E.T. DE CASTRO - ME</t>
  </si>
  <si>
    <t>19.469.872/0001-21</t>
  </si>
  <si>
    <t>WF INFORMATICA, ENSINO E CULTURA EIRELI</t>
  </si>
  <si>
    <t>30.110.532/0001-42</t>
  </si>
  <si>
    <t>A4B PARELHEIROS TECNOLOGIA E TREINAMENTOS LTDA</t>
  </si>
  <si>
    <t>25.403.631/0003-44</t>
  </si>
  <si>
    <t>ALENCAR INFORMATICA EIRELI</t>
  </si>
  <si>
    <t>MRF SEMEAR EDUCACAO LTDA</t>
  </si>
  <si>
    <t>K L DE CARVALHO INFORMATICA EIRELI</t>
  </si>
  <si>
    <t>14.777.649/0001-28</t>
  </si>
  <si>
    <t>KJ CONSULTORIA EM TI LTDA</t>
  </si>
  <si>
    <t>MS CENTRO DE ENSINO LTDA</t>
  </si>
  <si>
    <t>ERT- CENTRO PROFISSIONALIZANTE LTDA ME</t>
  </si>
  <si>
    <t>09.569.621/0003-27</t>
  </si>
  <si>
    <t>MOREIRA E SOUZA INFORMATICA LTDA</t>
  </si>
  <si>
    <t>39.991.722/0001-90</t>
  </si>
  <si>
    <t>CAPACITAR CURSOS E TREINAMENTOS LTDA</t>
  </si>
  <si>
    <t>CARAJAS CURSOS E TREINAMENTOS LTDA</t>
  </si>
  <si>
    <t>CENTRO DE FORMACAO PROFISSIONAL PARACAMBI LTDA</t>
  </si>
  <si>
    <t>MG DESENVOLVIMENTO PROFISSIONAL SS LTDA</t>
  </si>
  <si>
    <t>ASTE CURSO PREPARATORIO PARA CONCURSO LTDA</t>
  </si>
  <si>
    <t>M S DE ARRUDA JUNIOR</t>
  </si>
  <si>
    <t>MICROLINS - PROSPERITY CURSOS PROFISSIONALIZANTES LTDA</t>
  </si>
  <si>
    <t>PERSPECTIVA II CURSOS PROFISSIONALIZANTES LTDA</t>
  </si>
  <si>
    <t>CPA CENTRO DE FORMACAO PROFISSIONAL LTDA</t>
  </si>
  <si>
    <t>START EMPRESA DE CURSOS LIVRES LTDA</t>
  </si>
  <si>
    <t>SANTA LUZIA INFORMATICA LTDA - ME</t>
  </si>
  <si>
    <t>ST NORTE CURSOS PROFISSIONALIZANTES LTDA</t>
  </si>
  <si>
    <t>TALENTO RECURSOS HUMANOS LTDA - ME</t>
  </si>
  <si>
    <t>BP CUNHA BRANDAO ME</t>
  </si>
  <si>
    <t>A&amp;D EDUCACAO PROFISSIONAL E RECURSOS HUMANOS LTDA ME</t>
  </si>
  <si>
    <t>TALENTO RECURSOS HUMANOS S/S LTDA</t>
  </si>
  <si>
    <t>ANCHIETA TREINAMENTO PROFISSIONAL LTDA</t>
  </si>
  <si>
    <t>A &amp; D EDUCACAO PROFISSIONAL E RECURSOS HUMANOS LTDA</t>
  </si>
  <si>
    <t>RBEPS-REBELO BELLARD ESCOLA PROF DE SALINOPOLIS LTDA</t>
  </si>
  <si>
    <t>R M E CURSOS E PROFISSOES LTDA</t>
  </si>
  <si>
    <t>CENTRO DE CAPACITACAO PROFISSIONAL DE CMD LTDA</t>
  </si>
  <si>
    <t>MGS CENTRO DE ENSINO LTDA</t>
  </si>
  <si>
    <t>SANTOS &amp; SANTOS CURSOS TECNICOS LTDA</t>
  </si>
  <si>
    <t>JAQUELINE C PINTO TREINAMENTO</t>
  </si>
  <si>
    <t>EFETIVA CURSOS DE INFORM-TICA LTDA - ME</t>
  </si>
  <si>
    <t>08.604.147/0006-07</t>
  </si>
  <si>
    <t>FORMAR GESTAO EMPRESARIAL LTDA - ME</t>
  </si>
  <si>
    <t>07.891.231/0001-81</t>
  </si>
  <si>
    <t>MIRANDA SIQUEIRA MANUTENCAO INFORMATICA</t>
  </si>
  <si>
    <t>06.923.085/0001-66</t>
  </si>
  <si>
    <t>INTERFOCUS FRIBURGO CAP.PROF. E INF .LTD</t>
  </si>
  <si>
    <t>09.480.079/0001-70</t>
  </si>
  <si>
    <t>SJAB DESENVOLVIMENTO PROFISSIONAL LTDA M</t>
  </si>
  <si>
    <t>D.N.L. CURSOS PROFISSIONALIZANTES EIRELI</t>
  </si>
  <si>
    <t>PRO-FUTURO FORMACAO PROFISSIONAL LTDA</t>
  </si>
  <si>
    <t>LUMA CURSOS PROFISSIONALIZANTES LTD A -</t>
  </si>
  <si>
    <t>LUMA QUALIFICACAO PROFISSIONAL LTDA - ME</t>
  </si>
  <si>
    <t>23.798.981/0001-60</t>
  </si>
  <si>
    <t>ANA GABRIELLA GASPAR ROCHA RAMOS</t>
  </si>
  <si>
    <t>05.291.973/0001-40</t>
  </si>
  <si>
    <t>HMK CURSOS DE INFORMATICA PROFISSIONALIZANTES S/S LTDA</t>
  </si>
  <si>
    <t>INSTITUTO DE DESENVOLVIMENTO PROFISSIONAL E EMPRESARIAL</t>
  </si>
  <si>
    <t>DERCILIO SUCATI EIRELI</t>
  </si>
  <si>
    <t>20.140.534/0001-20</t>
  </si>
  <si>
    <t>J.C. FORMACAO PROFISSIONAL LTDA</t>
  </si>
  <si>
    <t>MASTER SOROCABA METODOS ENSINO LTDA ME</t>
  </si>
  <si>
    <t>CLEMENCIA MARIA ARAUJO BORGES ME</t>
  </si>
  <si>
    <t>D.L.S CENTO DE FORMACAO PROFISSIONAL LTDA</t>
  </si>
  <si>
    <t>DLSCAM CENTRO DE FORMACAO PROFISSIONAL LTDA</t>
  </si>
  <si>
    <t>03.346.371/0001-18</t>
  </si>
  <si>
    <t>CASE-CONSULT. ADM. SERVICOS E EVENTOS LTDA - ME</t>
  </si>
  <si>
    <t>05.380.319/0001-03</t>
  </si>
  <si>
    <t>H B CENTRO DE FORMACAO PROFISSIONAL LTDA</t>
  </si>
  <si>
    <t>FUTURO DIGITAL SERVICOS TECNOLOGICOS LTDA</t>
  </si>
  <si>
    <t>NUCLEO DE FORMACAO PROFISSIONAL JABAQUARA</t>
  </si>
  <si>
    <t>CEN POLVORA CURSOS PROFISSIONALIZANTES LTDA</t>
  </si>
  <si>
    <t>EMILEINE DUTRA DE CARVALHO - ME</t>
  </si>
  <si>
    <t>CEN-FOUR GOHS TREINAMENTOS PROF E COMERCIO DE LIVROS LTDA</t>
  </si>
  <si>
    <t>F1 RIO BRANCO LTDA</t>
  </si>
  <si>
    <t>CENFOUR HELIOPOLIS COMERCIO E SERVICO DE INFO. LTDA</t>
  </si>
  <si>
    <t>CENTRO DE CAPACITACAO PROFISSIONAL MODERNA LTDA</t>
  </si>
  <si>
    <t>JVL CURSOS PROFISSIONALIZANTES LTDA</t>
  </si>
  <si>
    <t>TORQUATO LLS CURSOS DE INFORMATICA LTDA</t>
  </si>
  <si>
    <t>36.959.053/0001-81</t>
  </si>
  <si>
    <t>NATASHA ALMEIDA DE PAULA TREINAMENTO</t>
  </si>
  <si>
    <t>N&amp;P ELITE TREINAMENTO EDUCACIONAL LTDA</t>
  </si>
  <si>
    <t>CONSULT CONSULTORIA E TREINAMENTO LTDA</t>
  </si>
  <si>
    <t>08.335.434/0001-54</t>
  </si>
  <si>
    <t>TAIS CRISTINA FRANCISCO ME</t>
  </si>
  <si>
    <t>MILTON ONO ME</t>
  </si>
  <si>
    <t>CONTATO RECURSOS HUMANOS LTDA</t>
  </si>
  <si>
    <t>14.671.711/0001-00</t>
  </si>
  <si>
    <t>REGIANE GERALDA DA SILVA MELOS MATIAS</t>
  </si>
  <si>
    <t>CENTRO CULTURAL E LINGUISTICO DE PORTO</t>
  </si>
  <si>
    <t>F M CURSOS PROFISSIONALIZANTES LTDA</t>
  </si>
  <si>
    <t>05.176.041/0001-57</t>
  </si>
  <si>
    <t>S.C. COMERCIO &amp; SERVICOS LTDA-ME</t>
  </si>
  <si>
    <t>JANNY KELLY DE LIMA DO NASCIMENTO SILVA</t>
  </si>
  <si>
    <t>07.142.217/0001-85</t>
  </si>
  <si>
    <t>L.C.C. CURSOS PROFISSIONALIZANTES L TDA</t>
  </si>
  <si>
    <t>08.893.793/0003-99</t>
  </si>
  <si>
    <t>JGM CENTRO DE IDIOMAS LTDA - ME</t>
  </si>
  <si>
    <t>EP PRUDENTE CAPACITACAO PROFISSIONAL LTDA</t>
  </si>
  <si>
    <t>09.164.112/0001-52</t>
  </si>
  <si>
    <t>ANTONIO ERIVAN GUEDES DE ALENCAR</t>
  </si>
  <si>
    <t>05.756.469/0001-79</t>
  </si>
  <si>
    <t>ARAXA TECNOLOGIA DE INFORMACAO LTDA  -ME</t>
  </si>
  <si>
    <t>NUCLEO GUARUJA- CENTRO FORM. PROFISSION</t>
  </si>
  <si>
    <t>DE STEFANO TREINAMENTOS - EIRELI</t>
  </si>
  <si>
    <t>06.193.383/0001-48</t>
  </si>
  <si>
    <t>TANNO EDUCACIONAL E INFORMATICA LTDA-ME</t>
  </si>
  <si>
    <t>11.788.446/0001-49</t>
  </si>
  <si>
    <t>LCO TECNOLOGIA LTDA  ME</t>
  </si>
  <si>
    <t>CTG -CENTRO DE TREINAMENTOS DE GUANAMBI EIRELLI-ME</t>
  </si>
  <si>
    <t>10.746.134/0001-00</t>
  </si>
  <si>
    <t>17.790.915/0001-40</t>
  </si>
  <si>
    <t>NORTE CURSOS PROFISSIONALIZANTES LT DA</t>
  </si>
  <si>
    <t>31.206.339/0001-72</t>
  </si>
  <si>
    <t>EDUCATION IN CENTER - CONSULTORIA LTDA</t>
  </si>
  <si>
    <t>EXPONENCIAL TREINAMENTOS E RECURSOS HUMANOS LTDA</t>
  </si>
  <si>
    <t>ESPECIALISTA RECURSOS HUMANOS LTDA</t>
  </si>
  <si>
    <t>CENFOUR CENTRO DE FORM PROF.E INF. LTDA</t>
  </si>
  <si>
    <t>ACP8 EDUCACIONAL LTDA</t>
  </si>
  <si>
    <t>F1 CURSOS LTDA</t>
  </si>
  <si>
    <t>RUBI COMERCIO DE INFORMATICA LTDA</t>
  </si>
  <si>
    <t>GHP ESCOLA DE INFORMATICA E IDIOMAS LTDA</t>
  </si>
  <si>
    <t>21.653.968/0001-97</t>
  </si>
  <si>
    <t>GABRIEL MACEDO DE PAULA FRINHANI 0394025</t>
  </si>
  <si>
    <t>07.511.987/0001-58</t>
  </si>
  <si>
    <t>WINNER EDUACADORA E COM.DE MAT.DID. LTDA</t>
  </si>
  <si>
    <t>AZEVEDO BARBOZA TREINAMENTOS E ENSINO DE IDIOMAS LTDA</t>
  </si>
  <si>
    <t>CNV CURSOS DE INFORMATICA LTDA</t>
  </si>
  <si>
    <t>DESENVOZ TREINAMENTOS E APRIMORAMENTOS LTDA</t>
  </si>
  <si>
    <t>MAKRO ASSESSORIA E CONSULTORIA LTDA</t>
  </si>
  <si>
    <t>H L ALVES &amp; CIA LTDA LTDA - ME</t>
  </si>
  <si>
    <t>INOVACAO CURSOS PROFISSIONALIZANTES LTDA</t>
  </si>
  <si>
    <t>L.V.S EMPREENDIMENTOS LTDA</t>
  </si>
  <si>
    <t>01.712.572/0001-66</t>
  </si>
  <si>
    <t>LUIS CARLOS DA SILVEIRA - ME</t>
  </si>
  <si>
    <t>CENCI INFORMATICA LTDA</t>
  </si>
  <si>
    <t>L C B MAYORAL CURSOS DE INFORMATICA</t>
  </si>
  <si>
    <t>09.621.797/0001-19</t>
  </si>
  <si>
    <t>DAIJO EDUCACIONAL COM MAT DID LTDA</t>
  </si>
  <si>
    <t>26.251.517/0001-47</t>
  </si>
  <si>
    <t>IN FORTE - CURSOS LIVRES LTDA ME NOVA AP</t>
  </si>
  <si>
    <t>RHEMA EDUCACIONAL COMERCIO DE MATERIAL DIDATICO LTDA</t>
  </si>
  <si>
    <t>C L TREINAMENTOS LTDA ME</t>
  </si>
  <si>
    <t>ASSOCIACAO METAL AR PARA FORMACAO D E NO</t>
  </si>
  <si>
    <t>71.741.136/0001-09</t>
  </si>
  <si>
    <t>SOLUTION CURSOS DE INFORM-TICA LTDA</t>
  </si>
  <si>
    <t>NUCLEO PROFISSIONAL DE APOIO ADMINISTRATIVO LTDA</t>
  </si>
  <si>
    <t>11.331.793/0001-48</t>
  </si>
  <si>
    <t>MASOFT EDUCACAO LTDA - ME</t>
  </si>
  <si>
    <t>ALCANCE EDUCACAO LTDA</t>
  </si>
  <si>
    <t>13.624.065/0001-50</t>
  </si>
  <si>
    <t>ALTA PERFORMANCE TREINAMENTOS LTDA</t>
  </si>
  <si>
    <t>COSMOS TREINAMENTO PROFISSIONAL LTDA</t>
  </si>
  <si>
    <t>SABRINA SILVEIRA SOUSA - ME</t>
  </si>
  <si>
    <t>25.129.307/0001-18</t>
  </si>
  <si>
    <t>E. S. E SILVA CORREIA - ME</t>
  </si>
  <si>
    <t>SADI INFORMATICA LTDA ME</t>
  </si>
  <si>
    <t>QUALIFICA SERVICOS DE RECURSOS HUMANOS LTDA</t>
  </si>
  <si>
    <t>TRAINER TECNOLOGIA LTDA</t>
  </si>
  <si>
    <t>JB&amp;E CURSOS LIVRES E DE CAPACITACAO PROFISSIONAL LTDA</t>
  </si>
  <si>
    <t>UNILUDAN CURSOS PROFISSIONALIZANTES LTDA</t>
  </si>
  <si>
    <t>PANCAS - CENTRO DE EDUCACAO &amp; PROFISSAO LTDA</t>
  </si>
  <si>
    <t>23.735.279/0001-57</t>
  </si>
  <si>
    <t>05.855.372/0001-13</t>
  </si>
  <si>
    <t>CENTRO DE FORMACAO PROFISSIONAL REC ANTO</t>
  </si>
  <si>
    <t>09.370.473/0001-55</t>
  </si>
  <si>
    <t>D.R.M SERVICOS DE INFORMATICA LTDA ME</t>
  </si>
  <si>
    <t>CFP COMERCIO SERVICOS INF. CAPAC. T REIN</t>
  </si>
  <si>
    <t>15.003.214/0001-99</t>
  </si>
  <si>
    <t>R S W ESCOLA DE PROFISSOES LDTDA-ME</t>
  </si>
  <si>
    <t>WWT CURSOS PROFISSIONALIZANTES LTDA</t>
  </si>
  <si>
    <t>UDINE CURSOS DE FORMACAO PROFISSIONAL LTDA</t>
  </si>
  <si>
    <t>GP CURSOS LIVRES LTDA</t>
  </si>
  <si>
    <t>PLURAL DE ALCANTARA - COMERCIO E SERVICO DE BELEZA LTDA</t>
  </si>
  <si>
    <t>UNIKEN ENSINO E COMERCIO DE MATERIAL DIDATICO LTDA</t>
  </si>
  <si>
    <t>LOTUS EDUCACIONAL COMERCIO DE MATERIAL DIDATICO LTDA</t>
  </si>
  <si>
    <t>JTRM ENSINO E PROFISSAO LTDA</t>
  </si>
  <si>
    <t>GAHS - CEN FOUR PROFISSOES, IDIOMAS E COMERCIO DE LIVROS LTD</t>
  </si>
  <si>
    <t>ERM CURSOS E PROFISSOES LTDA</t>
  </si>
  <si>
    <t>GIACOMASSI TREINAMENTOS LTDA</t>
  </si>
  <si>
    <t>T FERNANDES TREINAMENTO LTDA</t>
  </si>
  <si>
    <t>EWRG COMERCIO DE LIVROS E MANUT DE COMP.</t>
  </si>
  <si>
    <t>MR BONSUCESSO EDICOES CULTURAIS LTDA</t>
  </si>
  <si>
    <t>08.053.203/0001-58</t>
  </si>
  <si>
    <t>RIBEIRO FERNANDES E SANTOS LTDA</t>
  </si>
  <si>
    <t>MICROBARIRI CENTRO DE FORMACAO PROFISSIONAL LTDA</t>
  </si>
  <si>
    <t>23.082.742/0001-09</t>
  </si>
  <si>
    <t>EDUCATIVE CENTRO DE ENSINO EIRELI - ME</t>
  </si>
  <si>
    <t>06.888.362/0001-47</t>
  </si>
  <si>
    <t>J. RODRIGUES CONSULTORIA E ASS EMP E REC</t>
  </si>
  <si>
    <t>32.951.906/0001-88</t>
  </si>
  <si>
    <t>S&amp;D ENSINO PROFISSIONALIZANTE LTDA</t>
  </si>
  <si>
    <t>RONI GIL FERREIRA</t>
  </si>
  <si>
    <t>010.164.752-25</t>
  </si>
  <si>
    <t>EDUARDO ALVES DOS SANTOS</t>
  </si>
  <si>
    <t>26.667.838/0001-27</t>
  </si>
  <si>
    <t>CENTRO EDUCACIONAL ALTAPERFORMANCE LTDA</t>
  </si>
  <si>
    <t>PAULO HENRIQUE DA SILVA - LIVROS</t>
  </si>
  <si>
    <t>DAIANE CESARIO</t>
  </si>
  <si>
    <t>AMPLIAR COMERCIO DE MATERIAL DIDATICO LTDA</t>
  </si>
  <si>
    <t>UNIVERSAL INFORMATICA LTDA - ME</t>
  </si>
  <si>
    <t>FERNANDES COSTA DINIZ INFORMATICA LTDA</t>
  </si>
  <si>
    <t>ESPACO INFORMATICA S/S LTDA</t>
  </si>
  <si>
    <t>ATREVIDA INFORMATICA S/S LTDA</t>
  </si>
  <si>
    <t>RENASCER DESEMPENHO CURSOS PROFISSIONALIZANTES EIRELI</t>
  </si>
  <si>
    <t>MICRO ERMELINO EIRELI</t>
  </si>
  <si>
    <t>07.071.783/0002-24</t>
  </si>
  <si>
    <t>NAC INFORMATICA LTDA</t>
  </si>
  <si>
    <t>EDUCAZIONE INFORMATICA LTDA</t>
  </si>
  <si>
    <t>GOMES INFORMATICA LTDA</t>
  </si>
  <si>
    <t>MFRF SEMEAR FV EDUCACAO LTDA</t>
  </si>
  <si>
    <t>37.233.099/0001-81</t>
  </si>
  <si>
    <t>N&amp;P ELITE DESENVOLVIMENTO EDUCACIONAL LTDA</t>
  </si>
  <si>
    <t>08.604.147/0004-45</t>
  </si>
  <si>
    <t>FORMAR GESTAO EMPRESARIAL LTDA</t>
  </si>
  <si>
    <t>R. L. DOS SANTOS CURSOS</t>
  </si>
  <si>
    <t>05.229.602/0001-39</t>
  </si>
  <si>
    <t>C &amp; C TREINAMENTOS LTDA</t>
  </si>
  <si>
    <t>LUMEN CONS.EDUC.TREINAMENTO E DESENVOLV. DE PESSOAS LTDA</t>
  </si>
  <si>
    <t>CCFP CENTRO CARIOCA DE FORM. PROF. LTDA</t>
  </si>
  <si>
    <t>07.307.795/0001-24</t>
  </si>
  <si>
    <t>CAT-CENTRO AVANCADO TECNOLOGICO LTDA-ME</t>
  </si>
  <si>
    <t>FEMAR CURSOS DE INFORMATICA E IDIOM AS L</t>
  </si>
  <si>
    <t>DEGRAU EDUCACAO PROFISSIONAL LTDA</t>
  </si>
  <si>
    <t>ITYS EDUCACAO PROFISSIONALIZANTE LTDA ME</t>
  </si>
  <si>
    <t>R.P. MACEDO INFORMATICA 2002 LTDA</t>
  </si>
  <si>
    <t>OPEN DV CURSOS DE INFORMATICA LTDA.</t>
  </si>
  <si>
    <t>05.614.519/0001-83</t>
  </si>
  <si>
    <t>MICRO RETIRO TREINAMENTO E INF DE V OLTA REDONDA</t>
  </si>
  <si>
    <t>ROBSON DIEGO DA SILVA OLIVEIRA</t>
  </si>
  <si>
    <t>DIAS D AVILA CURSOS PROFISSIONALI ZANTES</t>
  </si>
  <si>
    <t>PERFORMAR SANTO AMARO ESCOLA PROFISSIONALIZANTE LTDA</t>
  </si>
  <si>
    <t>MCF - CURSOS E TECNOLOGIA EIRELI</t>
  </si>
  <si>
    <t>L M CURSOS DE INFORMATICA, IDIOMAS E TREINAMENTOS LTDA</t>
  </si>
  <si>
    <t>HAROLD D ALMEIDA EIRELI</t>
  </si>
  <si>
    <t>R. E. MEMBER CURSOS EIRELI</t>
  </si>
  <si>
    <t>043.674.066-44</t>
  </si>
  <si>
    <t>EDNA SIQUEIRA TAVARES DE MIRANDA</t>
  </si>
  <si>
    <t>EDUCATION FOR LIFE LTDA ME</t>
  </si>
  <si>
    <t>VS CENTRO DE FORMACAO PROFISSIONAL LTDA</t>
  </si>
  <si>
    <t>PERSPECTIVA CUR.PROFISSIONALIZANTES LTDA</t>
  </si>
  <si>
    <t>LIVE LEARGING LTDA</t>
  </si>
  <si>
    <t>MD ENSINO PROFISSIONALIZANTE LTDA</t>
  </si>
  <si>
    <t>MANHUACU CURSOS E TREINAMENTOS LTDA</t>
  </si>
  <si>
    <t>ANTHAY CURSOS PROFISSIONAIS LTDA</t>
  </si>
  <si>
    <t>IUNA CURSOS &amp; TREINAMENTOS LTDA</t>
  </si>
  <si>
    <t>MM EDUCACAO E PROFISSAO LTDA</t>
  </si>
  <si>
    <t>MULTI INFORMATICA COMERCIAL LTDA</t>
  </si>
  <si>
    <t>IDEA COMERCIO DE MATERIAIS DIDATICOS LTDA</t>
  </si>
  <si>
    <t>31.082.260/0001-87</t>
  </si>
  <si>
    <t>WFO CURSOS PROFISSIONALIZANTES LTDA</t>
  </si>
  <si>
    <t>03.870.023/0001-45</t>
  </si>
  <si>
    <t>MAKEMAIS TECNOLOGIA LTDA ME</t>
  </si>
  <si>
    <t>NEUSA MENEGHINI</t>
  </si>
  <si>
    <t>15.110.636/0001-63</t>
  </si>
  <si>
    <t>UNIAO CURSOS PROFISSIONALIZANTES PS V LT</t>
  </si>
  <si>
    <t>10.370.132/0001-69</t>
  </si>
  <si>
    <t>MAZIERO &amp;  BELLENTANI LTDA   EPP</t>
  </si>
  <si>
    <t>FARIAS &amp; RIBEIRO CURSOS LTDA</t>
  </si>
  <si>
    <t>12.213.218/0001-03</t>
  </si>
  <si>
    <t>JF CURSOS E INFORMATICA LTDA ME</t>
  </si>
  <si>
    <t>24.224.173/0001-51</t>
  </si>
  <si>
    <t>RICARDO CIAPPINA EIRELI</t>
  </si>
  <si>
    <t>24.067.623/0001-40</t>
  </si>
  <si>
    <t>BIGU TREINAMENTO EM INFORMATICA E IDIOMA</t>
  </si>
  <si>
    <t>26.387.167/0001-40</t>
  </si>
  <si>
    <t>INSTITUTO BRASILEIRO PARA O DESENVOLVIMENTO SUSTENTAVEL LTDA</t>
  </si>
  <si>
    <t>03.809.446/0001-50</t>
  </si>
  <si>
    <t>INTEC TREINAMENTOS LTDA - EPP</t>
  </si>
  <si>
    <t>11.264.139/0001-69</t>
  </si>
  <si>
    <t>EMPX EDUCACAO E DESENVOLVIMENTO PRO F LTD</t>
  </si>
  <si>
    <t>24.768.529/0001-18</t>
  </si>
  <si>
    <t>SIMEAO CURSOS E TREINAMENTOS EIRELI ME</t>
  </si>
  <si>
    <t>40.571.598/0001-93</t>
  </si>
  <si>
    <t>21.037.195/0001-14</t>
  </si>
  <si>
    <t>R KONAGESKI DOS SANTOS ME</t>
  </si>
  <si>
    <t>65.929.226/0001-17</t>
  </si>
  <si>
    <t>SANTOS INFORMATICA LTDA.</t>
  </si>
  <si>
    <t>01.214.056/0001-01</t>
  </si>
  <si>
    <t>DIRECIONAL CURSOS E SISTEMAS LTDA -  ME</t>
  </si>
  <si>
    <t>04.697.514/0001-07</t>
  </si>
  <si>
    <t>CUESTA DESENVOLVIMENTO PESSOAL E PR OFIS</t>
  </si>
  <si>
    <t>08.604.147/0003-64</t>
  </si>
  <si>
    <t>FORMAR GESTAO EMPRESARIAL LTDA ME</t>
  </si>
  <si>
    <t>A B W ENSINO PROFISSIONALIZANTE LTDA</t>
  </si>
  <si>
    <t>05.904.590/0001-09</t>
  </si>
  <si>
    <t>ITIBAN CENTRO DE INFORMATICA LTDA M E</t>
  </si>
  <si>
    <t>37.683.797/0001-89</t>
  </si>
  <si>
    <t>ESCOLA PROFISSIONALIZANTE E RECURSOS HUMANOS EIRELI</t>
  </si>
  <si>
    <t>FABIANO ALVES DE SOUZA - ME</t>
  </si>
  <si>
    <t>CENFOUR ARARIBA COMERCIO E SERVICO DE INFORMATICA LTDA</t>
  </si>
  <si>
    <t>03.486.855/0001-62</t>
  </si>
  <si>
    <t>PEOPLEMURIAE PROCESSAMENTO DE DADOS LTDA</t>
  </si>
  <si>
    <t>W.L.S. PAULINIA INFORMATICA LTDA</t>
  </si>
  <si>
    <t>19.241.768/0001-85</t>
  </si>
  <si>
    <t>MR ABOLICAO CURSOS LIVRES LTDA ME</t>
  </si>
  <si>
    <t>05.622.647/0001-79</t>
  </si>
  <si>
    <t>CLICK INFORMATICA E NEGOCIOS LTDA - ME</t>
  </si>
  <si>
    <t>12.979.205/0001-40</t>
  </si>
  <si>
    <t>RAC SIMAS COMERCIO E SERVIAOS DE IN FORM</t>
  </si>
  <si>
    <t>35.027.881/0001-19</t>
  </si>
  <si>
    <t>UCHOA E CARDOSO TREINAMENTO EM INF. E ENSINO DE IDIOMAS LTDA</t>
  </si>
  <si>
    <t>A STEIN EDUCACAO PROFISSIONAL ME</t>
  </si>
  <si>
    <t>07.567.086/0001-88</t>
  </si>
  <si>
    <t>GP TREINAMENTOS LTDA - ME</t>
  </si>
  <si>
    <t>07.582.328/0001-02</t>
  </si>
  <si>
    <t>SALAO DE BELEZA SINGULAR LTDA</t>
  </si>
  <si>
    <t>13.743.501/0001-00</t>
  </si>
  <si>
    <t>LONDRITECH CURSOS DE INFORMATICA E IDIOM</t>
  </si>
  <si>
    <t>MELO E RODRIGUES TREINAMENTOS LTDA - ME</t>
  </si>
  <si>
    <t>SAMAVI ENSINO PROFISSIONAL LTDA</t>
  </si>
  <si>
    <t>17.189.047/0001-48</t>
  </si>
  <si>
    <t>CENTRO DE TREINAMENTO E COMERCIO VI LA DA PENHA LTDA - ME</t>
  </si>
  <si>
    <t>08.776.022/0001-50</t>
  </si>
  <si>
    <t>CENTRO EDUC.DE INF.PROF.TOCANTINS L TDA</t>
  </si>
  <si>
    <t>590.168.682-91</t>
  </si>
  <si>
    <t>LUCIANO SEIXAS NUNES</t>
  </si>
  <si>
    <t>23.318.220/0001-63</t>
  </si>
  <si>
    <t>WGD EDUCACAO LTDA - ME</t>
  </si>
  <si>
    <t>24.604.424/0001-23</t>
  </si>
  <si>
    <t>SAMPAIO PROJETOS  E CONSULTORIA</t>
  </si>
  <si>
    <t>04.950.224/0001-15</t>
  </si>
  <si>
    <t>EDILSON FERNANDO DA SILVA JUNIOR ME</t>
  </si>
  <si>
    <t>14.495.682/0001-65</t>
  </si>
  <si>
    <t>ANA MARIA NUNES PEIXOTO ME</t>
  </si>
  <si>
    <t>PEDROSA CARMO MANUTENCAO E QUALIFICACAO PROFISSIONAL LTDA</t>
  </si>
  <si>
    <t>06.956.521/0001-01</t>
  </si>
  <si>
    <t>BOM FUTURO TREINAMENTOS LTDA - ME</t>
  </si>
  <si>
    <t>04.386.625/0001-94</t>
  </si>
  <si>
    <t>BRUMIM COMERCIO E SERVICOS LTDA</t>
  </si>
  <si>
    <t>ESCOLA DE ENSINO FUNDAMENTAL SANTANA LIMA EIRELI</t>
  </si>
  <si>
    <t>L SOUSA SANTOS EIRELI</t>
  </si>
  <si>
    <t>18.226.478/0001-08</t>
  </si>
  <si>
    <t>ECGG CURSOS LTDA - ME</t>
  </si>
  <si>
    <t>WILIAN K. STORCH EIRELI</t>
  </si>
  <si>
    <t>SEMEAR EDUCACAO BERTIOGA LTDA</t>
  </si>
  <si>
    <t>10.857.824/0001-36</t>
  </si>
  <si>
    <t>RARO - TREINAMENTOS E MANUTENCAO DE EQUI</t>
  </si>
  <si>
    <t>07.821.025/0001-03</t>
  </si>
  <si>
    <t>CENTRO DE INFORMACOES TUDO LEGAL LT DA</t>
  </si>
  <si>
    <t>CEN CAJAZEIRAS CURSOS PROFISSIONALIZANTES LTDA</t>
  </si>
  <si>
    <t>NILOPOLIS SERVICOS E COMERCIO DE INFORMATICA LTDA</t>
  </si>
  <si>
    <t>CENTRO DE CULTURA SUPREMO LTDA</t>
  </si>
  <si>
    <t>REALENGO CURSOS PROFISSIONALIZANTES DE INFORMATICA LTDA</t>
  </si>
  <si>
    <t>J.M. PENHA SERVICOS E COMERCIO LTDA</t>
  </si>
  <si>
    <t>CURSOS HTML LTDA</t>
  </si>
  <si>
    <t>MRC PIABETA INFORMATICA LTDA</t>
  </si>
  <si>
    <t>MRC MADUREIRA INFORMATICA LTDA</t>
  </si>
  <si>
    <t>INFO IN SIGHT LTDA</t>
  </si>
  <si>
    <t>VAGNER DA COSTA FERREIRA-ME</t>
  </si>
  <si>
    <t>S.O.S. INFORMATICA LTDA</t>
  </si>
  <si>
    <t>11.435.191/0001-30</t>
  </si>
  <si>
    <t>PR3 CURSOS PROFISSIONALIZANTES LTDA</t>
  </si>
  <si>
    <t>COLATINA CENTRO DE EDUCACAO E PROFISSAO LTDA</t>
  </si>
  <si>
    <t>RODRIGUEZ &amp; VIEIRA INFORMATICA LTDA</t>
  </si>
  <si>
    <t>INSIGHT CAPACITACAO PROFISISIONAL L TDA</t>
  </si>
  <si>
    <t>C A MESQUITA CENTRO DE FORMAO PROFI SSIO</t>
  </si>
  <si>
    <t>RZ INFORMATICA LTDA</t>
  </si>
  <si>
    <t>ELIANE NUNES DE SOUZA - ME</t>
  </si>
  <si>
    <t>AF ENSINO PROFISSIONAL LTDA ME</t>
  </si>
  <si>
    <t>LER EDUCACAO E PROFISSAO LTDA - ME</t>
  </si>
  <si>
    <t>MILANEZI E PAZ TREINAMENTOS LTDA</t>
  </si>
  <si>
    <t>REALIZA TREINAMENTOS E RECURSOS HUMANOS LTDA</t>
  </si>
  <si>
    <t>BIT BUL SERVICOS EDUCACIONAIS EPP</t>
  </si>
  <si>
    <t>02.947.886/0001-00</t>
  </si>
  <si>
    <t>S.R.D.R. INFORMATICA LTDA</t>
  </si>
  <si>
    <t>CEN-FOR COMERCIO E SERVICO DE INFORMATICA LTDA</t>
  </si>
  <si>
    <t>05.574.029/0001-09</t>
  </si>
  <si>
    <t>JMJ CURSOS DE INFORMATICA E PROFISSIONAL</t>
  </si>
  <si>
    <t>IMPAC DESENVOLVIMENTO GERENCIAL LTDA</t>
  </si>
  <si>
    <t>M L COMERCIO DE MATERIAIS DIDATICOS LTDA</t>
  </si>
  <si>
    <t>NUCLEO EDUCACIONAL MSC LTDA</t>
  </si>
  <si>
    <t>PAZ E MELO TREINAMENTOS LTDA</t>
  </si>
  <si>
    <t>INOVA CURSOS PROFISSIONALIZANTES LTDA</t>
  </si>
  <si>
    <t>J A ALVARENGA EDICOES CULTURAIS LTDA</t>
  </si>
  <si>
    <t>MUCURI TREINAMENTOS LTDA</t>
  </si>
  <si>
    <t>BRUNO JOSE DE PETTA</t>
  </si>
  <si>
    <t>IMPROVE EDUCATION TREINAMENTOS LTDA</t>
  </si>
  <si>
    <t>BYA - CENTRO DE FORMACAO PROFISSIONAL E INFORMATICA LTDA</t>
  </si>
  <si>
    <t>AZEVEDO &amp; DALAVA LTDA</t>
  </si>
  <si>
    <t>AGP&amp;8 TREINAMENTOS EIRELI</t>
  </si>
  <si>
    <t>MR SANTA CRUZ TECNOLOGIA LTDA</t>
  </si>
  <si>
    <t>MR VILAR DOS TELES TECNOLOGIA LTDA</t>
  </si>
  <si>
    <t>MR SAO JOAO DO MERITI CURSOS DE TECNOLOGIA LTDA</t>
  </si>
  <si>
    <t>VN CENTRO DE TREINAMENTO LTDA</t>
  </si>
  <si>
    <t>NUCLEO DE CONSULTORIA EMPRESARIAL E EDUCACIONAL LTDA</t>
  </si>
  <si>
    <t>LEVANN CURSOS PROFISSIONALIZANTES LTDA</t>
  </si>
  <si>
    <t>CB TREINAMEBNTOS E CURSOS LTDA</t>
  </si>
  <si>
    <t>ITAPERUNA CENTRO DE ENSINO LTDA</t>
  </si>
  <si>
    <t>MT CENTRO DE FORMACAO PROFISSIONAL LTDA</t>
  </si>
  <si>
    <t>CEN-FOUR HS4 PROFISSOES, IDIOMAS E COMERCIO DE LIVROS LTDA</t>
  </si>
  <si>
    <t>CENTRO EDUCACIONAL EDUARDO FRAGA EIRELI</t>
  </si>
  <si>
    <t>IBATIBA CURSOS E TREINAMENTOS LTDA</t>
  </si>
  <si>
    <t>GVL CURSOS E TREINAMENTOS LTDA</t>
  </si>
  <si>
    <t>GLEISON VIAPIANA - ME</t>
  </si>
  <si>
    <t>40.282.350/0001-02</t>
  </si>
  <si>
    <t>P &amp; P REALIZAR EVOLUCAO PROFISSIONAL LTDA</t>
  </si>
  <si>
    <t>NOVO CONCEITO LTDA</t>
  </si>
  <si>
    <t>C.A. CURSOS LTDA</t>
  </si>
  <si>
    <t>JEVINIK - CONSULTORIA E ASSESSORIA EM GESTAO LTDA</t>
  </si>
  <si>
    <t>BFC PROGRAMAS EDUCACIONAIS LTDA</t>
  </si>
  <si>
    <t>BIANCA MARTINS DOS ANJOS BREDA 09243346652</t>
  </si>
  <si>
    <t>08.563.243/0001-40</t>
  </si>
  <si>
    <t>M CONQUISTA CURSOS DE APRENDIZAGEM LTDA</t>
  </si>
  <si>
    <t>10.743.665/0001-49</t>
  </si>
  <si>
    <t>INSTITUTO DE FORM.PROF.ANDRE REBOUC AS 2</t>
  </si>
  <si>
    <t>08.677.962/0001-91</t>
  </si>
  <si>
    <t>VACELLA &amp; CIA  LTDA</t>
  </si>
  <si>
    <t>JOSEMARA PERPETUA DA SILVA ME</t>
  </si>
  <si>
    <t>JP TREINAMENTOS POTIRENDABA LTDA</t>
  </si>
  <si>
    <t>18.997.534/0001-08</t>
  </si>
  <si>
    <t>CTCC - COM.DE LIVROS CURSOS DE IDIO MAS</t>
  </si>
  <si>
    <t>39.309.152/0001-06</t>
  </si>
  <si>
    <t>MARIA BETANIA DA SILVA CURSOS</t>
  </si>
  <si>
    <t>THIAGO LUIZ SOUTO MAIOR DA SILVA</t>
  </si>
  <si>
    <t>PIRES &amp; DANI LTDA</t>
  </si>
  <si>
    <t>11.490.350/0001-08</t>
  </si>
  <si>
    <t>VATRA FORMACAO PROFISSIONAL LTDA</t>
  </si>
  <si>
    <t>MG PRESTACAO DE SERVICOS LTDA</t>
  </si>
  <si>
    <t>08.759.735/0001-05</t>
  </si>
  <si>
    <t>CURSOS PROFISSIONALIZANTES NORONHA LTDA</t>
  </si>
  <si>
    <t>ELAINE CRISTINA RODRIGUES PAZ - ME</t>
  </si>
  <si>
    <t>LILI PRADO CENTRO DE FORMACAO PROFI SSIO</t>
  </si>
  <si>
    <t>BRANDAO E BRANDAO ENSINOS LTDA</t>
  </si>
  <si>
    <t>J A DA SILVA KUBASKI LTDA</t>
  </si>
  <si>
    <t>FIRSTSTEP EDU LTDA</t>
  </si>
  <si>
    <t>C &amp; S QUALIFICACAO PROFISSIONAL LTDA</t>
  </si>
  <si>
    <t>FLORIPA CENTRO DE ENSINO LTDA</t>
  </si>
  <si>
    <t>CASTELUBER FERNANDES TREINAMENTOS LTDA</t>
  </si>
  <si>
    <t>10.246.871/0001-43</t>
  </si>
  <si>
    <t>ALEM PARAIBA FORMACAO PROFISSIONAL LTDA-</t>
  </si>
  <si>
    <t>FERNANDES PAZ TREINAMENTOS LTDA</t>
  </si>
  <si>
    <t>ANDREA BATISTELA CESQUIN ME</t>
  </si>
  <si>
    <t>14.700.347/0001-51</t>
  </si>
  <si>
    <t>H S REIS CENTRO DE FORMACAO PROFISSIONAL</t>
  </si>
  <si>
    <t>05.473.722/0001-87</t>
  </si>
  <si>
    <t>NAVARRO E BARROSO INFORM-TICA LTDA</t>
  </si>
  <si>
    <t>WRD CURSOS DE INFORMATICA LTDA ME</t>
  </si>
  <si>
    <t>MARINA FRAZÃO FERNANDES</t>
  </si>
  <si>
    <t>10.820.247/0001-08</t>
  </si>
  <si>
    <t>EQUIPE INFORMATICA E TREINAMENTOS L TDA</t>
  </si>
  <si>
    <t>GSX REALIZE FORMACAO PROFISSIONAL LTDA</t>
  </si>
  <si>
    <t>J E SEGURA TREINAMENTO PROFISSIONAL LTDA</t>
  </si>
  <si>
    <t>CENTRO DE FORMACAO PROFISSIONAL MAIRIPORA LTDA</t>
  </si>
  <si>
    <t>ERICSSON FELIPE BARROS DA SILVA</t>
  </si>
  <si>
    <t>ZR TREINAMENTOS LTDA</t>
  </si>
  <si>
    <t>066.173.586-94</t>
  </si>
  <si>
    <t>REGINALDO MARCELINO DE OLIVEIRA</t>
  </si>
  <si>
    <t>13.611.490/0001-04</t>
  </si>
  <si>
    <t>JBS SERVICOS EDUCACIONAL LTDA - EPP</t>
  </si>
  <si>
    <t>PJP ENSINO DE IDIOMAS E DESENVOLVIMENTO PROFISSIONAL LTDA</t>
  </si>
  <si>
    <t>LOTUS EM EDUCACAO E TECNOLOGIA COMERCIO DE MATERIAL DIDATICO</t>
  </si>
  <si>
    <t>FAMA UNIAO EDUCACIONAL DE GOIANA LTDA</t>
  </si>
  <si>
    <t>RIVALDO GUEDES DA SILVA</t>
  </si>
  <si>
    <t>21.556.648/0001-19</t>
  </si>
  <si>
    <t>TEMPO SOLUCOES EM EDUCACAO LTDA ME</t>
  </si>
  <si>
    <t>LAERTI BONATTI</t>
  </si>
  <si>
    <t>11.028.668/0001-63</t>
  </si>
  <si>
    <t>W A MARINHO</t>
  </si>
  <si>
    <t>AR FORMACAO E QUALIFICACAO PROFISSIONAL LTDA - ME</t>
  </si>
  <si>
    <t>SC CURSOS DE INFORMTAICA, IDIOMAS E TREI</t>
  </si>
  <si>
    <t>06.217.444/0002-40</t>
  </si>
  <si>
    <t>CENTRO DE DESENV PROFISSIONAL LTDA ME</t>
  </si>
  <si>
    <t>088.163.614-25</t>
  </si>
  <si>
    <t>KASSIA TASSYANA DOS SANTOS VASCONCELOS MAGALHAES</t>
  </si>
  <si>
    <t>MBM INFORMATICA E SERVICOS EMPRESARIAIS</t>
  </si>
  <si>
    <t>M. DALVA BARROS DE LIMA</t>
  </si>
  <si>
    <t>FAB CURSOS PROFISSIONALIZANTES LTDA ME</t>
  </si>
  <si>
    <t>ESCOLA DE INGLES TINDOLELE LTDA</t>
  </si>
  <si>
    <t>08.529.944/0001-62</t>
  </si>
  <si>
    <t>G P INFO SERVICE LTDA - ME</t>
  </si>
  <si>
    <t>20.280.371/0001-81</t>
  </si>
  <si>
    <t>GP CURSOS PROFISSIONALIZANTES LTDA ME</t>
  </si>
  <si>
    <t>16.746.102/0001-90</t>
  </si>
  <si>
    <t>ZESC ZL FORMACAO COMPLETA LTDA</t>
  </si>
  <si>
    <t>PAULO ANDRE DE MELO</t>
  </si>
  <si>
    <t>07.646.643/0001-56</t>
  </si>
  <si>
    <t>RJO CURSOS E TREINAMENTOS LTDA - ME</t>
  </si>
  <si>
    <t>RIBEIRO, FARIAS, LACERDA CURSOS PROFISSIONALIZANTES LTDA</t>
  </si>
  <si>
    <t>IMPACTO CENTRO DE EDUCACAO E FORMACAO LTDA</t>
  </si>
  <si>
    <t>SOCIEDADE EDUCACIONAL LEONARDO DA VINCI SS LTDA</t>
  </si>
  <si>
    <t>CNPJ/CPF</t>
  </si>
  <si>
    <t>Nome</t>
  </si>
  <si>
    <t>CENTRO DE FORMACAO PROFISSIONAL ESPOSITO LTDA</t>
  </si>
  <si>
    <t>447.153.821-72</t>
  </si>
  <si>
    <t>FRANCISCA DE SOUZA BRITO SILVA</t>
  </si>
  <si>
    <t>GISELE MARIA SCHMITK</t>
  </si>
  <si>
    <t>060.929.485-75</t>
  </si>
  <si>
    <t>IVANA PIEDADE DE SANTANA</t>
  </si>
  <si>
    <t>172.775.418-20</t>
  </si>
  <si>
    <t>LEANDRO HASEGAWA</t>
  </si>
  <si>
    <t>000.329.113-86</t>
  </si>
  <si>
    <t>LUIZ FLAVIO SOARES PINHEIRO</t>
  </si>
  <si>
    <t>301.727.647-34</t>
  </si>
  <si>
    <t>VIANOR DE CARVALHO JUNIOR</t>
  </si>
  <si>
    <t>OBSERVAÇÕES</t>
  </si>
  <si>
    <t>SIM</t>
  </si>
  <si>
    <t>10.745.836/0001-79</t>
  </si>
  <si>
    <t>TOTH CURSOS DE INFORMATICA E IDIOMA S LT</t>
  </si>
  <si>
    <t>ECLIP - ESCOLA DE CURSOS LIVRES, IDIOMAS E PROFISSIONALIZANT</t>
  </si>
  <si>
    <t>07.299.954/0005-10</t>
  </si>
  <si>
    <t>INCENTIVA RH CENTRO DE DESENVOLVIME NTO</t>
  </si>
  <si>
    <t>07.299.954/0003-58</t>
  </si>
  <si>
    <t>20.116.895/0001-31</t>
  </si>
  <si>
    <t>NUCLEO VC FORM. PROF. LTDA</t>
  </si>
  <si>
    <t>18.410.185/0001-78</t>
  </si>
  <si>
    <t>R R E SILVA COMERCIO E SERVICOS - M E</t>
  </si>
  <si>
    <t>08.604.147/0005-26</t>
  </si>
  <si>
    <t>08.604.147/0001-00</t>
  </si>
  <si>
    <t>26.299.255/0001-90</t>
  </si>
  <si>
    <t>SM2 TREINAMENTO E CONSULTORIA LTDA.</t>
  </si>
  <si>
    <t>27.373.964/0001-31</t>
  </si>
  <si>
    <t>MRF NOVAIS PROFISSIONALIZANTES LTDA</t>
  </si>
  <si>
    <t>EVOLUCAO INFORMATICA LTDA</t>
  </si>
  <si>
    <t>SOLANGE APARECIDA ZANETTIN</t>
  </si>
  <si>
    <t>RGR INFORMATICA E SUPRIMENTOS LTDA</t>
  </si>
  <si>
    <t>06.217.444/0001-60</t>
  </si>
  <si>
    <t>04.432.609/0001-90</t>
  </si>
  <si>
    <t>BR TREINAMENTO EM INFORMATICA LTDA</t>
  </si>
  <si>
    <t>11.770.909/0001-45</t>
  </si>
  <si>
    <t>J3D FORMACAO PROFISSIONAL LTDA ME</t>
  </si>
  <si>
    <t>21.801.981/0001-46</t>
  </si>
  <si>
    <t>FR COMERCIO E SERVICOS LTDA - ME</t>
  </si>
  <si>
    <t>17.974.263/0001-02</t>
  </si>
  <si>
    <t>LUIZ FELIPE FERREIRA - ME</t>
  </si>
  <si>
    <t>05.600.773/0001-22</t>
  </si>
  <si>
    <t>WELBER AFONSO BULLARA ME</t>
  </si>
  <si>
    <t>27.637.227/0001-07</t>
  </si>
  <si>
    <t>ACJB INFORMAT E IDIOMAS EIRELI ME</t>
  </si>
  <si>
    <t>ELISANGELA GONCALVES MACEDO</t>
  </si>
  <si>
    <t>AKI CURSOS PROFISSIONALIZANTES LTDA</t>
  </si>
  <si>
    <t>013.266.582-47</t>
  </si>
  <si>
    <t>CAROLINA CEREJA DA SILVA NEVES</t>
  </si>
  <si>
    <t>697.775.432-04</t>
  </si>
  <si>
    <t>TECVAL INFORMATICA LTDA - EPP</t>
  </si>
  <si>
    <t>JEFERSON PEREIRA GOMES CURSOS PROFISSIONALIZANTES</t>
  </si>
  <si>
    <t>J E DOS SANTOS LTDA</t>
  </si>
  <si>
    <t>JR DIAS CHAGAS &amp; CIA LTDA</t>
  </si>
  <si>
    <t>12.920.704/0001-61</t>
  </si>
  <si>
    <t>L3 EDUCACAO PROFISSIONAL LTDA - ME</t>
  </si>
  <si>
    <t>09.584.729/0001-27</t>
  </si>
  <si>
    <t>115.821.647-54</t>
  </si>
  <si>
    <t>CAMEPI CENTRO DE TREINAMENTOS LTDA</t>
  </si>
  <si>
    <t>DLR CENTRO DE FORMACAO PROFISSIONAL LTDA</t>
  </si>
  <si>
    <t>125.302.458-86</t>
  </si>
  <si>
    <t>AYLA CRISTINA ASSAM RODRIGUES</t>
  </si>
  <si>
    <t>27.210.834/0001-88</t>
  </si>
  <si>
    <t>CENTRO DE FORMACAO PROFISSIONAL DE ITAIP</t>
  </si>
  <si>
    <t>25.510.726/0001-03</t>
  </si>
  <si>
    <t>CENTRO DE FORMACAO PROFISSIONAL DE MARIC</t>
  </si>
  <si>
    <t>VENDA NOVA INFORMATICA LTDA</t>
  </si>
  <si>
    <t>WF INFORMATICA LTDA</t>
  </si>
  <si>
    <t>ECLIP CATANDUVA ESCOLA DE CURSOS LIVRES IDIOMA E PROF. LTDA</t>
  </si>
  <si>
    <t>AF CENTRO DE FORMACAO PROFISSIONAL LTDA</t>
  </si>
  <si>
    <t>34.940.159/0001-08</t>
  </si>
  <si>
    <t>INFRAMEGA TECNOLOGIA E EDUCACAO LTDA</t>
  </si>
  <si>
    <t>3 D ILHEUS INFORMATICA LTDA - ME</t>
  </si>
  <si>
    <t>02.883.725/0001-09</t>
  </si>
  <si>
    <t>QUALIFICA TREINAMENTOS LTDA - ME</t>
  </si>
  <si>
    <t>39.738.490/0001-63</t>
  </si>
  <si>
    <t>VIDA CURSOS TREINAMENTO E DESENVOLVIMENTO EIRELI</t>
  </si>
  <si>
    <t>BGKS TECNOLOGIA EM DESENVOLVIMENTO PESSOAL LTDA</t>
  </si>
  <si>
    <t>SS CURSOS PROFISSIONALIZANTES LTDA</t>
  </si>
  <si>
    <t>EDUZA SERVICOS EDUCACIONAIS LTDA</t>
  </si>
  <si>
    <t>36.826.678/0001-75</t>
  </si>
  <si>
    <t>MICROLINS - TREINAMENTO EM DESENVOLVIMENTO PROFISSIONAL EIRE</t>
  </si>
  <si>
    <t>26.205.839/0001-50</t>
  </si>
  <si>
    <t>NEOLEARN CURSOS DE TECNOLOGIA E IDIOMAS</t>
  </si>
  <si>
    <t>126.205.097-93</t>
  </si>
  <si>
    <t>GABRIEL DE MATOS MULINARI</t>
  </si>
  <si>
    <t>13.285.100/0001-53</t>
  </si>
  <si>
    <t>SASAKI INFORMATICA E CURSOS LTDA-ME</t>
  </si>
  <si>
    <t>F1 COMERCIO E SERVICOS INFORMATICA LTDA</t>
  </si>
  <si>
    <t>33.628.477/0001-75</t>
  </si>
  <si>
    <t>CP ENSINO &amp; TREINAMENTOS LTDA</t>
  </si>
  <si>
    <t>888.832.485-20</t>
  </si>
  <si>
    <t>ISLER GALVAO BARATA BENEVIDES SILVEIRA</t>
  </si>
  <si>
    <t>CENTRO DE TREINAMENTO E COMERCIO VI LA V</t>
  </si>
  <si>
    <t>592.880.435-00</t>
  </si>
  <si>
    <t>VERA LUCIA NUNES OLIVEIRA LIMA</t>
  </si>
  <si>
    <t>21.434.842/0002-02</t>
  </si>
  <si>
    <t>EDMILSON GOMES PEREIRA</t>
  </si>
  <si>
    <t>10.280.672/0001-51</t>
  </si>
  <si>
    <t>STOFEL E VASCONCELOS TREINAMENTOS LTDA</t>
  </si>
  <si>
    <t>09.013.943/0002-04</t>
  </si>
  <si>
    <t>MAX FORMACAO PROFISSIONAL LTDA ME</t>
  </si>
  <si>
    <t>10.846.846/0001-09</t>
  </si>
  <si>
    <t>CEP - CENTRO EDUC. PROF. TEC. LTDA - ME</t>
  </si>
  <si>
    <t>13.490.159/0005-07</t>
  </si>
  <si>
    <t>GOMES &amp; LIMIA  CURSOS LIVRES DE IDI OMAS</t>
  </si>
  <si>
    <t>MARCIO DA SILVA ULLMANN</t>
  </si>
  <si>
    <t>D &amp; K TREINAMENTO E DESENVOLVIMENTO EDUCACIONAL LTDA</t>
  </si>
  <si>
    <t>CRISANE QUALIFICACAO E IDIOMAS EIRELLI</t>
  </si>
  <si>
    <t>NANUQUE TREINAMENTOS LTDA ME</t>
  </si>
  <si>
    <t>AZEVEDO E MILLERI LTDA</t>
  </si>
  <si>
    <t>14.009.503/0003-02</t>
  </si>
  <si>
    <t>VECTOR EDUCACAO PROFISSIONAL LTDA</t>
  </si>
  <si>
    <t>F1 COMERCIO E SERVICOS DE INFORMATICA LTDA</t>
  </si>
  <si>
    <t>ZEDINEIA CASTELUBER PAZ</t>
  </si>
  <si>
    <t>17.756.320/0003-30</t>
  </si>
  <si>
    <t>CENTRO DE ENSINO E TREINAMENTO BLOQ LTDA</t>
  </si>
  <si>
    <t>067.508.928-09</t>
  </si>
  <si>
    <t>ROGERIO DE SOUZA ANDRADE</t>
  </si>
  <si>
    <t>T W B TREINAMENTO PROFISSIONAL LTDA</t>
  </si>
  <si>
    <t>GENESIS CURSOS PROFISSIONALIZANTES LTDA</t>
  </si>
  <si>
    <t>14.946.025/0001-97</t>
  </si>
  <si>
    <t>ROSANGELA MARIA LOPES OLIVEIRA LOBO -ME</t>
  </si>
  <si>
    <t>GOUVEIA BELLINI INFORMATICA LTDA ME</t>
  </si>
  <si>
    <t>G4 ENSINO DE INFORMATICA E IDIOMAS - EIRELI</t>
  </si>
  <si>
    <t>ELEVA EDUCACAO LTDA ME</t>
  </si>
  <si>
    <t>FABIO JOSE LEAL NEVES</t>
  </si>
  <si>
    <t>26.748.196/0001-90</t>
  </si>
  <si>
    <t>ESCOLA TECNICA &amp; PROFISSIONALIZANTE LTDA</t>
  </si>
  <si>
    <t>06.269.068/0001-57</t>
  </si>
  <si>
    <t>JOSE RENATO LOPES CEVOLO EIRELI</t>
  </si>
  <si>
    <t>07.274.215/0001-40</t>
  </si>
  <si>
    <t>INSTITUTO DE FORM.PROF. ANDRE REBOU CAS</t>
  </si>
  <si>
    <t>AZEVEDO CARAN TREINAMENTOS LTDA</t>
  </si>
  <si>
    <t>058.278.737-80</t>
  </si>
  <si>
    <t>FABIANO ALVES DE SOUZA</t>
  </si>
  <si>
    <t>18.358.232/0001-81</t>
  </si>
  <si>
    <t>JOAO VICTOR IVO FERNANDES - ME</t>
  </si>
  <si>
    <t>06.201.096/0002-13</t>
  </si>
  <si>
    <t>NC COSTA E CIA LTDA</t>
  </si>
  <si>
    <t>13.008.539/0001-39</t>
  </si>
  <si>
    <t>TECHINFO CURSOS PROF LTDA - ME</t>
  </si>
  <si>
    <t>SER EDUCACIONAL S.A.</t>
  </si>
  <si>
    <t>MOURA &amp; DIAS LTDA</t>
  </si>
  <si>
    <t>VALTER J DE LIRA JUNIOR CURSOS PROFISSIONALIZANTES E TECNOLO</t>
  </si>
  <si>
    <t>15.132.811/0001-13</t>
  </si>
  <si>
    <t>NAYARA ALINE DE LIMA 32015898883</t>
  </si>
  <si>
    <t>INNOVARE EDUCACAO - BOM JESUS DO ITABAPOANA LTDA</t>
  </si>
  <si>
    <t>07.813.484/0001-37</t>
  </si>
  <si>
    <t>FELICIO LUCIANO E SILVA ME</t>
  </si>
  <si>
    <t>12.299.045/0001-98</t>
  </si>
  <si>
    <t>RBM-DESENV.PROF.E COM.LIV. APOST.LT DA M</t>
  </si>
  <si>
    <t>BRUMIKI CURSOS DE INFORMATICA LTDA</t>
  </si>
  <si>
    <t>CCFP CENTRO CARIOCA DE FORM. PROFIS SION</t>
  </si>
  <si>
    <t>03.131.080/0001-02</t>
  </si>
  <si>
    <t>SARAH CANCON CURSOS LIVRES SC LTDA</t>
  </si>
  <si>
    <t>AS FORMACAO PROFISSIONAL LTDA</t>
  </si>
  <si>
    <t>07.427.250/0001-51</t>
  </si>
  <si>
    <t>KUHN FORMACAO E QUALIFICACAO PROFISSIONAL LTDA</t>
  </si>
  <si>
    <t>RB CONSULTORIA E ENSINO LTDA</t>
  </si>
  <si>
    <t>MD ENSINO E QUALIFICACAO LTDA</t>
  </si>
  <si>
    <t>16.499.913/0001-34</t>
  </si>
  <si>
    <t>BENFICA EDUCACAO PROFISSIONAL LTDA</t>
  </si>
  <si>
    <t>SOLUTEC-TREINAMENTO EM DESEN. PROFISSIONAL LTDA</t>
  </si>
  <si>
    <t>CEFAP CONSULTORIA ENSINO E FORM PRO FISS</t>
  </si>
  <si>
    <t>CLAITON VIGNATTI DANI E CIA LTDA</t>
  </si>
  <si>
    <t>LUCAS TORQUATO DE SOUZA</t>
  </si>
  <si>
    <t>INSTITUTO POMPEANO DE EDUCACAO, CULTURA E TECNOLOGIA LTDA</t>
  </si>
  <si>
    <t>FLAVIO BRAS FARIA PIMENTEL</t>
  </si>
  <si>
    <t>SINT DESENVOLVIMENTO GERENCIAL LTDA</t>
  </si>
  <si>
    <t>VIX CURSOS E INFORMATICA EIRELI</t>
  </si>
  <si>
    <t>CENTRO DE ENSINO PROFISSIONALIZANTE DO AGRESTE LTDA</t>
  </si>
  <si>
    <t>24.940.308/0001-85</t>
  </si>
  <si>
    <t>JR CENTRO DE ESTUDOS DE PACIENCIA LTDA ME</t>
  </si>
  <si>
    <t>07.179.016/0001-52</t>
  </si>
  <si>
    <t>FUTURO ENSINO PROFISSIONALIZANTE LTDA</t>
  </si>
  <si>
    <t>M D ENSINO E EDUCACAO LTDA</t>
  </si>
  <si>
    <t>SS TREINAMENTO PROFISSIONAL LTDA</t>
  </si>
  <si>
    <t>CAMILO &amp; ARAUJO CURSOS PROFISSIONALIZANTES LTDA</t>
  </si>
  <si>
    <t>R2L EDUCACAO PROFISSIONAL LTDA</t>
  </si>
  <si>
    <t>SANDRA APARECIDA DE REZENDE</t>
  </si>
  <si>
    <t>W S INFORMATICA E COMERCIO DE MATERIAIS LTDA</t>
  </si>
  <si>
    <t>IACO GESTAO EM EDUCACAO LTDA</t>
  </si>
  <si>
    <t>41.512.896/0001-75</t>
  </si>
  <si>
    <t>B&amp;J CURSOS TECNICOS EM INFORMATICA LTDA</t>
  </si>
  <si>
    <t>SOROCAMP CURSOS PROFISSIONALIZANTES LTDA</t>
  </si>
  <si>
    <t>ABEL FERNANDO MARQUES ABREU EIRELI EPP</t>
  </si>
  <si>
    <t>ALVES &amp; CE LTDA</t>
  </si>
  <si>
    <t>ACS CURSOS PROFSSIONALIZANTES LTDA</t>
  </si>
  <si>
    <t>FREDERICO BECKER DE OLIVEIRA - ME</t>
  </si>
  <si>
    <t>RRA DESENVOLVIMENTO PROFISSIONAL LTDA</t>
  </si>
  <si>
    <t>27.306.096/0001-77</t>
  </si>
  <si>
    <t>C F DA SILVA BEZERRA</t>
  </si>
  <si>
    <t>SOUSA E SANTOS EDUCACAO PROFISSIONAL LTDA</t>
  </si>
  <si>
    <t>FERNANDO DE ALCÂNTARA XAVIER</t>
  </si>
  <si>
    <t>MV CURSOS E TREINAMENTOS LTDA ME</t>
  </si>
  <si>
    <t>L ABREU INFORMATICA E TREINAMENTO EIRELI</t>
  </si>
  <si>
    <t>05.014.772/0001-04</t>
  </si>
  <si>
    <t>VIHMARIBARROS CURSOS E TREINAMENTOS EIRELI</t>
  </si>
  <si>
    <t>CENTRO EDUCACIONAL DE QUALIFICACAO PROFISSIONAL LTDA</t>
  </si>
  <si>
    <t>ANDRE MENEZES TREINAMENTOS E DESENV OLVI</t>
  </si>
  <si>
    <t>16.549.336/0001-48</t>
  </si>
  <si>
    <t>EDUCACAO PROFISSIONAL ANCHIETA LTDA</t>
  </si>
  <si>
    <t>04.697.666/0001-00</t>
  </si>
  <si>
    <t>TREINAMENTO E CAPACITACAO SUL FLUMI NENS</t>
  </si>
  <si>
    <t>08.199.654/0001-06</t>
  </si>
  <si>
    <t>DAIANE PERPETUA MAZIEIRO ME</t>
  </si>
  <si>
    <t>21.434.842/0001-21</t>
  </si>
  <si>
    <t>G P QUALIFICACAO PROFISSIONAL LTDA ME</t>
  </si>
  <si>
    <t>01.307.385/0002-88</t>
  </si>
  <si>
    <t>GDI E GDI CURSOS DE INFORMATICA LTD A</t>
  </si>
  <si>
    <t>10.261.494/0001-11</t>
  </si>
  <si>
    <t>W. V. ESCOLA DE INFORMATICA LTDA M. E.</t>
  </si>
  <si>
    <t>12.667.352/0001-84</t>
  </si>
  <si>
    <t>MELO E SIMAS COMERCIO E SERVICOS DE INFORMATICA LTDA</t>
  </si>
  <si>
    <t>20.360.122/0001-04</t>
  </si>
  <si>
    <t>MOURA S SILVA S CURSO E TREINAMENTO DE INFORMATICA EIRELI</t>
  </si>
  <si>
    <t>08.646.869/0001-10</t>
  </si>
  <si>
    <t>AUGUSTO CESAR MOTA ROCHA ME</t>
  </si>
  <si>
    <t>18.114.364/0001-68</t>
  </si>
  <si>
    <t>W &amp; EDY - CURSOS E TREINAMENTOS LTD A -</t>
  </si>
  <si>
    <t>04.797.798/0001-03</t>
  </si>
  <si>
    <t>SORRENTINO INFORMATICA LTDA</t>
  </si>
  <si>
    <t>10.944.091/0001-77</t>
  </si>
  <si>
    <t>MGA LIVROS E FORMACAO PROFISSIONAL LTDA</t>
  </si>
  <si>
    <t>22.636.319/0001-40</t>
  </si>
  <si>
    <t>SANCHES E LEITE IDIOMAS E INFORMATI CA L</t>
  </si>
  <si>
    <t>05.832.908/0001-85</t>
  </si>
  <si>
    <t>SONIA CRISTINA IVONISKO - ME</t>
  </si>
  <si>
    <t>VILHENA FORMACAO PROFISSIONAL LTDA</t>
  </si>
  <si>
    <t>00.804.627/0001-03</t>
  </si>
  <si>
    <t>LOGON COM E SERV LTDA</t>
  </si>
  <si>
    <t>MICHELLE DONATTI SILVA GATTEI</t>
  </si>
  <si>
    <t>ROSANGELA NOGUEIRA FURTADO</t>
  </si>
  <si>
    <t>115.294.898-90</t>
  </si>
  <si>
    <t>ODAIR ANTONIO SIMEAO</t>
  </si>
  <si>
    <t>M S ARRUDA JUNIOR</t>
  </si>
  <si>
    <t>17.522.270/0001-65</t>
  </si>
  <si>
    <t>MILENIO CURSOS E TREINAMENTOS EIRELI</t>
  </si>
  <si>
    <t>CENTRO EDUCACIONAL FRAGA EIRELI</t>
  </si>
  <si>
    <t>165.996.322-20</t>
  </si>
  <si>
    <t>MARISTELA DE BRITO NICODEMOS</t>
  </si>
  <si>
    <t>40.501.902/0001-26</t>
  </si>
  <si>
    <t>A LUZ CURSOS E TREINAMENTOS LTDA</t>
  </si>
  <si>
    <t>09.658.966/0001-95</t>
  </si>
  <si>
    <t>ABM TREINAMENTO E DESENVOLVIMENTO D E PE</t>
  </si>
  <si>
    <t>CENFOUR JUQUITIBA TECNOLOGIA E TREINAMENTOS LTDA</t>
  </si>
  <si>
    <t>EDSON ALEIXO DA SILVA</t>
  </si>
  <si>
    <t>08.187.686/0003-45</t>
  </si>
  <si>
    <t>IAM CURSOS PROFISSIONALIZANTES LTDA -ME</t>
  </si>
  <si>
    <t>29.397.507/0001-02</t>
  </si>
  <si>
    <t>MF2 GESTAO EMPRESARIAL LTDA</t>
  </si>
  <si>
    <t>M.P RODRIGUES PROCESSAMENTO DE DADOS - EIRELI</t>
  </si>
  <si>
    <t>MR BANGU CURSOS LIVRES E TECNOLOGIA LTDA</t>
  </si>
  <si>
    <t>32.265.970/0001-05</t>
  </si>
  <si>
    <t>MSJ TREINAMENTO EM INFORMATICA E EDUCACAO LTDA</t>
  </si>
  <si>
    <t>03.993.831/0001-08</t>
  </si>
  <si>
    <t>PRIME INFORMATICA S/C LTDA</t>
  </si>
  <si>
    <t>13.150.561/0001-19</t>
  </si>
  <si>
    <t>REGINALDO ORTIZ DA SILVA ME</t>
  </si>
  <si>
    <t>RG CURSOS E TREINAMENTOS LTDA</t>
  </si>
  <si>
    <t>12.610.061/0001-50</t>
  </si>
  <si>
    <t>RRK IDIOMAS LTDA</t>
  </si>
  <si>
    <t>SKL EDUCACAO E INFORMATICA LTDA</t>
  </si>
  <si>
    <t>11.046.192/0001-93</t>
  </si>
  <si>
    <t>TAIPAS CURSOS PROFIS. LTDA - EPP</t>
  </si>
  <si>
    <t>37.363.581/0001-36</t>
  </si>
  <si>
    <t>CAPRI CURSOS E TREINAMENTOS LTDA</t>
  </si>
  <si>
    <t>050.701.316-64</t>
  </si>
  <si>
    <t>OLIVEIRA CURSOS LTDA</t>
  </si>
  <si>
    <t>RR TREINAMENTO EM INFORMATICA LTDA</t>
  </si>
  <si>
    <t>A &amp; K CENTRO DE FORMACAO PROFISSIONAL LTDA</t>
  </si>
  <si>
    <t>07.014.363/0001-25</t>
  </si>
  <si>
    <t>CENTRAL D MANUT TREIN E QUAL ERMELI NO M</t>
  </si>
  <si>
    <t>13.098.885/0002-36</t>
  </si>
  <si>
    <t>GSX EDUCACAO E PROFISSAO LTDA</t>
  </si>
  <si>
    <t>WGD CB EDUCACAO LTDA</t>
  </si>
  <si>
    <t>26.743.046/0001-94</t>
  </si>
  <si>
    <t>PASSOS MIMURA EDUCACIONAL LTDA</t>
  </si>
  <si>
    <t>PW3 DESENVOLVIMENTO E CAPACITACAO PROFISSIONAL LTDA</t>
  </si>
  <si>
    <t>EAS SERVIÇOS EDUCACIONAIS E PARTICIPAÇÕES LTDA</t>
  </si>
  <si>
    <t>RGS EMPREENDIMENTOS EDUCACIONAIS LTDA ME</t>
  </si>
  <si>
    <t>SUCESSO EDUCACIONAL E PROFISSIONAL COMERCIO DE MATERIAL DIDA</t>
  </si>
  <si>
    <t>39.796.244/0001-68</t>
  </si>
  <si>
    <t>XANDRIX EDUCACAO E TECNOLOGIA LTDA</t>
  </si>
  <si>
    <t>AGJS - COMERCIAL LTDA</t>
  </si>
  <si>
    <t>EDILSON VICTOR</t>
  </si>
  <si>
    <t>14.218.684/0001-07</t>
  </si>
  <si>
    <t>JADE CURSOS PROFISSIONALIZANTES EIRELI - ME</t>
  </si>
  <si>
    <t>052.118.607-21</t>
  </si>
  <si>
    <t>REINALDO CRUZ DE ALMEIDA</t>
  </si>
  <si>
    <t>JOVI ENSINOS DE IDIOMAS EIRELI</t>
  </si>
  <si>
    <t>AYALA MARIA PEREIRA FIGUEIREDO-ME</t>
  </si>
  <si>
    <t>05.571.861/0001-43</t>
  </si>
  <si>
    <t>BRASIL NETWORK LTDA - ME</t>
  </si>
  <si>
    <t>BRONZATTI &amp; SOUZA LTDA</t>
  </si>
  <si>
    <t>C. GILBERTOM CELEDONIO CENTRO DE DESENVOLVIMENTO LTDA</t>
  </si>
  <si>
    <t>11.051.019/0001-83</t>
  </si>
  <si>
    <t>EXCELENCIA OITO CURSOS DE INF. LTDA</t>
  </si>
  <si>
    <t>H3J EDUCACAO LTDA</t>
  </si>
  <si>
    <t>11.679.989/0001-28</t>
  </si>
  <si>
    <t>VALORESER DESENVOLVIMENTO HUMANO LTDA</t>
  </si>
  <si>
    <t>05.606.941/0001-97</t>
  </si>
  <si>
    <t>CHAMPION INF. SOCIEDADE EMPRES-RIA LTDA</t>
  </si>
  <si>
    <t>S J S CURSOS DE INFORMATICA UNIPESSOAL LTDA</t>
  </si>
  <si>
    <t>11.836.092/0001-60</t>
  </si>
  <si>
    <t>C.P.CURSOS PROFISSIONALIZANTES LTDA</t>
  </si>
  <si>
    <t>ET TREINAMENTO EM DESENVOL. PROFISSIONAL E GERENCIAL LTDA</t>
  </si>
  <si>
    <t>CAPACITACAO E FORMACAO DE PESSOAS LTDA</t>
  </si>
  <si>
    <t>MV FORMACAO DE NIVEL TECNICO PETROLINA LTDA</t>
  </si>
  <si>
    <t>EDUCATION CENTER LTDA</t>
  </si>
  <si>
    <t>13.989.885/0002-26</t>
  </si>
  <si>
    <t>UBIRAJARA JOSE DE MORAIS JUNIOR - M E</t>
  </si>
  <si>
    <t>SANTA TERESA CURSOS E TREINAMENTOS LTDA</t>
  </si>
  <si>
    <t>42.192.205/0001-66</t>
  </si>
  <si>
    <t>SIQUEIRA E NOVAES EDUCADORA LTDA</t>
  </si>
  <si>
    <t>THADEU DE OLIVEIRA FEITOSA</t>
  </si>
  <si>
    <t>REALIZAR PROFISSOES IDIOMAS E COMERCIO DE LIVROS LTDA</t>
  </si>
  <si>
    <t>CONCEITO CURSOS E TREINAMENTOS LTDA</t>
  </si>
  <si>
    <t>STOCK PASCHOAL CENTRO EDUCACIONAL LTDA</t>
  </si>
  <si>
    <t>NELSON BOLSONARO JUNIOR</t>
  </si>
  <si>
    <t>050.264.524-50</t>
  </si>
  <si>
    <t>EDER BATISTA DE SOUSA</t>
  </si>
  <si>
    <t>097.764.676-95</t>
  </si>
  <si>
    <t>SIDNEY DE ASSIS TOMAZ</t>
  </si>
  <si>
    <t>07.299.954/0002-77</t>
  </si>
  <si>
    <t>20.280.371/0003-43</t>
  </si>
  <si>
    <t>GP CURSOS PROFISSIONALIZANTES LTDA - ME</t>
  </si>
  <si>
    <t>00.931.481/0001-59</t>
  </si>
  <si>
    <t>AQUARIUS DE JUNDIA- INFORM-TICA LTD A -</t>
  </si>
  <si>
    <t>A4B TECNOLOGIA E TREINAMENTO LTDA</t>
  </si>
  <si>
    <t>UNIENZO ENSINO E COM DE MAT DID LTDA EPP</t>
  </si>
  <si>
    <t>04.801.944/0001-19</t>
  </si>
  <si>
    <t>VPN INFORMATICA E TREINAMENTO LTDA ME</t>
  </si>
  <si>
    <t>21.749.753/0001-74</t>
  </si>
  <si>
    <t>W. J. JANUARIO MANUTENCAO E QUALIF. PROF</t>
  </si>
  <si>
    <t>23.870.186/0001-35</t>
  </si>
  <si>
    <t>RCA IDIOMAS LTDA EPP</t>
  </si>
  <si>
    <t>MRC CAXIENSE INFORMATICA LTDA</t>
  </si>
  <si>
    <t>07.737.400/0002-04</t>
  </si>
  <si>
    <t>MICROBEL INFORMATICA LTDA</t>
  </si>
  <si>
    <t>280.852.992-91</t>
  </si>
  <si>
    <t>MARCUS VINICIUS ROCHA NASCIMENTO</t>
  </si>
  <si>
    <t>006.639.435-07</t>
  </si>
  <si>
    <t>LUIS HENRIQUE DA SILVA SANTOS</t>
  </si>
  <si>
    <t>12.594.983/0001-10</t>
  </si>
  <si>
    <t>KNOWLEDGE INFORMATICA E TREINAMENTO LTDA</t>
  </si>
  <si>
    <t>17.200.116/0001-77</t>
  </si>
  <si>
    <t>HDM EDUCACAO PROFISSIONAL LTDA ME</t>
  </si>
  <si>
    <t>04.426.015/0001-77</t>
  </si>
  <si>
    <t>GUSTAVO MAZZANTE DO NASCIMENTO ME</t>
  </si>
  <si>
    <t>08.604.147/0002-83</t>
  </si>
  <si>
    <t>21.368.734/0001-06</t>
  </si>
  <si>
    <t>FLAVIO BEZERRA FREIRE E CIA LTDA - ME</t>
  </si>
  <si>
    <t>07.231.370/0001-89</t>
  </si>
  <si>
    <t>DOMINIO TERESINA EDUCACAO PROFISSIONAL</t>
  </si>
  <si>
    <t>05.889.960/0001-78</t>
  </si>
  <si>
    <t>DIAS E FERREIRA LTDA-ME</t>
  </si>
  <si>
    <t>10.545.575/0003-05</t>
  </si>
  <si>
    <t>C R SILVA IDIOMAS - ME</t>
  </si>
  <si>
    <t>14.982.205/0002-05</t>
  </si>
  <si>
    <t>C L TREINAMENTOS LTDA - ME</t>
  </si>
  <si>
    <t>02.385.408/0001-54</t>
  </si>
  <si>
    <t>CLM INFORMATICA E TREINAMENTO LTDA - ME</t>
  </si>
  <si>
    <t>A.P.F. DE LIMA-ME</t>
  </si>
  <si>
    <t>SUPRIMICRO INFORMATICA LTDA ME</t>
  </si>
  <si>
    <t>25.055.156/0001-09</t>
  </si>
  <si>
    <t>SOUZA &amp; LEITE ASSOCIADOS LTDA ME</t>
  </si>
  <si>
    <t>10.531.876/0001-18</t>
  </si>
  <si>
    <t>SABEDORIA DESENV. PROF E COM DE APO STILA</t>
  </si>
  <si>
    <t>03.714.587/0001-99</t>
  </si>
  <si>
    <t>NGE COMERCIO E SERVICOS DE INFORMATICA EIREILI</t>
  </si>
  <si>
    <t>386.485.458-03</t>
  </si>
  <si>
    <t>NATASHA ALMEIDA DE PAULA</t>
  </si>
  <si>
    <t>05.545.263/0001-08</t>
  </si>
  <si>
    <t>MC CURSOS DE FORMACAO PROFISSIONAL LTDA</t>
  </si>
  <si>
    <t>MACARIO TREINAMENTO LTDA</t>
  </si>
  <si>
    <t>23.297.287/0001-69</t>
  </si>
  <si>
    <t>LAIS MONIQUE BANDEIRA - ME</t>
  </si>
  <si>
    <t>07.193.747/0001-52</t>
  </si>
  <si>
    <t>J LUCIO DE ASSIS E CIA LTDA - ME</t>
  </si>
  <si>
    <t>07.708.511/0001-01</t>
  </si>
  <si>
    <t>HM CENTRO DE FORMACAO PROFISSIONAL EMPRE</t>
  </si>
  <si>
    <t>987.961.356-20</t>
  </si>
  <si>
    <t>WASHINGTON RODRIGO CANESTRI</t>
  </si>
  <si>
    <t>07.194.494/0001-31</t>
  </si>
  <si>
    <t>VALMIR FILHO SARAIVA PIRES ME</t>
  </si>
  <si>
    <t>11.178.493/0001-70</t>
  </si>
  <si>
    <t>OMEGA EDUCACAO E PROFISSIONALIZACAO LTDA</t>
  </si>
  <si>
    <t>13.125.397/0001-90</t>
  </si>
  <si>
    <t>MVW ESCOLAS DE IDIOMAS LTDA</t>
  </si>
  <si>
    <t>00.987.906/0001-41</t>
  </si>
  <si>
    <t>MOIZES BARBOZA DA COSTA ME</t>
  </si>
  <si>
    <t>JUNIOR E HENRIQUE CURSOS DE INFORMATICA E PROFISSIONALIZANTE</t>
  </si>
  <si>
    <t>FREITAS E CARVALHO DE GUAIRA LTDA</t>
  </si>
  <si>
    <t>IFILE EDUCACAO E TREINAMENTOS LTDA</t>
  </si>
  <si>
    <t>SEMEAR EXPANSAO SAO MIGUEL EDUCACAO LTDA</t>
  </si>
  <si>
    <t>19.123.679/0001-34</t>
  </si>
  <si>
    <t>R E F CURSO DE INFORMATICA LTDA - M E</t>
  </si>
  <si>
    <t>GOMES CAPACITACAO E TREINAMENTO PROFISSIONAL LTDA</t>
  </si>
  <si>
    <t>VGC ENSINO E TREINAMENTO LTDA</t>
  </si>
  <si>
    <t>18.846.145/0001-73</t>
  </si>
  <si>
    <t>CENTRO EDUCACIONAL FUTURINHA LTDA</t>
  </si>
  <si>
    <t>ECLIP MIRASSOL - ESCOLA DE CURSOS LIVRES, IDIOMAS E PROFISSI</t>
  </si>
  <si>
    <t>VASCONCELLOS TERRA EDUCACAO PROFISSIONAL LTDA</t>
  </si>
  <si>
    <t>CRISTIANE DE SA DANTAS ARAUJO</t>
  </si>
  <si>
    <t>CONECTA TREINAMENTOS E RECURSOS HUMANOS LTDA</t>
  </si>
  <si>
    <t>05.085.375/0001-15</t>
  </si>
  <si>
    <t>RHTECH CONSULTORIA EDUC. E TECN. LT DA</t>
  </si>
  <si>
    <t>ELENA BONALDO ACERBI - ME</t>
  </si>
  <si>
    <t>20.280.371/0002-62</t>
  </si>
  <si>
    <t>G P CURSOS PROFISSIONALIZANTES LTDA - ME</t>
  </si>
  <si>
    <t>MARIA JOSIANE GOMES UCHOA</t>
  </si>
  <si>
    <t>FORMACAO E EDUCACAO GUARAPARI LTDA</t>
  </si>
  <si>
    <t>CENTRO PROFISSIONALIZANTE DE SIMAO DIAS EIRELI</t>
  </si>
  <si>
    <t>LUANA SILVA CUNHA 30821064800</t>
  </si>
  <si>
    <t>P &amp; M SOLUCOES TECNOLOGICAS LTDA</t>
  </si>
  <si>
    <t>PROSPERA APOIO EDUCACIONAL LTDA</t>
  </si>
  <si>
    <t>M101 TECNOLOGIA DA INFORMACAO LTDA</t>
  </si>
  <si>
    <t>41.753.228/0001-30</t>
  </si>
  <si>
    <t>INOVASHARK SERVICOS EDUCACIONAIS LTDA</t>
  </si>
  <si>
    <t>CTESG - CENTRO DE TREINAMENTO E EDUCACAO SUPERIOR DE GUANAMB</t>
  </si>
  <si>
    <t>PREPARA</t>
  </si>
  <si>
    <t>PINGUS</t>
  </si>
  <si>
    <t>ENSINA MAIS</t>
  </si>
  <si>
    <t>ENGLISH TALK</t>
  </si>
  <si>
    <t>SOS</t>
  </si>
  <si>
    <t>PEOPLE</t>
  </si>
  <si>
    <t>MICROLINS</t>
  </si>
  <si>
    <t>INTER HOUSE - ENSINO DE IDIOMAS LTDA - ME</t>
  </si>
  <si>
    <t>PARECER OK</t>
  </si>
  <si>
    <t>PRODUÇÃO</t>
  </si>
  <si>
    <t xml:space="preserve">PROTOCOLADA </t>
  </si>
  <si>
    <t>AGUARDA PROCURAÇÃO</t>
  </si>
  <si>
    <t>DESFAVORÁVEL</t>
  </si>
  <si>
    <t>ROBERTA RAMOS DE OLIVEIRA ZANETTI</t>
  </si>
  <si>
    <t>CASTELUBER &amp; AZEVEDO LTDA</t>
  </si>
  <si>
    <t>STONE PAGAMENTOS S A</t>
  </si>
  <si>
    <t>RAINIZE MARQUES DA SILVA</t>
  </si>
  <si>
    <t>CENTRO EDUCACIONAL NASCIMENTO LTDA</t>
  </si>
  <si>
    <t>MOURA BORGES CONSULTORIA E PROJETOS EDUCACIONAIS LTDA ME</t>
  </si>
  <si>
    <t>ONIX EDUCACAO PROFISSIONAL LTDA</t>
  </si>
  <si>
    <t xml:space="preserve">06.555.129/0001-42 </t>
  </si>
  <si>
    <t xml:space="preserve">17.836.947/0001-30 </t>
  </si>
  <si>
    <t xml:space="preserve">18.006.784/0001-20 </t>
  </si>
  <si>
    <t xml:space="preserve">07.899.464/0001-20	</t>
  </si>
  <si>
    <t>A &amp; G CURSOS LTDA</t>
  </si>
  <si>
    <t>CONSORCIO EDUCACIONAL PROSPERAR LTDA</t>
  </si>
  <si>
    <t>TABATA OLINDO ZANDAVALLI RAMOS LTDA</t>
  </si>
  <si>
    <t>OSWALDO NESTOR BARBOSA GARCIA-ME</t>
  </si>
  <si>
    <t>MVALEIXO TREINAMENTO E DESENVOLVIMENTO PROFISSIONAL LTDA</t>
  </si>
  <si>
    <t>32.265.256/0001-17</t>
  </si>
  <si>
    <t>ALD TREINAMENTOS EM INFORMATICAS E EDUCACAO LTDA</t>
  </si>
  <si>
    <t>32.957.710/0001-09</t>
  </si>
  <si>
    <t>BZR EDUCACAO E TREINAMENTO EM INFORMATICA LTDA</t>
  </si>
  <si>
    <t>CARTA ENVIADA</t>
  </si>
  <si>
    <t>CARTA DEVOLVIDA</t>
  </si>
  <si>
    <t>LIGAÇÃO ATIVA</t>
  </si>
  <si>
    <t>Essa unidade é do mesmo Franqueado Edmilson, que pediu encerramento de outras 9 unidades, solicitei à dra. Ana que aguardasse eu realizar o parecer das outras unidades, para dicidirmos em conjunto.</t>
  </si>
  <si>
    <t>C S CAPACITACAO PROFISSIONAL E SUPRIMENTOS PARA INFORMATICA</t>
  </si>
  <si>
    <t>CEREJA APOIO EDUCACIONAL LTDA</t>
  </si>
  <si>
    <t>MOURA &amp; SILVA CURSOS PROFISSIONALIZANTE LTDA</t>
  </si>
  <si>
    <t>19.272.297/0001-72</t>
  </si>
  <si>
    <t>LS MORAIS QUALIFICACOES E TREINAMENTOS EIRELI</t>
  </si>
  <si>
    <t>PROSPERE EDUCACAO VOLTA REDONDA LTDA</t>
  </si>
  <si>
    <t>CULTIVAR EDUCACAO VARZEA PAULISTA LTDA</t>
  </si>
  <si>
    <t>RJ CURSOS DE FORMACAO PROFISSIONAL LTDA</t>
  </si>
  <si>
    <t>43.255.166/0001-61</t>
  </si>
  <si>
    <t>J A SOUZA CURSOS PROFISSIONALIZANTES LTDA</t>
  </si>
  <si>
    <t>CENFOUR LARGO TABOAO COMERCIO E SERVICO DE INFORMATICA LTDA</t>
  </si>
  <si>
    <t xml:space="preserve">LUIZ FELIPE FERREIRA - ME	</t>
  </si>
  <si>
    <t>ETJV COMERCIO DE LIVROS E MANUTENCAO DE COMP. LTDA</t>
  </si>
  <si>
    <t>S &amp; D ENSINO INFANTIL LTDA</t>
  </si>
  <si>
    <t>SEMEAR EDUCACAO SUZANO LTDA</t>
  </si>
  <si>
    <t>DAIANE CHIAMENTI EIRELI</t>
  </si>
  <si>
    <t>045.792.343-16</t>
  </si>
  <si>
    <t>JOHNATA RIBEIRO DA CUNHA</t>
  </si>
  <si>
    <t>ALANA MARIA BASTREGHI EIRELI</t>
  </si>
  <si>
    <t>SANTOS EDUCACIONAL LTDA</t>
  </si>
  <si>
    <t>N2ZL ENSINO HIBRIDO LTDA</t>
  </si>
  <si>
    <t>ALISSON FRANKLIN SANTOS ARAUJO</t>
  </si>
  <si>
    <t>PETROPOLIS DESENVOLVIMENTO PROFISSIONAL LTDA</t>
  </si>
  <si>
    <t>294.665.528-80</t>
  </si>
  <si>
    <t>JEFERSON PEREIRA GOMES</t>
  </si>
  <si>
    <t>007.290.472-02</t>
  </si>
  <si>
    <t>LUCIANA ROCHA DE SOUZA</t>
  </si>
  <si>
    <t>PREAXI CURSOS LTDA, inscrita no CNPJ nº 34.443.026/0001-26</t>
  </si>
  <si>
    <t xml:space="preserve">108.277.807-96 </t>
  </si>
  <si>
    <t>BOLSONARO &amp; BOLSONARO COMERCIO DE INFORMATICA LTDA</t>
  </si>
  <si>
    <t>ISANNIT INFORMATICA E CURSOS LTDA</t>
  </si>
  <si>
    <t>SANTANA CURSOS PROFISSIONALIZANTES E IDIOMAS LTDA</t>
  </si>
  <si>
    <t>STATUS TREINAMENTOS DESENVOLVIMENTO HUMANO LTDA</t>
  </si>
  <si>
    <t>ARLEN ZANETTI</t>
  </si>
  <si>
    <t>MURIAE CENTRO DE ENSINO LTDA</t>
  </si>
  <si>
    <t>EDUCAR TREINAMENTOS E APRIMORAMENTOS LTDA</t>
  </si>
  <si>
    <t>E MIRANDA DE OLIVEIRA - INFORMATICA</t>
  </si>
  <si>
    <t>ALEGRE CURSOS E TREINAMENTOS LTDA</t>
  </si>
  <si>
    <t>AGAPE EDUCACIONAL COMERCIO DE MATERIAL DIDATICO LTDA</t>
  </si>
  <si>
    <t>HIGOR NOLETO DE MATOS</t>
  </si>
  <si>
    <t>RAPHAEL DE OLIVEIRA LIMA</t>
  </si>
  <si>
    <t>A MARCA É MICROLINS, MAS ESTÁ PUXANDO COMO SOS.</t>
  </si>
  <si>
    <t>ENVIADO EM 03/02/2022, TEM TÍTULOS PRESCRITOS.</t>
  </si>
  <si>
    <t>CULTIVAR EDUCACAO FORTALEZA LTDA</t>
  </si>
  <si>
    <t>SAMARA OLIVEIRA DA SILVA</t>
  </si>
  <si>
    <t xml:space="preserve">21.434.842/0001-21 </t>
  </si>
  <si>
    <t>ENVIADO EM 04/03/2022.</t>
  </si>
  <si>
    <t>44.551.494/0001-78</t>
  </si>
  <si>
    <t>LIMAS ENSINO E PROFISSAO LTDA</t>
  </si>
  <si>
    <t>958.299.702-87</t>
  </si>
  <si>
    <t>ALCINELE VIEIRA AMARAL</t>
  </si>
  <si>
    <t>022.469.944-03</t>
  </si>
  <si>
    <t>KALIGINA ARAUJO MACHADO</t>
  </si>
  <si>
    <t>SERGIO FERNANDES DA SILVA CURSOS-ME</t>
  </si>
  <si>
    <t>UBA CURSOS E TREINAMENTOS LTDA</t>
  </si>
  <si>
    <t>MIDAS CAM EDUCACIONAL LTDA</t>
  </si>
  <si>
    <t>INVISTA, FORMACAO E TREINAMENTOS PROFISSIONALIZANTES LTDA</t>
  </si>
  <si>
    <t>M &amp; D SOLUCOES EDUCACIONAIS LTDA</t>
  </si>
  <si>
    <t>ENSINA MAIS PRAIA GRANDE LTDA</t>
  </si>
  <si>
    <t>CAMILA FARIA ALVES LIMONGI</t>
  </si>
  <si>
    <t>WELLINAIDE FRUTUOSO MENDES</t>
  </si>
  <si>
    <t>MARCELO PINA RODRIGUES</t>
  </si>
  <si>
    <t>11.250.516/0001-91</t>
  </si>
  <si>
    <t>ENVIADO EM 16/03/2022.</t>
  </si>
  <si>
    <t>PARECER PARA BAIXA, POIS NÃO POSSUIMOS DOCUMENTOS PASSÍVEIS DE AJUIZAMENTO.</t>
  </si>
  <si>
    <t>ENVIADO EM 22/03/2022.</t>
  </si>
  <si>
    <t>ENVIADO EM 25/03/2022.</t>
  </si>
  <si>
    <t>ENVIADO EM 28/03/2022.</t>
  </si>
  <si>
    <t>ENVIADO EM 29/03/2022.</t>
  </si>
  <si>
    <t>REALIZAR ITU - PROFISSOES, IDIOMAS E COMERCIO DE LIVROS LTDA</t>
  </si>
  <si>
    <t>SILVEIRA E CUNHA PROGRAMAS EDUCACIONAIS LTDA</t>
  </si>
  <si>
    <t>CRUZEIRO EDUCACIONAL LTDA</t>
  </si>
  <si>
    <t>44.526.273/0001-40</t>
  </si>
  <si>
    <t>MSBN CURSOS PREPARATORIOS LTDA</t>
  </si>
  <si>
    <t>CENTRO EDUCACIONAL BLUMENAU LTDA</t>
  </si>
  <si>
    <t>INTEGRAR CURSOS PROFISSIONALIZANTES LTDA</t>
  </si>
  <si>
    <t>ALMEIDA CURSOS LTDA</t>
  </si>
  <si>
    <t>CENTRO DE ENSINO PROFISSIONALIZANTE DO SERTAO LTDA</t>
  </si>
  <si>
    <t>ANGELICA DOS SANTOS</t>
  </si>
  <si>
    <t>PETRO - SERVICOS EDUCACIONAIS LTDA</t>
  </si>
  <si>
    <t>R G MARQUES EDUCACAO PROFISSIONAL</t>
  </si>
  <si>
    <t>NAYARA ALINE DE LIMA</t>
  </si>
  <si>
    <t>LIDER EDUCACAO PROFISSIONAL LTDA</t>
  </si>
  <si>
    <t>JEVITEC SERVICOS EM EDUCACAO E TECNOLOGIA LTDA</t>
  </si>
  <si>
    <t>EDUCAR PROGRAMAS EDUCACIONAIS LTDA</t>
  </si>
  <si>
    <t>S &amp; C CURSOS E INOVAÇÕES LTDA</t>
  </si>
  <si>
    <t>ENVIADO EM 18/04/2022.</t>
  </si>
  <si>
    <t>JERUSALEM CURSOS PROFISSIONALIZANTES LTDA</t>
  </si>
  <si>
    <t xml:space="preserve">19.510.124/0001-45 </t>
  </si>
  <si>
    <t>D E F CURSOS PROFISSIONALIZANTES LTDA ME</t>
  </si>
  <si>
    <t>ENVIADO EM 28/04/2022.</t>
  </si>
  <si>
    <t>ENVIADO EM 05/05/2022.</t>
  </si>
  <si>
    <t>Diante da ausência de documentação para embasar o ajuizamento.</t>
  </si>
  <si>
    <t>JÁ EXISTE PROCESSO DA MOVEEDU COBRANDO ESSES VALORES, SOLICITAMOS A DEVOLUÇÃO.</t>
  </si>
  <si>
    <t>ENVIADO EM 12/05/2022.</t>
  </si>
  <si>
    <t>MC CURSOS PROFISSIONALIZANTES LTDA</t>
  </si>
  <si>
    <t>L M L CURSOS PREPARATORIOS LTDA</t>
  </si>
  <si>
    <t>LDS CURSOS DE APRENDIZAGEM, TREINAMENTO GERENCIAL E PROF.</t>
  </si>
  <si>
    <t>ATUATI PREPARA CURSOS EIRELI</t>
  </si>
  <si>
    <t>VIP TREINAMENTOS E COMERCIO EIRELI</t>
  </si>
  <si>
    <t>SETE INFO TREINAMENTO DE INFORMATICA LTDA</t>
  </si>
  <si>
    <t>CEEP - CENTRO DE EDUCACAO PROFISSIONAL LTDA</t>
  </si>
  <si>
    <t>LUMADIAS CURSOS QUALIFICACAO PROFISSIONAL E CONSULTORIA</t>
  </si>
  <si>
    <t>N H ESCOLA DE TREINAMENTO LTDA</t>
  </si>
  <si>
    <t>MENDES EDUCACAO PROFISSIONAL LTDA</t>
  </si>
  <si>
    <t>CLAUDIO DAISHONIN SAUNDERS FLORENCIA</t>
  </si>
  <si>
    <t>INSTITUICAO DE ENSINO ARCANJOS LTDA</t>
  </si>
  <si>
    <t>NAJILA SOUZA DA ROCHA</t>
  </si>
  <si>
    <t>ALBERTINO RODRIGUES DA CUNHA NETO FI LTDA</t>
  </si>
  <si>
    <t>INSTITUTO EDUCACIONAL DE BATAGUASSU LTDA</t>
  </si>
  <si>
    <t>JIREH CENTRO EDUCACIONAL E PROFISSIONALIZANTE UNIPESSOAL</t>
  </si>
  <si>
    <t>RAMALHO E CATAO LTDA</t>
  </si>
  <si>
    <t>SEMEAR EDUCACAO PINDAMONHANGABA LTDA</t>
  </si>
  <si>
    <t>JRS CURSOS LTDA</t>
  </si>
  <si>
    <t>ALCANCE FORMACAO PROFISSIONAL E IDIOMAS LTDA</t>
  </si>
  <si>
    <t>KAIO HENRIQUE DE PAULA COSTA</t>
  </si>
  <si>
    <t>REALIZAR PRESIDENTE PRUDENTE PROFISSOES, IDIOMAS E COMERCIO</t>
  </si>
  <si>
    <t>PREPARA CURSOS ATUATI LTDA</t>
  </si>
  <si>
    <t>EBENEZER FIAES CURSOS PROFISSIONALIZANTES LTDA</t>
  </si>
  <si>
    <t>PG ENSINO PROFISSIONALIZANTE LTDA</t>
  </si>
  <si>
    <t>ARIANA SANTOS DAS CHAGAS</t>
  </si>
  <si>
    <t>CLG PROGRAMAS EDUCACIONAIS LTDA</t>
  </si>
  <si>
    <t>M V FORMACAO DE NIVEL TECNICO JUAZEIRO LTDA</t>
  </si>
  <si>
    <t>CENTRO EDUCACIONAL SOSSEGO DA MAMAE  LTDA - ME</t>
  </si>
  <si>
    <t>ENVIADO EM 16/05/2022.</t>
  </si>
  <si>
    <t>REENVIADO EM 12/05/2022.</t>
  </si>
  <si>
    <t>AGUARDO GISLAINE SOBRE CHEQUES (OUTRA UNIDADE DO RODRIGO É A CTM)</t>
  </si>
  <si>
    <t>ACORDO EFETUADO.</t>
  </si>
  <si>
    <t>ENVIADO EM 01/06/2022.</t>
  </si>
  <si>
    <t>ENVIADO EM 02/06/2022.</t>
  </si>
  <si>
    <t>ENVIADO EM 03/06/2022.</t>
  </si>
  <si>
    <t>ENVIADO EM 06/06/2022.</t>
  </si>
  <si>
    <t>G2 EDUCACAO - EIRELI</t>
  </si>
  <si>
    <t>A P L DOURADO CENTRO DE TREINAMENTOS - ME</t>
  </si>
  <si>
    <t>BRASIL PROFISSOES E ESTAGIOS LTDA</t>
  </si>
  <si>
    <t>E.G. RIZZATTO &amp; CIA LTDA</t>
  </si>
  <si>
    <t>SALTO PRODUTOS E SERVICOS EDUCACIONAIS LTDA</t>
  </si>
  <si>
    <t>EXPRESSAO CURSOS PROFISSIONALIZANTES LTDA</t>
  </si>
  <si>
    <t>DIOVANA DIESEL E TERESINHA H. CITADELLA LTDA</t>
  </si>
  <si>
    <t>CENTRO DE APOIO E COMPLEMENTO ESCOLAR CARLA CECCHIN LTDA</t>
  </si>
  <si>
    <t>D DE G SANTOS</t>
  </si>
  <si>
    <t>POLYANNA DE AGUIAR ROMANINI BOMBARDE 33838581890</t>
  </si>
  <si>
    <t>DIMITHRIUS DE ARAÚJO SIQUEIRA</t>
  </si>
  <si>
    <t>TRAINER CURSO DE INFORMATICA  EIRELI</t>
  </si>
  <si>
    <t>LS CURSOS PROFISSIONALIZANTES LTDA</t>
  </si>
  <si>
    <t>ENVIADO EM 08/11/2021 08:57, mandei novamente em 22/06/22.</t>
  </si>
  <si>
    <t>ENVIADO EM 29/06/2022.</t>
  </si>
  <si>
    <t>42.009.524/0001-93</t>
  </si>
  <si>
    <t>MARSUPIAL ENSINO E COMERCIO DE LIVROS LTDA</t>
  </si>
  <si>
    <t>B. P. CHIES-ME</t>
  </si>
  <si>
    <t>CAMPOS DESENVOLVIMENTO PROFISSIONAL LTDA</t>
  </si>
  <si>
    <t>051.809.796-09</t>
  </si>
  <si>
    <t>TELMA DIOGO DA SILVA</t>
  </si>
  <si>
    <t>PERUS EDUCATION LTDA</t>
  </si>
  <si>
    <t>JI PARANA FORMACAO PROFISSIONAL LTDA</t>
  </si>
  <si>
    <t>NAJILA SOUZA DA ROCHA &amp; CIA LTDA</t>
  </si>
  <si>
    <t>MAURICIO DE FRANCA FELIX</t>
  </si>
  <si>
    <t>45.032.558/0001-97</t>
  </si>
  <si>
    <t>CENTRO EDUCACIONAL TM PRAIA DE BELAS LTDA</t>
  </si>
  <si>
    <t>36.582.597/0001-77</t>
  </si>
  <si>
    <t>ANDRESSA T CARDOZO REFORCO ESCOLAR</t>
  </si>
  <si>
    <t>NIVEL 1 CURSOS E MEDICINA INTEGRADA LTDA</t>
  </si>
  <si>
    <t>ENVIADO EM 03/08/2022.</t>
  </si>
  <si>
    <t>VINICIUS MARQUES ABDALA-ME</t>
  </si>
  <si>
    <t>FRANQUIA MICROLINS DE CAMPINA GRANDE DO SUL LTDA</t>
  </si>
  <si>
    <t>BASSO APOIO ESCOLAR CENTER IJUI LTDA</t>
  </si>
  <si>
    <t>CAGNIN &amp; MOREIRA LTDA</t>
  </si>
  <si>
    <t>DEBORA CRISTINA WINCLER MACHADO 28737706861</t>
  </si>
  <si>
    <t>COLATINA PROGRAMAS EDUCACIONAL LTDA</t>
  </si>
  <si>
    <t>OK TÍTULOS BAIXADOS.</t>
  </si>
  <si>
    <t>BAIXAS REALIZADAS</t>
  </si>
  <si>
    <t>PERFORMAR PIMENTAS ESCOLA PROFISSIONALIZANTE LTDA</t>
  </si>
  <si>
    <t>HOPE SERVICOS EDUCACIONAIS LTDA</t>
  </si>
  <si>
    <t>CENFOUR PARELHEIROS COMERCIO E SERVICO DE INFORMATICA LTDA</t>
  </si>
  <si>
    <t>283.538.462-68</t>
  </si>
  <si>
    <t>JOSUE SHOCKNESS</t>
  </si>
  <si>
    <t>ILC INFORMATICA E CURSOS LTDA</t>
  </si>
  <si>
    <t>SAO FRANCISCO DO ITABAPOANA DESENVOLVIMENTO PROFISSIONALLTDA</t>
  </si>
  <si>
    <t>NFB CURSOS E TREINAMENTOS LTDA</t>
  </si>
  <si>
    <t>JAM TREINAMENTOS JOSE BONIFACIO LTDA</t>
  </si>
  <si>
    <t>JAKELINE GREYKELLE DE OLIVEIRA GRASER-ME</t>
  </si>
  <si>
    <t>ESCOLA MAIS GOIOERE LTDA</t>
  </si>
  <si>
    <t>T2PAR SERVICOS EDUCACIONAIS LTDA</t>
  </si>
  <si>
    <t>A &amp; T SERVICOS EDUCACIONAIS LTDA</t>
  </si>
  <si>
    <t>ESCOLA EDUCACIONAL E APOIO PEDAGOGICO MILANI E PAVANELLI LTD</t>
  </si>
  <si>
    <t>CACHOEIRINHA CURSOS  PROFISSIONALIZANTES LTDA</t>
  </si>
  <si>
    <t>ENVIADO EM 12/09/2022.</t>
  </si>
  <si>
    <t>Baixa realizada - Vitória, 26/09.</t>
  </si>
  <si>
    <t>EDMILSON GOMES PEREIRA - MC0359</t>
  </si>
  <si>
    <t>EDMILSON GOMES PEREIRA - MC0336</t>
  </si>
  <si>
    <t>ENVIADO EM 14/07/2022. É SOS, E AINDA ESTÁ ATIVA. Retirada do funil.</t>
  </si>
  <si>
    <t>CENTRO DE FORMACAO  PROFISSIONAL DIAS ROMAO LTDA</t>
  </si>
  <si>
    <t>851 SCPC INCLUSAO</t>
  </si>
  <si>
    <t>VITA DESENVOLVIMENTO PROFISSIONAL LTDA</t>
  </si>
  <si>
    <t>CHARLYE BARROS DE LIMA - ME</t>
  </si>
  <si>
    <t>UNIDADE DE APOIO EDUCACIONAL DE FEIRA DE SANTANA LTDA</t>
  </si>
  <si>
    <t>47.967.809/0001-50</t>
  </si>
  <si>
    <t>ELIMACIL QUALIFICACAO E IDIOMAS LTDA</t>
  </si>
  <si>
    <t>40.922.710/0001-93</t>
  </si>
  <si>
    <t>LUCIANA DIAS DE OLIVEIRA MELO</t>
  </si>
  <si>
    <t>INTEL DESENVOLVIMENTO PROFISSIONAL LTDA</t>
  </si>
  <si>
    <t>MPR DESENVOLVIMENTO PROFISSIONAL LTDA</t>
  </si>
  <si>
    <t>46.695.245/0001-81</t>
  </si>
  <si>
    <t>ILDECI FERREIRA LOPES-ME</t>
  </si>
  <si>
    <t>DIOGO OLIVEIRA MARQUES MOREIRA</t>
  </si>
  <si>
    <t>JANAINA LISBOA DE CASTRO VAZ</t>
  </si>
  <si>
    <t>ALICE &amp; RAFAEL PROGRAMAS EDUCACIONAIS LTDA</t>
  </si>
  <si>
    <t>L R CAMPOS SERVICOS EDUCACIONAIS LTDA</t>
  </si>
  <si>
    <t>CHRISTIAN DE PAULA SILVA</t>
  </si>
  <si>
    <t>DATA DISTRIBUIÇÃO</t>
  </si>
  <si>
    <r>
      <t xml:space="preserve">ENVIADO EM 09/03/2022. </t>
    </r>
    <r>
      <rPr>
        <sz val="11"/>
        <color rgb="FFFF0000"/>
        <rFont val="Calibri"/>
        <family val="2"/>
        <scheme val="minor"/>
      </rPr>
      <t>Unidade FLEX - Aguarda baixa dos títulos da EM, 11/10.</t>
    </r>
  </si>
  <si>
    <t>ENVIADO EM 28/03/2022. Débito posterior às atividades da unidade (baixa de todos os débitos - 16/11/2018 até 22/07/2019.</t>
  </si>
  <si>
    <t>MC0354</t>
  </si>
  <si>
    <t xml:space="preserve">EDMILSON GOMES PEREIRA -  MC0363 </t>
  </si>
  <si>
    <t xml:space="preserve"> </t>
  </si>
  <si>
    <t xml:space="preserve">ENVIADO EM 01/09/2022. </t>
  </si>
  <si>
    <t>LAPA CURSOS  PROFISSIONALIZANTES LTDA</t>
  </si>
  <si>
    <t>DIENE DO N C LIMA ENSINO DE INFORMATICA - ME</t>
  </si>
  <si>
    <t>C G CELEDONIO TREINAMENTOS E INTERMEDIACAO EM  DESENVOLVIMEN</t>
  </si>
  <si>
    <t>ARAXA CURSOS E TREINAMENTOS LTDA</t>
  </si>
  <si>
    <t>MICROLINS INATIVOS</t>
  </si>
  <si>
    <t>A G ENSINO PROFISSIONALIZANTE LTDA</t>
  </si>
  <si>
    <t>KALEBE DE MORAES ALVES</t>
  </si>
  <si>
    <t>MERAKI EDUCACIONAL E PROFISSIONAL COMERCIO DE MATERIAL DIDAT</t>
  </si>
  <si>
    <t>EGCA CURSOS DE IDIOMAS TECNICOS PROFISSIONALIZANTES E LIVRAR</t>
  </si>
  <si>
    <t>ANGELA DI MUZIO ALMEIDA MARTINS</t>
  </si>
  <si>
    <t>CENTRO DE FORMACAO PROFISSIONAL DIAS LTDA</t>
  </si>
  <si>
    <t>PEOPLE INATIVOS</t>
  </si>
  <si>
    <t>CEDP CENTRO DE DESENVOLVIMENTO PROFISSIONAL LTDA</t>
  </si>
  <si>
    <t>WALESKA ROBERTA SOARES CAPELO-ME</t>
  </si>
  <si>
    <t>GENIVALDO LUIZ SANTOS DE JESUS</t>
  </si>
  <si>
    <t>ENVIADO EM 23/03/2022. "A cobrança será ajuizada pelo outro escritório conforme diretriz da Dra. Ana em email enviado para colega Paula".</t>
  </si>
  <si>
    <t xml:space="preserve"> Parecer favorável, entretanto, os débitos são controversos, sem qualquer registrio no sistema que comprove a atividade da unidade. Não restam débitos ajuizáveis. (análise realizada pelo Dep. Judicial).</t>
  </si>
  <si>
    <t>EDMILSON GOMES PEREIRA - MC0234. Solicitada autorização para baixa, 21/11.. O devedor recebeu notificação assinada pela credora declarando como valor dos débitos em aberto "R$ 0,00" no fechamento da escola e comprovou com ata notarial e fotos o encerramento da unidade</t>
  </si>
  <si>
    <t>ENVIADO EM 17/06/2022.(Execução)</t>
  </si>
  <si>
    <t>Monitória. Aguarda valor da ação.</t>
  </si>
  <si>
    <t>27.471.444/0001-83</t>
  </si>
  <si>
    <t xml:space="preserve">ENVIADO EM 31/08/2022. </t>
  </si>
  <si>
    <t xml:space="preserve">ENVIADO EM 12/07/2022. </t>
  </si>
  <si>
    <t>ANZ CENTRO DE EDUCACAO PROFISSIONAL EVENTOS E APOIO ESCOLAR</t>
  </si>
  <si>
    <t>CMRP EDUCACIONAL EIRELI</t>
  </si>
  <si>
    <t>EADISTANCIA SISTEMA DE ENSINO LTDA - ME</t>
  </si>
  <si>
    <t>CENFOUR PARAISOPOLIS COMERCIO E SERVICO DE INFORMATICA LTDA</t>
  </si>
  <si>
    <t>BEATRIZ FERREIRA PRATA</t>
  </si>
  <si>
    <t>G.PEREIRA &amp; CIA LTDA- ME</t>
  </si>
  <si>
    <t>MASTER TREINAMENTOS PROFISSIONAIS LTDA</t>
  </si>
  <si>
    <t>ESCOLA DE CURSOS PROFISSIONALIZANTE PRIME LTDA</t>
  </si>
  <si>
    <t>MACR CURSOS E TREINAMENTOS LTDA</t>
  </si>
  <si>
    <t>MIRIAM &amp; MOURA INFORMATICA LTDA</t>
  </si>
  <si>
    <t>S2Z CURSOS PROFISSIONALIZANTES LTDA</t>
  </si>
  <si>
    <t>BASSO EDUCACIONAL LTDA</t>
  </si>
  <si>
    <t>ESCOLA DE CURSOS PROFISSIONALIZANTES LEBOUTTE LTDA</t>
  </si>
  <si>
    <t>INCENTIVA RH - CENTRO DE DESENVOLVIMENTO LTDA</t>
  </si>
  <si>
    <t>MARIA HELENA TEIXIERA DA COSTA</t>
  </si>
  <si>
    <t>T.J.E. COMERCIO E CURSOS PROFISSIONALIZANTES LTDA</t>
  </si>
  <si>
    <t>NATHALIA ROSA ROSSATO-ME</t>
  </si>
  <si>
    <t>ADRIANA GABRIEL DE OLIVEIRA MARQUES</t>
  </si>
  <si>
    <t>W N CURSOS LTDA</t>
  </si>
  <si>
    <t>GEF EDUCACIONAL FERNANDES EDUCACAO TREINAMENTO E GESTAO EMPR</t>
  </si>
  <si>
    <t>ANCHIETA CURSOS E TREINAMENTOS LTDA</t>
  </si>
  <si>
    <t>T W B TRINAMENTO PROFISSIONAL LTDA</t>
  </si>
  <si>
    <t>PROLO E BOSQUETTE LTDA</t>
  </si>
  <si>
    <t>CENTRO DE EXCELENCIA E QUALIDADE DE VIDA</t>
  </si>
  <si>
    <t>YOHANE ANDRADE ALVES</t>
  </si>
  <si>
    <t>PREPARA CURSOS LIMITADA</t>
  </si>
  <si>
    <t>LIMA &amp; LIMA CURSOS LIVRES LTDA</t>
  </si>
  <si>
    <t>SFS PARAUAPEBAS LTDA</t>
  </si>
  <si>
    <t>CENFOUR TECNOLOGIA E EDUCACAO CO LTDA</t>
  </si>
  <si>
    <t>SEMEAR EDUCACAO POA LTDA</t>
  </si>
  <si>
    <t>MUNIZ FREIRE CURSOS E TREINAMENTOS LTDA</t>
  </si>
  <si>
    <t>443.415.948-85</t>
  </si>
  <si>
    <t>LIGIA HELENA DE OLIVEIRA PANZA</t>
  </si>
  <si>
    <t>RHONEY SILVA FERREIRA DE CARVALHO</t>
  </si>
  <si>
    <t>BRUNA CARVALHO DOS SANTOS</t>
  </si>
  <si>
    <t>ENVIADO EM 16/01/2023. PR0141</t>
  </si>
  <si>
    <t xml:space="preserve">ENVIADO EM 24/03/2022. Aguarda cópa dos cheques (Taxa de Franquia) da Gislaine, 27/01/2023 </t>
  </si>
  <si>
    <t>19.960.001/0001-18</t>
  </si>
  <si>
    <t>ENVIADO EM 30/01/2023. PR0170</t>
  </si>
  <si>
    <t>ENVIADO EM 27/01/2023. EM0376</t>
  </si>
  <si>
    <t>ENVIADO EM 09/01/2023. PR0020. Baixa. Não foram localizados os cheques.</t>
  </si>
  <si>
    <t>GONZALES &amp; RIBEIRO LTDA ME</t>
  </si>
  <si>
    <t xml:space="preserve">ENVIADO EM 20/01/2023. PR0260. </t>
  </si>
  <si>
    <t xml:space="preserve">ENVIADO EM 12/12/2022. PR0079.  </t>
  </si>
  <si>
    <t xml:space="preserve">ENVIADO EM 23/11/2022. PR0292. </t>
  </si>
  <si>
    <t xml:space="preserve">ENVIADO EM 11/11/2022. Débitos prescreveram. </t>
  </si>
  <si>
    <t xml:space="preserve">ENVIADO EM 09/01/2023. PR0595 - Razão Social Correta "CENTRO DE FORMAÇÃO PROFISSIONALIZANTE LTDA-ME. </t>
  </si>
  <si>
    <t>ENVIADO EM 17/08/2022. Cheque não possui carimbo de devolução. Solicitei autorização ao Marcelo para baixa 23/02/23.</t>
  </si>
  <si>
    <t>EDUCA ACAO CENTRO DE FORMACAO PROFISSIONAL LTDA</t>
  </si>
  <si>
    <t>M S DE ARRUDA JUNIOR-ME</t>
  </si>
  <si>
    <t>MORATO EDUCADORA COM. DE MAT. DIDATICO LTDA</t>
  </si>
  <si>
    <t>CARANGOLA CURSOS E TREINAMENTOS LTDA</t>
  </si>
  <si>
    <t>CAPACITA CURSOS PROFISSIONALIZANTES LTDA</t>
  </si>
  <si>
    <t>C G ENSINO PROFISSIONALIZANTE E IDIOMAS LTDA</t>
  </si>
  <si>
    <t>M. I. FALCAO TAVEIRA CURSOS - ME</t>
  </si>
  <si>
    <t>TB PROGRAMAS EDUCACIONAIS LTDA</t>
  </si>
  <si>
    <t>D.C.MARTINS - ME</t>
  </si>
  <si>
    <t>CENTRO DE IDIOMAS E RECREACAO SEMENTINHA LTDA</t>
  </si>
  <si>
    <t>VELOSO E VIEIRA TREINAMENTO EM INFORMATICA LTDA</t>
  </si>
  <si>
    <t>LEANDRO M DOS SANTOS CURSOS EM INFORMATICA - ME</t>
  </si>
  <si>
    <t>PRO CURSOS TOLEDO LTDA</t>
  </si>
  <si>
    <t>GOMES SEVICOS DE ENSINO PROFISIONALIZANTE LTDA</t>
  </si>
  <si>
    <t>MILANI &amp; MILANI INFORMATICA CURSOS LIVRES LTDA</t>
  </si>
  <si>
    <t>J.M.T. OLIMPIA COMERCIO E SERVICOS  EDUCACIONAIS LTDA</t>
  </si>
  <si>
    <t>C DE SA DANTAS ARAUJO CURSOS E TREINAMENTOS</t>
  </si>
  <si>
    <t>THES SERVICOS EDUCACIONAIS LTDA</t>
  </si>
  <si>
    <t>JULIO EMILIO LIMA DE ARAUJO</t>
  </si>
  <si>
    <t>ROGERIO ROMAN POZO</t>
  </si>
  <si>
    <t>JULIANA PEDROSO FLORES - ME</t>
  </si>
  <si>
    <t>AF ATIVIDADE EDUCACIONAL LTDA</t>
  </si>
  <si>
    <t>RODRIGUES &amp; RIGUETO LTDA</t>
  </si>
  <si>
    <t>LUIZ CARLOS CHERAIN JUNIOR</t>
  </si>
  <si>
    <t>PAOLA RAFAELA PIZONI LTDA</t>
  </si>
  <si>
    <t>SHEILA CRISTINA VENCESLAU MOTA</t>
  </si>
  <si>
    <t>NEUBER WILLIAM ROSA</t>
  </si>
  <si>
    <t>36.562.622/0001-50</t>
  </si>
  <si>
    <t>ART CRIS TREINAMENTOS E DESENVOLVIMENTOS LTDA</t>
  </si>
  <si>
    <t>CENTRO TECNICO PROFISSIONAL DA PITUBA LTDA</t>
  </si>
  <si>
    <t>CARLA MONIQUE DE LUCENA GOES 33568207885</t>
  </si>
  <si>
    <t>ECLIP RIO PRETO ESCOLA DE CURSOS LIVRES IDIOMAS E PROFISSION</t>
  </si>
  <si>
    <t>Ação executiva</t>
  </si>
  <si>
    <t>ENVIADO EM 14/03/2023. PR1134</t>
  </si>
  <si>
    <t>16.56.939/0002-81</t>
  </si>
  <si>
    <t>Monitória.</t>
  </si>
  <si>
    <t xml:space="preserve">ENVIADO EM 21/03/2023. PR0142 </t>
  </si>
  <si>
    <t>ENVIADO EM 27/03/2023. PR1104</t>
  </si>
  <si>
    <t>ENVIADO EM 28/03/2023. PR1140</t>
  </si>
  <si>
    <t>Ajuizada monitória em face de THATIANA RODRIGUES DA COSTA</t>
  </si>
  <si>
    <t>ENVIADO EM 09/01/2023. Ajuizada Execução (Renan Schichi Fonseca e Ivana Schichi Fonseca)</t>
  </si>
  <si>
    <t>ENVIADO EM 26/04/2023. PR0298</t>
  </si>
  <si>
    <t>ENVIADO EM 26/04/2023. PR0244</t>
  </si>
  <si>
    <t>393.745.556-200</t>
  </si>
  <si>
    <t>EDMILSON GOMES PEREIRA - MC0190 -Comprovantes solicitados (Micheli -&gt; Ariane) a base entregadora (comprovantes de entrega. Nf's 16535, 16906, 17697 e 18241 - 05/09). Reiterado em 05/12. Solicitada diretriz ao Marcelo, 27/04.</t>
  </si>
  <si>
    <t>ENVIADO EM 05/05/2023. EM0242 (possui chave MC0450 tbm)</t>
  </si>
  <si>
    <t>ENVIADO EM 15/05/2023. PR0279</t>
  </si>
  <si>
    <t>ENVIADO EM 28/04/2022. Execução</t>
  </si>
  <si>
    <t>ENVIADO EM 31/05/2023. PR0981</t>
  </si>
  <si>
    <t>ENVIADO EM 09/06/2023. PR0798</t>
  </si>
  <si>
    <t>AGUARDA PARECER MARCA</t>
  </si>
  <si>
    <t>AGUARDA PARECER FINANCEIRO</t>
  </si>
  <si>
    <t>AGUARDA PARECER JURÍDICO</t>
  </si>
  <si>
    <t xml:space="preserve">EMVIADO EM 16.01.2023. Ajuizada ação monitória </t>
  </si>
  <si>
    <t>ENVIADO EM 11/07/2023. PR1099. Prepara</t>
  </si>
  <si>
    <t>MORAES TREINAMENTO EM INFORMATICA LTDA</t>
  </si>
  <si>
    <t>FERNANDES AZEVEDO TREINAMENTOS LTDA</t>
  </si>
  <si>
    <t>CIEFP CENTRO DE INTEGRACAO E FORMACAO PROFISSIONAL LTDA</t>
  </si>
  <si>
    <t>DIDATIK EDUCADORA ENSINO PROFISSIONALIZANTE LTDA</t>
  </si>
  <si>
    <t>J OLIVEIRA DA SILVA - ME</t>
  </si>
  <si>
    <t>DANIEL DA SILVA PRUDENCIO - ME</t>
  </si>
  <si>
    <t>SANTA MARIA CURSOS E TREINAMENTOS LTDA</t>
  </si>
  <si>
    <t>L.F - CENTRO DE FORMACAO PROFISSIONAL LTDA</t>
  </si>
  <si>
    <t>RESOLUTTE DESENVOLVIMENTO GERENCIAL LTDA</t>
  </si>
  <si>
    <t>PROFI TREINAMENTO GERENCIAL E PROFISSIONAL LTDA</t>
  </si>
  <si>
    <t>PAZ CURSOS E TREINAMENTOS LTDA</t>
  </si>
  <si>
    <t>F E E CURSOS E TREINAMENTOS LTDA</t>
  </si>
  <si>
    <t>ALEIXO LTDA</t>
  </si>
  <si>
    <t>SRE FORMACAO PROFISSIONAL LTDA</t>
  </si>
  <si>
    <t>RODRIGO VICARI - ME</t>
  </si>
  <si>
    <t>ALR CURSOS DE IDIOMAS E TECNICOS PROFISSIONALIZANTES, LIVRAR</t>
  </si>
  <si>
    <t>EM DESENVOLVIMENTO EM EDUCACAO PROFISSIONAL LTDA</t>
  </si>
  <si>
    <t>CRISTIANO DE JESUS SANTOS - ME</t>
  </si>
  <si>
    <t>PAULO FERNANDES DE SOUZA BARBOZA CARAN</t>
  </si>
  <si>
    <t>ELCIO C. DE LIMA INFORMATICA</t>
  </si>
  <si>
    <t>AGUINALDO FERNANDES VIEIRA</t>
  </si>
  <si>
    <t>CACOAL FORMACAO PROFISSIONAL LTDA</t>
  </si>
  <si>
    <t>GOIATUBA CENTRO DE FORMACAO PROFISSIONAL LTDA</t>
  </si>
  <si>
    <t>ROCKET CENTRO DE ENSINO LTDA</t>
  </si>
  <si>
    <t>AMARAL TREINAMENTOS E RECURSOS HUMANOS LTDA</t>
  </si>
  <si>
    <t>VINICIUS PLUG SOCIAL</t>
  </si>
  <si>
    <t>TRES RIOS DESENVOLVIMENTO PROFISSIONAL LTDA</t>
  </si>
  <si>
    <t>FLORESCER APRENDIZAGEM E CONHECIMENTO LTDA</t>
  </si>
  <si>
    <t>S M A CURSOS PROFISSIONALIZANTES LTDA</t>
  </si>
  <si>
    <t>HAYRA GABRIELE MOURA ZILIOTTO LTDA</t>
  </si>
  <si>
    <t>COMPLEMENTO ESCOLAR MARTINS LTDA</t>
  </si>
  <si>
    <t>SEVEN EDUCACIONAL</t>
  </si>
  <si>
    <t>CRESCER E APRENDER LTDA</t>
  </si>
  <si>
    <t>SEMEAR TM MOGI DAS CRUZES FC LTDA</t>
  </si>
  <si>
    <t>DUARA CURSOS E TREINAMENTOS LTDA</t>
  </si>
  <si>
    <t>CONQUISTE JA EDUCACAO PROFISISONAL E R. H. LTDA.</t>
  </si>
  <si>
    <t>REALIZE EDUCACAO PROFISSIONAL E R. H. LTDA</t>
  </si>
  <si>
    <t>DANILO RESENDE ALMEIDA-ME</t>
  </si>
  <si>
    <t>LOPES &amp; TITO CURSOS PROFISSIONALIZANTES LTDA</t>
  </si>
  <si>
    <t>CJ TREINAMENTO LTDA</t>
  </si>
  <si>
    <t>UNITEC CENTRO CULTURAL LTDA</t>
  </si>
  <si>
    <t>F1 VALE LTDA</t>
  </si>
  <si>
    <t>BJ FORMACAO PROFISSIONAL LTDA</t>
  </si>
  <si>
    <t>INOVACAO EDUCACIONAL LTDA</t>
  </si>
  <si>
    <t>NAHIMAN GOBBO GUIDO SALLES SOUZA ENSINO DE IDIOMAS</t>
  </si>
  <si>
    <t>EBPTE CURSOS E TREINAMENTOS LTDA</t>
  </si>
  <si>
    <t>SANTO ANTONIO DE PADUA CURSOS E TREINAMENTOS LTDA</t>
  </si>
  <si>
    <t>SANTANA E FRANCELINO LTDA</t>
  </si>
  <si>
    <t>ALINE MARTINS VERA GODELA</t>
  </si>
  <si>
    <t>CAMARGO &amp; PEREIRA APOIO ESCOLAR LTDA</t>
  </si>
  <si>
    <t>ALMEIDA INOVACAO EM EDUCACAO LTDA</t>
  </si>
  <si>
    <t>REZENDE &amp; CAMARGO ENSINO LTDA</t>
  </si>
  <si>
    <t>CENTRO EDUCACIONAL TRANSFORMACAO LTDA</t>
  </si>
  <si>
    <t>DEBORA CRISTINA RETUCI</t>
  </si>
  <si>
    <t>RITA DAIANA NEIS</t>
  </si>
  <si>
    <t>E K PIMENTEL DA SILVA LTDA</t>
  </si>
  <si>
    <t>F&amp;P TREINAMENTOS LTDA</t>
  </si>
  <si>
    <t>DENISE DE MENEZES PRATES</t>
  </si>
  <si>
    <t>WELLINGTON GUSTAVO FERNANDES DE MENEZES</t>
  </si>
  <si>
    <t>GF ENSINO PROFISSIONALIZANTE LTDA</t>
  </si>
  <si>
    <t>FOCUS CENTRO EDUCACIONAL E PROFISSIONALIZANTE LTDA</t>
  </si>
  <si>
    <t>CUNHA &amp; CHAGAS ORGANIZACAO LTDA</t>
  </si>
  <si>
    <t>RAFAELA MACEDO PAIVA DE VASCONCELOS THURY</t>
  </si>
  <si>
    <t>PEDRA CENTRO DE FORMACAO PROFISSIONAL LTDA</t>
  </si>
  <si>
    <t>PEONY EDUCACIONAL COMERCIO DE MATERIAL DIDATICO LTDA</t>
  </si>
  <si>
    <t>MUTUM CURSOS &amp; TREINAMENTOS LTDA</t>
  </si>
  <si>
    <t>ENSINA MAIS VARGEM GRANDE PAULISTA LTDA</t>
  </si>
  <si>
    <t>N. N. FERNANDES LTDA</t>
  </si>
  <si>
    <t>DIVERTEAMENTE COMPLEMENTO ESCOLAR LTDA</t>
  </si>
  <si>
    <t>Monitória</t>
  </si>
  <si>
    <t>ENVIADO EM 01/04/2022. Execução</t>
  </si>
  <si>
    <t>ENVIADO EM 16/11/2022. PR0297</t>
  </si>
  <si>
    <t>ENVIADO EM 25/08/2023. PR1059</t>
  </si>
  <si>
    <t>ENVIADO EM 22/07/2022. Aguarda baixa, 05/09</t>
  </si>
  <si>
    <t>SEMEAR EDUCACAO SAO ROQUE LTDA</t>
  </si>
  <si>
    <t>LMS EDUCACIONAL LTDA</t>
  </si>
  <si>
    <t>JR. CURSOS PROFISSIONALIZANTES LTDA</t>
  </si>
  <si>
    <t>BGKSJ TECNOLOGIA EM DESENVOLVIMENTO PESSOAL LTDA</t>
  </si>
  <si>
    <t>VERUSCHKA COELHO BRUNO BACELAR-ME</t>
  </si>
  <si>
    <t>C &amp; S TREINAMENTO EM DESENVOLVIMENTO PROFISSIONAL E GERENCIA</t>
  </si>
  <si>
    <t>AVANCE EDUCACAO PROFISSIONAL LTDA</t>
  </si>
  <si>
    <t>TERESA CRISTINA DE SOUZA</t>
  </si>
  <si>
    <t>CORE SISTEMA EDUCACIONAL LTDA</t>
  </si>
  <si>
    <t>EDUARDO FELIPE DE LOURDES OLIVEIRA</t>
  </si>
  <si>
    <t>MARCELO MIRANDA</t>
  </si>
  <si>
    <t>ANDRESSA RIBEIRO BRISOLA</t>
  </si>
  <si>
    <t>RDN TREINAMENTOS E DESENVOLVIMENTO PROFISSIONAL LTDA</t>
  </si>
  <si>
    <t>ENVIADO EM 02/06/2023. PR0294.  PR0629. ACORDO EXTRAJUDICIAL - TERMO DE QUITAÇÃO (pago em 27/09/2023)</t>
  </si>
  <si>
    <t>ENVIADO EM 02/06/2023. PR0629. ACORDO EXTRAJUDICIAL - TERMO DE QUITAÇÃO (pago em 27/09/2023)</t>
  </si>
  <si>
    <t>ENVIADO EM 13/02/2023. EM0261. Monitória</t>
  </si>
  <si>
    <t>ENVIADO EM 21/03/2023. PR0142. Monitória</t>
  </si>
  <si>
    <t>ENVIADO EM 19/10/2023. PR0102</t>
  </si>
  <si>
    <t>ENVIADO EM 23/10/2023. PG0032</t>
  </si>
  <si>
    <t>ENVIADO EM 24/10/2023. PR0330</t>
  </si>
  <si>
    <t>ENVIADO EM 03/11/2023. PR0550</t>
  </si>
  <si>
    <t>ENVIADO EM 24/05/2023. PR0906</t>
  </si>
  <si>
    <t>ENVIADO EM 05/09/2023. PG0036. Baixa?</t>
  </si>
  <si>
    <t>ENVIADO EM 17/07/2023. PR0826 (Celso Alexandre Moreira)</t>
  </si>
  <si>
    <t>Parecer reenviado EM 25/10/2023</t>
  </si>
  <si>
    <t>ENVIADO EM 23/10/2023. PR0535. Desfavorável</t>
  </si>
  <si>
    <t>ENVIADO EM 06/02/2024 - PR0807</t>
  </si>
  <si>
    <t xml:space="preserve">ENVIADO EM 06/02/2024. PR1057 - multa de 150k  suspensa internamente </t>
  </si>
  <si>
    <t>ENVIADO EM 07/02/2024. PR0705</t>
  </si>
  <si>
    <t>CTM CURSOS PROFISSIONALIZANTES LTDA</t>
  </si>
  <si>
    <t>THIAGO DA SILVA TOIGO</t>
  </si>
  <si>
    <t>ENVIADO EM 14/02/2024. PR0222</t>
  </si>
  <si>
    <t>ENVIADO EM 26/02/2024. PR0842</t>
  </si>
  <si>
    <t>1054440-15.2021.8.26.0576</t>
  </si>
  <si>
    <t>1060118-11.2021.8.26.0576</t>
  </si>
  <si>
    <t>ENVIADO EM 15/03/2024. PR0857 - Devedor não é a PJ</t>
  </si>
  <si>
    <t>ENVIADO EM 04/04/2024. PR1080</t>
  </si>
  <si>
    <t>ENVIADO EM 10/04/2024. PR0268</t>
  </si>
  <si>
    <t>ENVIADO EM 17/04/2024 *aguarda procuração</t>
  </si>
  <si>
    <t>ENVIADO EM 23/04/2024. EM0570. TXAF</t>
  </si>
  <si>
    <t>ENVIADO EM 16/05/2024. EM0127</t>
  </si>
  <si>
    <t>ENVIADO EM 16/05/2024. PR0949</t>
  </si>
  <si>
    <t>NOME</t>
  </si>
  <si>
    <t>INTERFOCUS FRIBURGO CAP.PROF. E INF. LTDA</t>
  </si>
  <si>
    <t>PP0202 - AC31126. Enviado em 07/06/2024</t>
  </si>
  <si>
    <t>PP0202 - AC31130. Enviado em 07/06/2024</t>
  </si>
  <si>
    <t>ENVIADO EM 03/11/2023. PG0089 - AC 34184 1026036-46.2024.8.26.0576</t>
  </si>
  <si>
    <t>ENVIADO EM 30/08/2023. PR1043 - AC 33499 1026053.82.2024.8.26.0576</t>
  </si>
  <si>
    <t>ENVIADO EM 11/06/2024. PR1235</t>
  </si>
  <si>
    <t>CRISANE QUALIFICAÇÃO E IDIOMAS EIRELLI</t>
  </si>
  <si>
    <t>SO0089 - REN3862872957 (AC28229). Enviado em 11/06/2024</t>
  </si>
  <si>
    <t>06.693.085/0001-66</t>
  </si>
  <si>
    <t>06.671.085/0001-66</t>
  </si>
  <si>
    <t>20.116.895/0001-35</t>
  </si>
  <si>
    <t xml:space="preserve">ENVIADO EM 26/04/2023. PR0235. Cobrável apenas títulos de origem (parcial) da RENEG </t>
  </si>
  <si>
    <t>MASOFT SISTEMAS LTDA - SKL EDUCAÇÃO E INFORMÁTICA LTDA</t>
  </si>
  <si>
    <t xml:space="preserve">ENVIADO EM 04/04/2024. PR1080. Somente AC37102 - Valor conforme programação </t>
  </si>
  <si>
    <t>MC1340. REN3862872951 (AC32089). Enviado em 09/07/2024</t>
  </si>
  <si>
    <t>MC1335. REN50043. Enviado em 09/07/2024</t>
  </si>
  <si>
    <t>MC0365. REN3862873043 (AC24584). Enviado em 09/07/2024</t>
  </si>
  <si>
    <t>MC0365. REN3862873045 (AC30947). Enviado em 09/07/2024</t>
  </si>
  <si>
    <t>MC0365. REN3862873044 (AC29669). Enviado em 09/07/2024.</t>
  </si>
  <si>
    <t>MC0198. REN3862873033 (29996). Enviado em 09/07/2024</t>
  </si>
  <si>
    <t>05.291.793/0001-40</t>
  </si>
  <si>
    <t>MC0198.REN3862873034 (AC1003). Enviado em 09/07/2024</t>
  </si>
  <si>
    <t>ENVIADO EM 17/05/2023. PR0881. Proc. 1031899-80.2024.8.26.0576</t>
  </si>
  <si>
    <t>ENVIADO EM 08/03/2023. PG0042. Solicitado ao credor o ajuizamento somente da filal (e-mal na pasta filial) Unidade não figura mais em cobrança. Verificado robô, unidade retornou. 1031876-37.2024.8.26.0576</t>
  </si>
  <si>
    <t>ENVIADO EM 26/04/2023. PR0846. Proc. 1033310-61.2024.8.26.0576 (AC 27721) e 1033578-18.2024.8.26.0576 (AC 27724)</t>
  </si>
  <si>
    <t>MC0289. REN3862873141 (AC34442). Enviado em 19/07/2024. Nancy mencionou que a unidade está ativa</t>
  </si>
  <si>
    <t xml:space="preserve">C &amp; C TREINAMENTOS LTDA </t>
  </si>
  <si>
    <t>SO0094. REN3862873201 (AC 28894). Enviado em 31/07/2024</t>
  </si>
  <si>
    <t>SO0094. REN3862873202 (AC 28927). Enviado em 31/07/2024</t>
  </si>
  <si>
    <t>SO0271. REN3862873108 (AC 30995). Enviado em 31/07/2024</t>
  </si>
  <si>
    <t>MC0361. REN3862872986 (AC 30815). Enviado em 12/08/2024. Devedor não é a PJ</t>
  </si>
  <si>
    <t>SO0084 - REN3862873191  (AC29865). Enviado em 21/06/2024. Devor não é a PJ</t>
  </si>
  <si>
    <t>SO0089 - REN3862872958 (AC28236). Enviado em 11/06/2024. 1036531-52.2024.8.26.0576</t>
  </si>
  <si>
    <t>VALOR DA CAUSA</t>
  </si>
  <si>
    <t>VALOR SISTEMA</t>
  </si>
  <si>
    <t>Nº DO PROCESSO</t>
  </si>
  <si>
    <t>Nº DO PROC</t>
  </si>
  <si>
    <t>1036531-52.2024.8.26.0576</t>
  </si>
  <si>
    <t>1036892-69.2024.8.26.0576</t>
  </si>
  <si>
    <t>1037421-88.2024.8.26.0576</t>
  </si>
  <si>
    <t>ENVIADO EM 27/12/2021. Proc. NFs</t>
  </si>
  <si>
    <t>26.801.548/0001-50</t>
  </si>
  <si>
    <t xml:space="preserve">ABJ CURSOS PROFISSIONALIZANTES LTDA ME </t>
  </si>
  <si>
    <t>MC0530. REN3862872884 (AC24179). Enviado em 27/08/2024.</t>
  </si>
  <si>
    <t>PP0267. REN3862872911 (AC31033). Enviado e-mail em 12/08/2024. Estão verificando distrato/quitação</t>
  </si>
  <si>
    <t>H B CENTRO DE FORMAÇÃO PROFISSIONAL LTDA</t>
  </si>
  <si>
    <t>MC0300. REN3862873029 (AC23142). Enviado em 29/08/2024</t>
  </si>
  <si>
    <t>1040055-57.2024.8.26.0576</t>
  </si>
  <si>
    <t>1040108-38.2024.8.26.0576</t>
  </si>
  <si>
    <t>1040155-12.2024.8.26.0576</t>
  </si>
  <si>
    <t>ENVIADO EM 24/01/2024. PR0130 e EM0284. AC31210</t>
  </si>
  <si>
    <t>MC0237. REN3862873059 (AC 27350). Enviado em 17/09/2024</t>
  </si>
  <si>
    <t>JGM CENTRO DE IDIOMAS LTDA-ME</t>
  </si>
  <si>
    <t>PP0060. REN3862873060 (AC30988). Enviado em 18/09/2024</t>
  </si>
  <si>
    <t>1042876-34.2024.8.26.0576</t>
  </si>
  <si>
    <t>ENVIADO EM 23/09/2024. PR0580</t>
  </si>
  <si>
    <t>1043558-86.2024.8.26.0576</t>
  </si>
  <si>
    <t>ENVIADO EM 25/09/2024. PR0183 -  REN3862937121</t>
  </si>
  <si>
    <t>ENVIADO EM 25/09/2024. PR0183 -  REN3862937122</t>
  </si>
  <si>
    <t>ENVIADO EM 25/09/2024. PR0873. 992000260 + títulos</t>
  </si>
  <si>
    <t>ENVIADO EM 25/09/2024. PR0873. 992000032 (santa margarida)</t>
  </si>
  <si>
    <t>ENVIADO EM 06/11/2023. PR0341. Títulos foram baixados no Protheus e não vieram mais para  a Converty</t>
  </si>
  <si>
    <t>ENVIADO EM 27/09/2024. EM0476 REN3862937207 (AC33517)</t>
  </si>
  <si>
    <t xml:space="preserve">ENVIADO EM 27/09/2024. EM0476. REN60188: </t>
  </si>
  <si>
    <t>1044905-57.2024.8.26.0576</t>
  </si>
  <si>
    <t>1044939-32.2024.8.26.0576</t>
  </si>
  <si>
    <t>ENVIADO EM 24/01/2024. PR0130 e EM0284. AC31211</t>
  </si>
  <si>
    <t>1045855-66.2024.8.26.0576</t>
  </si>
  <si>
    <t>1046418-60.2024.8.26.0576</t>
  </si>
  <si>
    <t>ENVIADO EM 15/10/2024.REN3862937199 (29172). PR0285. Solicitada suspensão/devolução da multa de 150k (OVAA)</t>
  </si>
  <si>
    <t xml:space="preserve">ENVIADO EM 21/10/2024. PR0836. </t>
  </si>
  <si>
    <t>ENVIADO EM 21/10/2024. PR0836. REN3862937220 (AC 26926)</t>
  </si>
  <si>
    <t>ENVIADO EM 25/10/2024. PR0680 REN3862937216 (AC 27159)</t>
  </si>
  <si>
    <t>ENVIADO EM 25/10/2024. PR0680. Multa de 150k suspensa internamente (OVAA)</t>
  </si>
  <si>
    <t>ENVIADO EM 25/10/2024. PR1014</t>
  </si>
  <si>
    <t>ENVIADO EM 31/10/2024. PR0994/PR0261</t>
  </si>
  <si>
    <t>39.940.159/0001-08</t>
  </si>
  <si>
    <t>ENVIADO EM 22/06/2022. Títulos não passíveis de ajuizamento (análise realizada pelo Dep. Judicial). Confissão localizada. Autorizado ajuizamento em 03/07/2024. 1050800-96.2024.8.26.0576</t>
  </si>
  <si>
    <t>1051748-38.2024.8.26.0576</t>
  </si>
  <si>
    <t>PP0217 - AC21326. Enviado em 07/06/2024.</t>
  </si>
  <si>
    <t>1052051-52.2024.8.26.0576</t>
  </si>
  <si>
    <t xml:space="preserve">ENVIADO EM 28/11/2023. PR0914. AC 28231 </t>
  </si>
  <si>
    <t>ENVIADO EM 28/11/2023. PR0914. AC28232</t>
  </si>
  <si>
    <t>ENVIADO EM 26/11/2024. PR1077. REN60075</t>
  </si>
  <si>
    <t>MC0147.  REN3862872916  (AC30974). Enviado em 29/07/2024. Proc. 1054777-96.2024.8.26.0576</t>
  </si>
  <si>
    <t>MC0147. REN3862872918 (AC 32954).  Enviado em 29/07/2024    Proc. 1054777-96.2024.8.26.0576</t>
  </si>
  <si>
    <t>MC0147.  REN3862872917  (AC32951).  Enviado em 29/07/2024 Proc. 1054777-96.2024.8.26.0576</t>
  </si>
  <si>
    <t>MC0207. REN3862873197 (AC34480). Enviado em 12/12/2024</t>
  </si>
  <si>
    <t>MC0315. REN3862872994 (AC 34337). Enviado em 12/12/2024</t>
  </si>
  <si>
    <t>052.118.607.21</t>
  </si>
  <si>
    <t xml:space="preserve">ENVIADO EM 14/03/2023. PR1134. AC 29420 </t>
  </si>
  <si>
    <t xml:space="preserve">SAMPAIO PROJETOS E CONSULTORIA </t>
  </si>
  <si>
    <t>MC0260. REN3862873180 (AC 24258). Enviado em 13/12/2024</t>
  </si>
  <si>
    <t>ART CRIS TREINAMENTOS E DESENVOLVIMENTO LTDA</t>
  </si>
  <si>
    <t>MC1626. REN50143. Enviado em 18/12/2024</t>
  </si>
  <si>
    <t>DATA INICIO DO FLUXO</t>
  </si>
  <si>
    <t xml:space="preserve">ACORDO FORMALIZADO - </t>
  </si>
  <si>
    <t>Proc: 1007297-93.2022.8.26.0576</t>
  </si>
  <si>
    <t>Proc: 1030490-40.2022.8.26.0576</t>
  </si>
  <si>
    <t>Proc: 1058279-48.2021.8.26.0576</t>
  </si>
  <si>
    <t>Proc:1058293-95.2022.8.26.0576</t>
  </si>
  <si>
    <t>Proc: 1000043-36.2025.8.26.0359</t>
  </si>
  <si>
    <t>Proc: 10146638620228260576</t>
  </si>
  <si>
    <t>Proc: 1019556-51.2022.8.26.0114</t>
  </si>
  <si>
    <t>Proc: 0009737-11.2024.8.26.0576</t>
  </si>
  <si>
    <t>OVVA</t>
  </si>
  <si>
    <t>Proc: 1017048-07.2022.8.26.0576</t>
  </si>
  <si>
    <t>Proc: 1000856-96.2022.8.26.0576</t>
  </si>
  <si>
    <t>Proc: 1009273-04.2023.8.26.0576</t>
  </si>
  <si>
    <t>Proc: 1045435-95.2023.8.26.0576</t>
  </si>
  <si>
    <t>Proc: 1015302-07.2022.8.26.0576</t>
  </si>
  <si>
    <t>Proc: 1045335-77.2022.8.26.0576</t>
  </si>
  <si>
    <t>Proc: 1023794-51.2023.8.26.0576</t>
  </si>
  <si>
    <t>Proc: 1032264-71.2023.8.26.0576</t>
  </si>
  <si>
    <t>Proc: 1019746-49.2023.8.26.0576</t>
  </si>
  <si>
    <t>Proc: 1066618-59.2022.8.26.0576</t>
  </si>
  <si>
    <t>Proc: 1056686-47.2022.8.26.0576</t>
  </si>
  <si>
    <t>Proc: 1007672-60.2023.8.26.0576</t>
  </si>
  <si>
    <t>Proc: 1050164-32.2022.8.26.0114</t>
  </si>
  <si>
    <t>Proc: 0001480-94.2024.8.26.0576</t>
  </si>
  <si>
    <t>Proc: 0001482-64.2024.8.26.0576</t>
  </si>
  <si>
    <t>Proc: 1057353-33.2022.8.26.0576</t>
  </si>
  <si>
    <t>Proc: 1013853-77.2023.8.26.0576</t>
  </si>
  <si>
    <t>Proc: 1039948-75.2023.8.26.0114</t>
  </si>
  <si>
    <t>Proc: 1050400-81.2022.8.26.0114</t>
  </si>
  <si>
    <t>Proc: 1055988-75.2021.8.26.0576</t>
  </si>
  <si>
    <t>Proc: 1050398-14.2022.8.26.0114 </t>
  </si>
  <si>
    <t>Proc: 1032262-32.2023.8.26.0114</t>
  </si>
  <si>
    <t>Proc: 1063276-74.2021.8.26.0576</t>
  </si>
  <si>
    <t>Proc: 1019941-68.2022.8.26.0576</t>
  </si>
  <si>
    <t>Proc: 1045338-32.2022.8.26.0576</t>
  </si>
  <si>
    <t>Proc: 1051179-08.2022.8.26.0576</t>
  </si>
  <si>
    <t xml:space="preserve">Proc: 1028212-32.2023.8.26.0576 </t>
  </si>
  <si>
    <t>Proc: 1021713-94.2022.8.26.0114</t>
  </si>
  <si>
    <t>Proc: 1015680-26.2023.8.26.0576</t>
  </si>
  <si>
    <t>Proc: 1030497-32.2022.8.26.0576</t>
  </si>
  <si>
    <t>Proc: 1054440-15.2021.8.26.0576</t>
  </si>
  <si>
    <t>Proc: 1006970-17.2023.8.26.0576</t>
  </si>
  <si>
    <t>Proc: 1013857-17.2023.8.26.0576</t>
  </si>
  <si>
    <t>Proc: 1019744-79.2023.8.26.0576</t>
  </si>
  <si>
    <t>Proc: 1053251-65.2022.8.26.0576</t>
  </si>
  <si>
    <t xml:space="preserve">OBS.: TEM MAIS UMA MONETÓRIAS: N° DE PROCESSO: 1069862-93.2022.8.26.0576 - Data de distribuíção: 17/01/2023 - Valor da Ação: R$ 47.997,93 </t>
  </si>
  <si>
    <t>Proc: 1050163-47.2022.8.26.0114</t>
  </si>
  <si>
    <t> 70.951,22</t>
  </si>
  <si>
    <t> 122.919,93</t>
  </si>
  <si>
    <t>Proc: 0006973-86.2023.8.26.0576</t>
  </si>
  <si>
    <t>Proc: 1004658-33.2022.8.26.0114</t>
  </si>
  <si>
    <t>Proc: 1010769-05.2022.8.26.0576</t>
  </si>
  <si>
    <t> 29.411,06</t>
  </si>
  <si>
    <t>Proc: 1000860-36.2022.8.26.0576</t>
  </si>
  <si>
    <t>Proc: 1062075-47.2021.8.26.0576</t>
  </si>
  <si>
    <t>Proc: 1019939-98.2022.8.26.0576</t>
  </si>
  <si>
    <t>Proc: 1039406-63.2022.8.26.0576</t>
  </si>
  <si>
    <t> 32.233,98</t>
  </si>
  <si>
    <t>CONTRATO POSSUÍ PROCESSOS JURÍDICOS VINCULADOS A OUTRAS NEGOCIAÇÕES / (BATIMENTO NO SISTEMA)</t>
  </si>
  <si>
    <t>Proc: 1041170-50.2023.8.26.0576</t>
  </si>
  <si>
    <t>Proc: 1050800-96.2024.8.26.0576</t>
  </si>
  <si>
    <t>Proc: 0025325-86.2024.8.26.0114</t>
  </si>
  <si>
    <t>Proc: 1036773-79.2022.8.26.0576</t>
  </si>
  <si>
    <t>Proc: 1011824-88.2022.8.26.0576</t>
  </si>
  <si>
    <t>Proc: 1028210-62.2023.8.26.0576</t>
  </si>
  <si>
    <t>Proc: 1031144-27.2022.8.26.0576</t>
  </si>
  <si>
    <t>BS.: NÃO ENCONTREI NESSE CNPJ - APENAS NO CPF DA NAYARA - NÃO ENCONTREI NEM A PASTA / ENVIADO EM 04/04/2022.</t>
  </si>
  <si>
    <t>Proc: 1057352-48.2022.8.26.0576</t>
  </si>
  <si>
    <t>Proc: 1056684-77.2022.8.26.0576</t>
  </si>
  <si>
    <t>Proc: 1057356-85.2022.8.26.0576</t>
  </si>
  <si>
    <t>Proc: 1064281-97.2022.8.26.0576</t>
  </si>
  <si>
    <t>Proc: 1004184-97.2023.8.26.0576</t>
  </si>
  <si>
    <t>ENVIADO EM 17/08/2022. - (Processo Suspenso - pois houve acordo, verificar andamento sobre o pagamento do acordo judicial)</t>
  </si>
  <si>
    <t>Proc: 1057290-42.2021.8.26.0576</t>
  </si>
  <si>
    <t>Proc: 1069860-26.2022.8.26.0576</t>
  </si>
  <si>
    <t>Proc: 1059245-11.2021.8.26.0576</t>
  </si>
  <si>
    <t> 41.865,53</t>
  </si>
  <si>
    <t>Proc: 1051783-66.2022.8.26.0576</t>
  </si>
  <si>
    <t>Proc: 1060074-89.2021.8.26.0576</t>
  </si>
  <si>
    <t>Em grau de recurso</t>
  </si>
  <si>
    <t>Proc: 1057868-05.2021.8.26.0576</t>
  </si>
  <si>
    <t>Proc: 1012180-14.2022.8.26.0114</t>
  </si>
  <si>
    <t>Proc: 1019940-83.2022.8.26.0576 </t>
  </si>
  <si>
    <t>Proc: 1023160-55.2023.8.26.0576 </t>
  </si>
  <si>
    <t>Cumprimento de sentença - 0001481-79.2024.8.26.0576</t>
  </si>
  <si>
    <t>Proc: 1069857-71.2022.8.26.0576</t>
  </si>
  <si>
    <t>Proc: 1039410-03.2022.8.26.0576</t>
  </si>
  <si>
    <t>Obs.: Execução de Título Extrajudicial</t>
  </si>
  <si>
    <t>Proc: 1000717-48.2024.8.26.0359</t>
  </si>
  <si>
    <t>Proc: 1031124-36.2022.8.26.0576</t>
  </si>
  <si>
    <t>Proc: 1063304-42.2021.8.26.0576</t>
  </si>
  <si>
    <t>Proc: 1018021-59.2022.8.26.0576</t>
  </si>
  <si>
    <t>Proc: 1064591-40.2021.8.26.0576</t>
  </si>
  <si>
    <t>Proc: 1054854-76.2022.8.26.0576</t>
  </si>
  <si>
    <t>Proc: 1039411-85.2022.8.26.0576 </t>
  </si>
  <si>
    <t>Proc: 1048447-54.2022.8.26.0576</t>
  </si>
  <si>
    <t>Proc: 1048841-89.2022.8.26.0114</t>
  </si>
  <si>
    <t>Proc: 1048767-35.2022.8.26.0114</t>
  </si>
  <si>
    <t>Proc: 1023157-03.2023.8.26.05766</t>
  </si>
  <si>
    <r>
      <t>ENVIADO EM 04/11/2022. PR0690. Ajuizada 2 ações de execução. / Execução de Título Extrajudicial - *</t>
    </r>
    <r>
      <rPr>
        <b/>
        <sz val="11"/>
        <color rgb="FF000000"/>
        <rFont val="Calibri"/>
        <family val="2"/>
        <scheme val="minor"/>
      </rPr>
      <t>1023159-70.2023.8.26.0576 Trata-se</t>
    </r>
    <r>
      <rPr>
        <sz val="11"/>
        <color indexed="8"/>
        <rFont val="Calibri"/>
        <family val="2"/>
        <scheme val="minor"/>
      </rPr>
      <t xml:space="preserve"> de execução. Partes adversas: Nemora dos Santos Almeida Lima, Jose Sergio Soares da Rocha e Neemias dos Santos Almeida Lima</t>
    </r>
  </si>
  <si>
    <t>Proc: 1009277-41.2023.8.26.0576</t>
  </si>
  <si>
    <t>Proc: 1011520-55.2023.8.26.0576</t>
  </si>
  <si>
    <t>Proc: 1041164-43.2023.8.26.0576</t>
  </si>
  <si>
    <t>Proc: 1019742-12.2023.8.26.0576</t>
  </si>
  <si>
    <t>Proc: 1013851-10.2023.8.26.0576</t>
  </si>
  <si>
    <t>Proc: 1011517-03.2023.8.26.0576</t>
  </si>
  <si>
    <t> 123.296,14</t>
  </si>
  <si>
    <t>Proc: 1032267-26.2023.8.26.0576</t>
  </si>
  <si>
    <t>Proc: 1013855-47.2023.8.26.0576</t>
  </si>
  <si>
    <t>Proc: 1035981-91.2023.8.26.0576</t>
  </si>
  <si>
    <t>Proc: 1021357-37.2023.8.26.0576</t>
  </si>
  <si>
    <t>Proc: 1047844-44.2023.8.26.0576</t>
  </si>
  <si>
    <t> 29.666,03</t>
  </si>
  <si>
    <t>Proc: 1031876-37.2024.8.26.0576</t>
  </si>
  <si>
    <t>Proc: 1056022-45.2024.8.26.0576</t>
  </si>
  <si>
    <t>Proc: 1000045-06.2025.8.26.0359</t>
  </si>
  <si>
    <t>Proc: 1024303-79.2023.8.26.0576</t>
  </si>
  <si>
    <t> 56.578,05</t>
  </si>
  <si>
    <t>ENVIADO EM 20/03/2023. PR0103 - Débitos pertencem a JESSICA APARECIDA RABELO DE LIMA (PR0746). / Execução de Título Extrajudicial</t>
  </si>
  <si>
    <t>Proc: 1033729-18.2023.8.26.0576</t>
  </si>
  <si>
    <t>Proc: 1047849-66.2023.8.26.0576</t>
  </si>
  <si>
    <t>25/09/2023.</t>
  </si>
  <si>
    <t>Proc: 1043685-58.2023.8.26.0576</t>
  </si>
  <si>
    <t>Proc: 1026466-32.2023.8.26.0576</t>
  </si>
  <si>
    <t>Proc: 1000321-37.2025.8.26.</t>
  </si>
  <si>
    <t>Proc: 1033310-61.2024.8.26.0576</t>
  </si>
  <si>
    <t>Proc: 1033578-18.2024.8.26.0576</t>
  </si>
  <si>
    <t>24/107/2024</t>
  </si>
  <si>
    <t>Proc: 1024783-57.2023.8.26.0576</t>
  </si>
  <si>
    <t> 52.533,11</t>
  </si>
  <si>
    <t>Proc: 1000840-46.2024.8.26.0359</t>
  </si>
  <si>
    <t>Proc: 1031899-80.2024.8.26.0576</t>
  </si>
  <si>
    <t>Proc: 1009408-45.2025.8.26.0576</t>
  </si>
  <si>
    <t>Proc: 1000124-82.2025.8.26.0359</t>
  </si>
  <si>
    <t>MONITÓRIA</t>
  </si>
  <si>
    <t>ENVIADO EM 29/05/2023. PR1095 - EXECUÇÃO</t>
  </si>
  <si>
    <t xml:space="preserve">BAIXA TOTAL DOS TÍTULOS. / ENVIADO EM 08/03/2023. EM0240. UNIDADE NA CARTEIRA DO JUD. DÉBITO PRESCREVEU </t>
  </si>
  <si>
    <t>Proc: 1019558-21.2022.8.26.0114</t>
  </si>
  <si>
    <t>Proc: 1000697-57.2024.8.26.0359</t>
  </si>
  <si>
    <t>Proc: 1000246-95.2025.8.26.0359</t>
  </si>
  <si>
    <t> 71.430,08</t>
  </si>
  <si>
    <t>MONETÓRIA</t>
  </si>
  <si>
    <t>Proc: 1008631-60.2025.8.26.0576</t>
  </si>
  <si>
    <t xml:space="preserve">MONETÓRIA / </t>
  </si>
  <si>
    <t>EXECUÇÃO (REN3862937171) / ENVIADO EM 31/05/2023. PR1119</t>
  </si>
  <si>
    <t>Proc: 1035523-74.2023.8.26.0576</t>
  </si>
  <si>
    <t>Monetória / ENVIADO EM 02/06/2023. PR0418. Devedor não é a PJ (EVANDRO DE BRUM)</t>
  </si>
  <si>
    <t>Proc: 1045765-92.2023.8.26.0576</t>
  </si>
  <si>
    <t> 20.122,27</t>
  </si>
  <si>
    <t>Proc: 1000580-32.2025.8.26.0359</t>
  </si>
  <si>
    <t>Proc: 1008620-31.2025.8.26.0576</t>
  </si>
  <si>
    <t>EXECUÇÃO / ENVIADO EM 26/06/2023. PR1210</t>
  </si>
  <si>
    <t>Proc: 1022634-20.2025.8.26.0576</t>
  </si>
  <si>
    <t>Proc: 1001381-10.2024.8.26.0576</t>
  </si>
  <si>
    <t>Proc: 1000291-02.2025.8.26.0359</t>
  </si>
  <si>
    <t> 62.652,10</t>
  </si>
  <si>
    <t>Proc: 1026053-82.2024.8.26.0576</t>
  </si>
  <si>
    <t>ENVIADO EM 30/08/2023. PR0668. Baixa - OS DÉBIDOS QUE ESTÃO NO SISTEMA NÃO SÃO AJUIZÁVEIS POIS JÁ ESTÃO PREESCRITOS</t>
  </si>
  <si>
    <t>Proc: 1000491-09.2025.8.26.0359</t>
  </si>
  <si>
    <t>MONETÓRIA / ENVIADO EM 13/10/2023. PR1039</t>
  </si>
  <si>
    <t>Proc: 1001379-40.2024.8.26.0576</t>
  </si>
  <si>
    <t>Proc: 1000684-58.2024.8.26.0359</t>
  </si>
  <si>
    <t>Proc: 1016748-74.2024.8.26.0576</t>
  </si>
  <si>
    <t>Proc: 1026036-46.2024.8.26.0576</t>
  </si>
  <si>
    <t>Proc: 1056021-60.2024.8.26.0576</t>
  </si>
  <si>
    <t>EXECUÇÃO: ENVIADO EM 28/11/2023. PR1107. RENEG 992100258</t>
  </si>
  <si>
    <t>Proc: 1001155-74.2024.8.26.0359</t>
  </si>
  <si>
    <t>monetória / ENVIADO EM 28/11/2023. PR1107</t>
  </si>
  <si>
    <t>Proc: 1052613-61.2024.8.26.0576</t>
  </si>
  <si>
    <t>Proc: 1052876-93.2024.8.26.0576</t>
  </si>
  <si>
    <t xml:space="preserve">ENVIADO EM 12/12/2023. (Obs.: estava na linha de n° de processo o  1026036-46.2024.8.26.0576 em nome de Daniella que acredito ser outro caso e não do mesmo. Precisa verificar </t>
  </si>
  <si>
    <t>Proc: 1033557-42.2024.8.26.0576</t>
  </si>
  <si>
    <t>Proc: 1045354-15.2024.8.26.0576</t>
  </si>
  <si>
    <t>MONITÓRIA / ENVIADO EM 24/01/2024. PR0130 e EM0284.</t>
  </si>
  <si>
    <t>Proc: 1001064-81.2024.8.26.0359</t>
  </si>
  <si>
    <t>Proc: 1040383-84.2024.8.26.0576</t>
  </si>
  <si>
    <t>Proc: 1035303-08.2025.8.26.0576</t>
  </si>
  <si>
    <t>Proc: 1003473-24.2025.8.26.0576</t>
  </si>
  <si>
    <t> 18.900,49</t>
  </si>
  <si>
    <t>Proc: 1000320-52.2025.8.26.0359</t>
  </si>
  <si>
    <t>Proc: 1001057-83.2025.8.26.0576</t>
  </si>
  <si>
    <t>Proc: 1027934-60.2025.8.26.0576</t>
  </si>
  <si>
    <t>Proc: 1027275-51.2025.8.26.0576</t>
  </si>
  <si>
    <t>ENVIADO EM 26/02/2024. PR0493 / Referente a REN3862937145 - AC 30166)</t>
  </si>
  <si>
    <t>Proc: 1001156-59.2024.8.26.0359</t>
  </si>
  <si>
    <t>MONITÓRIA / ENVIADO EM 21/03/2024. PR0838 NFs</t>
  </si>
  <si>
    <t>Proc: 1054359-61.2024.8.26.0576 </t>
  </si>
  <si>
    <t xml:space="preserve">EXECUÇÃO / ENVIADO EM 21/03/2024. PR0838. AC 29199 </t>
  </si>
  <si>
    <t>Proc: 1003209-07.2025.8.26.0576</t>
  </si>
  <si>
    <t xml:space="preserve">EXECUÇÃO - (AC 29202)ENVIADO EM 21/03/2024. PR0838. AC </t>
  </si>
  <si>
    <t>Proc: 1000247-80.2025.8.26.0359</t>
  </si>
  <si>
    <t>Proc: 1009448-27.2025.8.26.0576</t>
  </si>
  <si>
    <t>Proc: 1040316-22.2024.8.26.0576</t>
  </si>
  <si>
    <t>Proc: 1021734-37.2025.8.26.0576</t>
  </si>
  <si>
    <t>Proc: 1000707-67.2025.8.26.0359</t>
  </si>
  <si>
    <t>Proc: 1042780-19.2024.8.26.0576</t>
  </si>
  <si>
    <t>Proc: 1021272-80.2025.8.26.0576</t>
  </si>
  <si>
    <t>Proc: 1040586-46.2024.8.26.0576</t>
  </si>
  <si>
    <t>Proc: 1014564-14.2025.8.26.0576</t>
  </si>
  <si>
    <t>Proc: 1014560-74.2025.8.26.0576</t>
  </si>
  <si>
    <t> 3.723,47</t>
  </si>
  <si>
    <t> Proc: 1031539-14.2025.8.26.0576</t>
  </si>
  <si>
    <t>ENVIADO EM 17/09/2024. PR0243. REN3862937237 (AC30596) - No sistema está como AC30956, porém a confossão de dívida está AC30596 acredito que possa ter tido um erro de digitação.</t>
  </si>
  <si>
    <t> 7.080,41</t>
  </si>
  <si>
    <t>ENVIADO EM 10/10/2024. PR0659 - 992000118 - TOTAL DOS DÉBITOS PRESCRITOS PARA AJUIZAMENTO</t>
  </si>
  <si>
    <t>ENVIADO EM 10/10/2024. PR0659 -  TOTAL DOS DÉBITOS PRESCRITOS PARA AJUIZAMENTO</t>
  </si>
  <si>
    <t>PRESCRITOS</t>
  </si>
  <si>
    <t>Proc: 1004183-15.2023.8.26.0576</t>
  </si>
  <si>
    <t>Proc: 1001050-97.2024.8.26.0359</t>
  </si>
  <si>
    <t> 2.719,14</t>
  </si>
  <si>
    <t>ENVIADO EM 06/11/2024. EM0093 - TOTAL DOS DÉBITOS PRESCRITOS PARA AJUIZAMENTO</t>
  </si>
  <si>
    <t>ENVIADO EM 12/11/2024. PR0708 - TOTAL DOS DÉBITOS PRESCRITOS PARA AJUIZAMENTO</t>
  </si>
  <si>
    <t>ENVIADO EM 12/11/2024. PR0707 - TOTAL DOS DÉBITOS PRESCRITOS PARA AJUIZAMENTO</t>
  </si>
  <si>
    <t>Proc: 1033118-94.2025.8.26.0576</t>
  </si>
  <si>
    <t>ENVIADO EM 20/07/2022. Aguarda aval para baixa parcial.Reiterado em 27/04/2023 e 15/06/2023 / PRESCRITO</t>
  </si>
  <si>
    <r>
      <t>ENVIADO EM 15/03/2022  PG0042</t>
    </r>
    <r>
      <rPr>
        <sz val="11"/>
        <color theme="1"/>
        <rFont val="Calibri"/>
        <family val="2"/>
        <scheme val="minor"/>
      </rPr>
      <t>. (</t>
    </r>
    <r>
      <rPr>
        <sz val="11"/>
        <color indexed="8"/>
        <rFont val="Calibri"/>
        <family val="2"/>
        <scheme val="minor"/>
      </rPr>
      <t>NAHIMAN GOBBO GUIDO SALLES SOUZA ENSINO DE IDIOMAS) - PRESCRITO</t>
    </r>
  </si>
  <si>
    <t>ENVIADO EM 16/09/2023. PR0092 / PRESCRITO</t>
  </si>
  <si>
    <t>ENVIADO EM 07/11/2023. PR0928 / PRESCRITO</t>
  </si>
  <si>
    <t>ENVIADO EM 15/05/2024. PR0683. / PRESCRITO</t>
  </si>
  <si>
    <t>Proc: 1017330-40.2025.8.26.0576</t>
  </si>
  <si>
    <t> 45.508,01</t>
  </si>
  <si>
    <r>
      <t xml:space="preserve">ENVIADO EM 27/07/2022. Reenviado em 27/04 para Larissa. Victor não faz mais parte da MoveEdu. </t>
    </r>
    <r>
      <rPr>
        <sz val="11"/>
        <color rgb="FFFF0000"/>
        <rFont val="Calibri"/>
        <family val="2"/>
        <scheme val="minor"/>
      </rPr>
      <t>Unidade encerrou as atividades em 28/02/2023</t>
    </r>
    <r>
      <rPr>
        <sz val="11"/>
        <color indexed="8"/>
        <rFont val="Calibri"/>
        <family val="2"/>
        <scheme val="minor"/>
      </rPr>
      <t xml:space="preserve"> /  EXECUÇÃO REFERENTE AC 19833 - REN3862873166  </t>
    </r>
  </si>
  <si>
    <t>Proc: 1017344-24.2025.8.26.0576</t>
  </si>
  <si>
    <t>RENEGOCIAÇÃO MOVEEDU</t>
  </si>
  <si>
    <t>Proc: 1019942-53.2022.8.26.0576</t>
  </si>
  <si>
    <t> 116.953,77</t>
  </si>
  <si>
    <t>Cumprimento de sentença - 0017936-56.2023.8.26.0576 - R$ 125.007,60 / 11/10/2023 às 14:16</t>
  </si>
  <si>
    <t>AJUÍZADO COM TÍTULOS EM ABERTO</t>
  </si>
  <si>
    <t>FINALIZADO.</t>
  </si>
  <si>
    <t>Proc.: 4000140-82.2025.8.26.0359</t>
  </si>
  <si>
    <t>Proc.: 1054383-89.2024.8.26.0576</t>
  </si>
  <si>
    <t>ENVIADO EM 29/05/2023. PR1120 - Execução de título extrajudicial</t>
  </si>
  <si>
    <t>Proc.: 4000012-28.2026.8.26.0359</t>
  </si>
  <si>
    <t>AÇÃO MONETÓRIA</t>
  </si>
  <si>
    <t>ENVIADO EM 30/08/2023. PR0323 - OS DÉBIDOS QUE ESTÃO NO SISTEMA NÃO SÃO AJUIZÁVEIS POIS JÁ ESTÃO PREESCRITOS</t>
  </si>
  <si>
    <t>VALOR BAIXO</t>
  </si>
  <si>
    <t>ENVIADO EM 23/11/2023. PR0203 - SEGUNDO ACIONAMENTOS E E-MAIL - NÃO AJUIZAR - POIS FRANQUEADO TEM AÇÃO TRABALHISTA CONTRA A MOVEEDU</t>
  </si>
  <si>
    <t>ENVIADO EM 23/11/2023. PR0408 - SEGUNDO ACIONAMENTOS E E-MAIL - NÃO AJUIZAR - POIS FRANQUEADO TEM AÇÃO TRABALHISTA CONTRA A MOVEEDU</t>
  </si>
  <si>
    <t>AJUÍZADO / ANDAMENTO</t>
  </si>
  <si>
    <t>Proc.: 4001597-46.2026.8.26.0576</t>
  </si>
  <si>
    <t>ENVIADO EM 05/06/2024. PR0508 - 2 Acordos Converty - Referente a REN3862937141 ( AC 28320 e 28317) - Processo anterior (1012096-77.2025.8.26.0576).</t>
  </si>
  <si>
    <t xml:space="preserve"> Proc.: 4006230-03.2026.8.26.0576</t>
  </si>
  <si>
    <t>PAI DO FRANQUEADO PARA NEGOCIAR A DIVÍDA - A/C SETOR ACORDO JUDICIAIS</t>
  </si>
  <si>
    <t>Proc: 4000103-21.2026.8.26.0359</t>
  </si>
  <si>
    <t>ENVIADO EM 14/04/2023. PR0961. Retirada em 08/09/2023 - monetória</t>
  </si>
  <si>
    <t>Proc: 4010207-03.2026.8.26.0576.</t>
  </si>
  <si>
    <t>E-MAIL JONATA MEDEIROS - EM 30/01/2026 - INFORMANDO QUE NÃO ERA VÁLIDO AJUIZAR E PEDINDO BAIXA DOS TÍTULOS</t>
  </si>
  <si>
    <t>ENVIADO EM 13/10/2023. PR0998 -</t>
  </si>
  <si>
    <t xml:space="preserve">SOMENTE UMA REN: 50559 </t>
  </si>
  <si>
    <t>Proc.: 4010178-50.2026.8.26.0576</t>
  </si>
  <si>
    <t>REN3862937073</t>
  </si>
  <si>
    <t>CONFERIR / EM ANDAMENTO</t>
  </si>
  <si>
    <t>ENVIADO EM 30/08/2023. PR1032 - BAIXA DE TÍTULOS DE "APORTE" - FDM - DAR ANDAMENTO NOS DEMAIS - Aguardando retorno e-mail de 24/04/2026</t>
  </si>
  <si>
    <t>TAXA DE FRANQUIA (ANÁLISE)</t>
  </si>
  <si>
    <t>ENVIADO EM 13/06/2024. PR1146  - TAXA DE FRANQUIA</t>
  </si>
  <si>
    <t>ENVIADO EM 02/12/2024. PR0663 - AGUARDANDO RETORNO DO E-MAIL DE 01/04/2026 - DESFAVORÁVEL - EM 30/04/2026 - E-MAIL</t>
  </si>
  <si>
    <t>APROVADO EM 30/04/2026</t>
  </si>
  <si>
    <t>PARECER DESFAVORÁVEL</t>
  </si>
  <si>
    <t>CLIENTE</t>
  </si>
  <si>
    <t>FILIAL</t>
  </si>
  <si>
    <t>PREPARA INATIVOS</t>
  </si>
  <si>
    <t>A&amp;N CENTRO EDUCACIONAL LTDA</t>
  </si>
  <si>
    <t>ENSINA MAIS INATIVOS</t>
  </si>
  <si>
    <t>SOS INATIVOS</t>
  </si>
  <si>
    <t>ACADEMIA DE CIENCIAS LTDA</t>
  </si>
  <si>
    <t>ACREDITE EVOLUCAO PROFISSIONAL LTDA</t>
  </si>
  <si>
    <t>ADELCIVAL DE SOUSA CUNHA</t>
  </si>
  <si>
    <t>ADRIANA MARTINS SILVA</t>
  </si>
  <si>
    <t>ADRIANO SILVA TRISTAO-ME</t>
  </si>
  <si>
    <t>AGAPE CURSOS PROFISSIONALIZANTES E IDIOMAS LTDA</t>
  </si>
  <si>
    <t>AGATA LUANA CARVALHO DA SILVA</t>
  </si>
  <si>
    <t>ALCIONE OLIVEIRA DA SILVA</t>
  </si>
  <si>
    <t>ALDAIR DE CARVALHO BRASIL</t>
  </si>
  <si>
    <t>ALENCAR INFORMATICA LTDA</t>
  </si>
  <si>
    <t>ALEX GARCIA XIMENES QUINTANS</t>
  </si>
  <si>
    <t>ALFA TRON EMPREENDIMENTOS TECNOLOGICOS LTDA</t>
  </si>
  <si>
    <t>ALINE ELAINE DA SILVA</t>
  </si>
  <si>
    <t>ALINE MANTOVANI DE OLIVEIRA</t>
  </si>
  <si>
    <t>ALMIR GUIMARAES DE AZEVEDO NETO</t>
  </si>
  <si>
    <t>AMANDA SALLES</t>
  </si>
  <si>
    <t>AMAZING EDUCACAO PROFISSIONAL LTDA - ME</t>
  </si>
  <si>
    <t>ANA CLAUDIA DOS SANTOS</t>
  </si>
  <si>
    <t>ANA CRISTINA DE SIQUEIRA</t>
  </si>
  <si>
    <t>ANA LUIZA FRONER CAVALCANTE BRAGA</t>
  </si>
  <si>
    <t>ANA PAULA MONTEIRO RIGUE BRUM LTDA</t>
  </si>
  <si>
    <t>ANA VIRGINIA NASCIMENTO DE ALMEIDA</t>
  </si>
  <si>
    <t>ANALU FERREIRA DOS SANTOS ABSOLON</t>
  </si>
  <si>
    <t>ANDRÉ LUÍS ALVES SERRA</t>
  </si>
  <si>
    <t>ANDRE SANTOS DE MENEZES</t>
  </si>
  <si>
    <t>ANDREI DALACHI ORLANDI</t>
  </si>
  <si>
    <t>ANKLIM E MIRRES EDUCACAO E TECH LTDA</t>
  </si>
  <si>
    <t>APOEMA EDUCACIONAL COMERCIO DE MATERIAL DIDATICO LTDA</t>
  </si>
  <si>
    <t>APOEMA EM EDUCACAO E TECNOLOGIA COMERCIO DE MATERIAL DIDATIC</t>
  </si>
  <si>
    <t>APRENDA MAIS COMPLEMENTO ESCOLAR LTDA</t>
  </si>
  <si>
    <t>APRENDER+ CURSOS E TREINAMENTO LTDA</t>
  </si>
  <si>
    <t>ARILDO JOSÉ DOS SANTOS JÚNIOR</t>
  </si>
  <si>
    <t>ARIQUEMES FORMACAO PROFISSIONAL LTDA</t>
  </si>
  <si>
    <t>ARISTELA CORDEIRO HOLANDA</t>
  </si>
  <si>
    <t>ARYELE LIMA DA SILVA</t>
  </si>
  <si>
    <t>ATHAYS BAUER</t>
  </si>
  <si>
    <t>ATICURSOS PRODUTOS, CURSOS LIVRES E CONSULTORIA LTDA</t>
  </si>
  <si>
    <t>ATTOM CENTRO DE IDIOMAS LTDA</t>
  </si>
  <si>
    <t>AVANCE TREINAMENTO EM INFORMATICA E GESTAO LTDA</t>
  </si>
  <si>
    <t>AZEVEDO &amp; CARAN LTDA</t>
  </si>
  <si>
    <t>B. V. LESSA LTDA</t>
  </si>
  <si>
    <t>BANCO SANTANDER (BRASIL) S.A.</t>
  </si>
  <si>
    <t>BARBACENA CURSOS E TREINAMENTOS LTDA</t>
  </si>
  <si>
    <t>BARBARA NOBRE LTDA</t>
  </si>
  <si>
    <t>BÁRBARA PATRÍCIA CUNHA BRANDÃO</t>
  </si>
  <si>
    <t>BARBARA RIBERTO ROCHA</t>
  </si>
  <si>
    <t>BARBOZA TREINAMENTO LTDA</t>
  </si>
  <si>
    <t>BG EDUCACAO E PROFISSAO LTDA</t>
  </si>
  <si>
    <t>BGJB TECNOLOGIA EM DESENVOLVIMENTO PESSOAL LTDA</t>
  </si>
  <si>
    <t>BRANDT SISTEMA EDUCACIONAL LTDA</t>
  </si>
  <si>
    <t>BRUNA OLIVEIRA FONSECA</t>
  </si>
  <si>
    <t>BRUNA VIANA LESSA</t>
  </si>
  <si>
    <t>BSF FORMACAO PROFISSIONAL LTDA</t>
  </si>
  <si>
    <t>C R MORAES CUNHA LTDA</t>
  </si>
  <si>
    <t>C&amp;H EDUCACAO E NEGOCIOS CRIATIVOS LTDA.</t>
  </si>
  <si>
    <t>CACERES CURSOS E TREINAMENTOS LTDA</t>
  </si>
  <si>
    <t>CADASTRO TESTE - FINANCEIRO</t>
  </si>
  <si>
    <t>CAETANO CANDIDO DOS REIS NETO</t>
  </si>
  <si>
    <t>CAMINHO ENSINA CURSOS LTDA</t>
  </si>
  <si>
    <t>CAPACITANDO CURSOS E TREINAMENTO PROFISSIONAL LTDA</t>
  </si>
  <si>
    <t>CARAN TREINAMENTO LTDA</t>
  </si>
  <si>
    <t>CARINE VOGT BRANDT</t>
  </si>
  <si>
    <t>CARLA HRABY ATUATI</t>
  </si>
  <si>
    <t>CAROLINA HELENA DE ALMEIDA THONI</t>
  </si>
  <si>
    <t>CASA DO MENOR DE SOROCABA</t>
  </si>
  <si>
    <t>CASEMIRO DE ABREU DESENVOLVIMENTO PROFISSIONAL LTDA</t>
  </si>
  <si>
    <t>CASTELUBER E BATISTA TREINAMENTOS LTDA</t>
  </si>
  <si>
    <t>CASTELUBER E RODRIGUES LTDA</t>
  </si>
  <si>
    <t>CASTILHO E PAZ TREINAMENTO LTDA</t>
  </si>
  <si>
    <t>CATAGUASES CURSOS E TREINAMENTOS LTDA</t>
  </si>
  <si>
    <t>CATÃO E OLIVEIRA LTDA</t>
  </si>
  <si>
    <t>CAVALCANTE &amp; QUEIROZ LTDA</t>
  </si>
  <si>
    <t>CB TREINAMENTOS E CURSOS LTDA</t>
  </si>
  <si>
    <t>CEN-FOUR INFORMATICA PROFISSAO E COMERCIO DE LIVROS LTDA</t>
  </si>
  <si>
    <t>CENTRO CULTURAL E LINGUISTICO DE PORTO SEGURO LTDA</t>
  </si>
  <si>
    <t>CENTRO DE APOIO EDUCACIONAL DESCALVADO LTDA</t>
  </si>
  <si>
    <t>CENTRO DE CAPACITACAO PROFEISSIONAL DE SERRO LTDA</t>
  </si>
  <si>
    <t>PINGUS ENGLISH INATIVOS</t>
  </si>
  <si>
    <t>CENTRO EDUCACIONAL ISAIAN LTDA</t>
  </si>
  <si>
    <t>CENTRO EDUCACIONAL MUNDO DO CONHECIMENTO LTDA</t>
  </si>
  <si>
    <t>CENTRO EDUCACIONAL PEDRO &amp; HELENA LTDA</t>
  </si>
  <si>
    <t>CENTRO EDUCACIONAL ZIMMERMANN LTDA</t>
  </si>
  <si>
    <t>CHARLES ROBERTO DA SILVA OLIVEIRA</t>
  </si>
  <si>
    <t>CHAVES TREINAMENTO LTDA</t>
  </si>
  <si>
    <t>CHIAPPARINI E CHIAPPARINI LTDA</t>
  </si>
  <si>
    <t>CINTIA DE MENESES CAMPOS RODRIGUES DA SILVA</t>
  </si>
  <si>
    <t>CIRO JOFFILY PEREIRA DA COSTA</t>
  </si>
  <si>
    <t>CLAUDIA ALVES HEINLE</t>
  </si>
  <si>
    <t>CLAUDIA REGINA CLEMENTINO DA SILVA</t>
  </si>
  <si>
    <t>CLEBER DOS SANTOS LIMA</t>
  </si>
  <si>
    <t>CM EDUCACAO LTDA</t>
  </si>
  <si>
    <t>COLARES TREINAMENTOS E RECURSOS HUMANOS LTDA</t>
  </si>
  <si>
    <t>COLATINA EDUCACIONAL LTDA</t>
  </si>
  <si>
    <t>COLEGIO MASTER INDAIATUBA LTDA</t>
  </si>
  <si>
    <t>COLEGIO PROTONS LTDA</t>
  </si>
  <si>
    <t>CONNECT OFICINA CRIATIVA LTDA</t>
  </si>
  <si>
    <t>CONSOLI &amp; LACERTA LTDA - ME</t>
  </si>
  <si>
    <t>CONSTRUIR PROGRAMAS EDUCACIONAIS LTDA</t>
  </si>
  <si>
    <t>CONSULTORIA EM EDUCACAO E APOIO ESCOLAR MISSOES LTDA</t>
  </si>
  <si>
    <t>COSME LIMA DE MEDEIROS</t>
  </si>
  <si>
    <t>CRIS DOS SANTOS RODRIGUES</t>
  </si>
  <si>
    <t>CRISTIANE ANDREIA DA SILVA LOBO</t>
  </si>
  <si>
    <t>CRISTIANO DE JESUS  SANTOS</t>
  </si>
  <si>
    <t>CRN CURSOS PROFISSIONALIZANTES LTDA</t>
  </si>
  <si>
    <t>CSS EDUCACAO E NEGOCIOS LTDA -ME</t>
  </si>
  <si>
    <t>CUNHA &amp; QUINTAS SISTEMA EDUCACIONAL LTDA</t>
  </si>
  <si>
    <t>CURSOS PROFISSIONALIZANTES E CONSULTORIA CLP LTDA</t>
  </si>
  <si>
    <t>D M L - CENTRO EDUCACIONAL LTDA</t>
  </si>
  <si>
    <t>DAIANE APARECIDA ALVES GOMES</t>
  </si>
  <si>
    <t>DANIEL AFONSO</t>
  </si>
  <si>
    <t>PINGUS ENGLISH</t>
  </si>
  <si>
    <t>DANIELLY MARIA PEREIRA BEZERRA</t>
  </si>
  <si>
    <t>DANILO DOS SANTOS ALMEIDA</t>
  </si>
  <si>
    <t>DANILO DOS SANTOS ALMEIDA LTDA</t>
  </si>
  <si>
    <t>DARLENE CUNHA CHAVES</t>
  </si>
  <si>
    <t>DE QUADROS SCHERMACK APOIO ESCOLAR PASSO FUNDO LTDA</t>
  </si>
  <si>
    <t>DEBORA CRISTINA RETUCI ME</t>
  </si>
  <si>
    <t>DEBORA CRISTINA RETUCI-ME</t>
  </si>
  <si>
    <t>DESAFIO TREINAMENTO EM INFORMATICA LTDA</t>
  </si>
  <si>
    <t>DESENVOLVIMENTO DA MENTE E APOIO ESCOLAR LTDA</t>
  </si>
  <si>
    <t>DESPERTAR TALENTOS EDUCACAO LTDA</t>
  </si>
  <si>
    <t>DFA QUALIFICAÇÃO FROFISSIONAL LTDA.</t>
  </si>
  <si>
    <t>DIEGO RODRIGUES LEITE</t>
  </si>
  <si>
    <t>DL SALVADOR FORMACAO PROFISSIONAL E EDUCACIONAL LTDA</t>
  </si>
  <si>
    <t>DLJ FORMACAO PROFISSIONAL E EDUCACIONAL LTDA</t>
  </si>
  <si>
    <t>DNL CURSOS PROFISSIONALIZANTES LTDA</t>
  </si>
  <si>
    <t>DOUGLAS CARLOS DA SILVA</t>
  </si>
  <si>
    <t>E H M SATO EDUCACIONAL LTDA</t>
  </si>
  <si>
    <t>E K MICROLINS PEIDADE ENSINOS E VENDAS DE SUPRIMENTOS LTDA</t>
  </si>
  <si>
    <t>EDGAR DA SILVA CAVALCANTE</t>
  </si>
  <si>
    <t>EDNEIDE NASCIMENTO SANTOS NUNES</t>
  </si>
  <si>
    <t>EDS TREINAMENTO EM DESENVOLVIMENTO PROFISSIONAL E GERENCIAL</t>
  </si>
  <si>
    <t>EDSANDRA MARA DE AZEVEDO BISCARO</t>
  </si>
  <si>
    <t>EDSON HIROSHI MENEZES SATO</t>
  </si>
  <si>
    <t>EDUARDO KALMUS</t>
  </si>
  <si>
    <t>EDUC COTIA LTDA</t>
  </si>
  <si>
    <t>EDUCACIONAL LOPES E DONA LTDA</t>
  </si>
  <si>
    <t>EDUCANDARIO FALCAO LTDA</t>
  </si>
  <si>
    <t>EDUCAR  CURSOS E TREINAMENTOS LTDA</t>
  </si>
  <si>
    <t>EDUCOSTA NIT INFORMATICA E CURSOS LTDA</t>
  </si>
  <si>
    <t>EDVANIELLY DA SILVA ALVES</t>
  </si>
  <si>
    <t>EFS CURSOS E TREINAMENTOS LTDA</t>
  </si>
  <si>
    <t>EGPL CURSOS E TREINAMENTOS LTDA</t>
  </si>
  <si>
    <t>EKOSYSTEM LTDA</t>
  </si>
  <si>
    <t>ELAINE PINHEIRO DE OLIVEIRA CARDOSO</t>
  </si>
  <si>
    <t>ELENISE APARECIDA PORTELINHA</t>
  </si>
  <si>
    <t>ELIANA GARCIA DE OLIVEIRA NOGUEIRA</t>
  </si>
  <si>
    <t>ELIANA OLIVEIRA DAS CANDEIAS VESPA</t>
  </si>
  <si>
    <t>ELIZABETH KELLE PIMENTEL DA SILVA</t>
  </si>
  <si>
    <t>E-MAIL INFORMATICA E PRODUCAO LTDA</t>
  </si>
  <si>
    <t>EMC TREINAMENTOS LTDA</t>
  </si>
  <si>
    <t>EMILENE DE OLIVEIRA CAMPOS</t>
  </si>
  <si>
    <t>ENGLISH TALK INATIVOS</t>
  </si>
  <si>
    <t>ENSINA MAIS BAURU LTDA</t>
  </si>
  <si>
    <t>ENSINA MAIS COHATRAC LTDA</t>
  </si>
  <si>
    <t>ENSINA TM SERVICOS EDUCACIONAIS LTDA</t>
  </si>
  <si>
    <t>ENTHEOS SOLUCOES EDUCACIONAIS LTDA</t>
  </si>
  <si>
    <t>ESCOLA DE EDUCACAO PROFISSIONAL ATENA LTDA</t>
  </si>
  <si>
    <t>ESCOLA DO SABER ATIVO LTDA</t>
  </si>
  <si>
    <t>ESCOLA ENSINA MAIS TALENTO DO SABER LTDA</t>
  </si>
  <si>
    <t>ESCOLA PROFISSIONALIZANTE GISELE MARTINS LTDA.</t>
  </si>
  <si>
    <t>ESCOLINHA DE APOIO ALEGRIA DA LULU LTDA</t>
  </si>
  <si>
    <t>ESPACO PEDAGOGICO MICHELI PADILHA LTDA</t>
  </si>
  <si>
    <t>ESPERA FELIZ CURSOS E TREINAMENTOS LTDA</t>
  </si>
  <si>
    <t>ESSENCE CENTRO DE APOIO ESCOLAR E TECNOLOGIA LTDA</t>
  </si>
  <si>
    <t>ESTHER MARCOS</t>
  </si>
  <si>
    <t>EUSTAQUIO CARLOS DA SILVA</t>
  </si>
  <si>
    <t>EVANDRO DE SOUZA MIRRES</t>
  </si>
  <si>
    <t>EVERTON DE OLIVEIRA PRUDENTE</t>
  </si>
  <si>
    <t>EVOLUIR TREINAMENTO PROFISSIONAL LTDA</t>
  </si>
  <si>
    <t>EXPRESSAO LIVROS E ACESSORIOS</t>
  </si>
  <si>
    <t>EZEQUIEL DOS MONTES SILVA</t>
  </si>
  <si>
    <t>F1 COMERCIO E SERVICOS DE INFORMATI CA LTDA</t>
  </si>
  <si>
    <t>F1 PORTO VELHO LTDA</t>
  </si>
  <si>
    <t>FA ENSINO PROFISSIONALIZANTE LTDA</t>
  </si>
  <si>
    <t>FAB INOVA TEC LTDA</t>
  </si>
  <si>
    <t>FABIANE APARECIDA BONTORIN</t>
  </si>
  <si>
    <t>FABIO PEREIRA DA SILVA</t>
  </si>
  <si>
    <t>FABRICIA FERNANDES UMEOKA HIDAK</t>
  </si>
  <si>
    <t>FACULDADE E CURSOS MICROLINS CARUARU LTDA</t>
  </si>
  <si>
    <t>FAGNER MAGAYVER LOPES RODRIGUES</t>
  </si>
  <si>
    <t>FAVERI E RIBEIRO ESCOLA DE ENSINO LTDA</t>
  </si>
  <si>
    <t>FBERG TREINAMENTOS LTDA</t>
  </si>
  <si>
    <t>FELIPE A. F. C. BRAGA SOLUCOES EDUCACIONAIS LTDA</t>
  </si>
  <si>
    <t>FERNANDA CHAVES DE OLIVEIRA</t>
  </si>
  <si>
    <t>FERNANDA ROGERIO LOPES DONA</t>
  </si>
  <si>
    <t>FERNANDES TECNOLOGIA E INOVAÇÃO LTDA</t>
  </si>
  <si>
    <t>FERNANDO DE OLIVEIRA</t>
  </si>
  <si>
    <t>FERNANDO DE OLIVEIRA CAMARGO</t>
  </si>
  <si>
    <t>FERNANDO LIMA DE MENDONCA</t>
  </si>
  <si>
    <t>FLAVIA MARQUES FERREIRA</t>
  </si>
  <si>
    <t>FLAVIO AUGUSTO TAVARES DE SOUZA</t>
  </si>
  <si>
    <t>FLAVIO DE OLIVEIRA RAPOSO</t>
  </si>
  <si>
    <t>FRANCISCO ALEXANDRE SILVA SANTOS</t>
  </si>
  <si>
    <t>G L P QUALIFICACAO PROFISSIONAL LTDA</t>
  </si>
  <si>
    <t>G.V CURSOS E INFORMATICA LTDA</t>
  </si>
  <si>
    <t>GABRIEL LUIS DOS SANTOS LIMA</t>
  </si>
  <si>
    <t>GABRIEL PIERROUT COELHO</t>
  </si>
  <si>
    <t>GABRIELA DE CAMARGO MOREIRA ROCHEL</t>
  </si>
  <si>
    <t>GABRIELA FERNANDA DE MORAIS CERANTOLA</t>
  </si>
  <si>
    <t>GABRIELA ZANFORLIN FERREIRA</t>
  </si>
  <si>
    <t>GEORGE ALVES FEITOSA</t>
  </si>
  <si>
    <t>GERLANDO ARAUJO DA COSTA</t>
  </si>
  <si>
    <t>GESILDA DE MORAES DE LACERDA RAMALHO</t>
  </si>
  <si>
    <t>GESTAO DE ESCOLAS 360 LTDA - ME</t>
  </si>
  <si>
    <t>GF SOLUTION CENTRO DE APOIO ESCOLAR LTDA</t>
  </si>
  <si>
    <t>GISELE MARIA SCHMITK - TREINAMENTOS</t>
  </si>
  <si>
    <t>GISELE MIRANDA MELLO</t>
  </si>
  <si>
    <t>GISELE PICKLER DA SILVA</t>
  </si>
  <si>
    <t>GISLEYNE PADIAL BONAN</t>
  </si>
  <si>
    <t>GLAUCO HEBERT ALMEIDA DE MELO</t>
  </si>
  <si>
    <t>GMR EDUCACIONAL LTDA</t>
  </si>
  <si>
    <t>GRAZIELA ALINE TEIXEIRA KAYSER</t>
  </si>
  <si>
    <t>GRAZIELA TEIXEIRA EDUCAR PARA TRANSFORMAR LTDA</t>
  </si>
  <si>
    <t>GRAZIELE DO NASCIMENTO ASSUNCAO</t>
  </si>
  <si>
    <t>GRAZIELE LIMA</t>
  </si>
  <si>
    <t>GUACUI CURSOS E TREINAMENTOS LTDA</t>
  </si>
  <si>
    <t>GUEDES E CASTELUBER TREINAMENTOS LTDA</t>
  </si>
  <si>
    <t>GUILHERME DA SILVA</t>
  </si>
  <si>
    <t>HENRIQUE MIRANDA DA SILVA</t>
  </si>
  <si>
    <t>HUB EDUCACIONAL LTDA</t>
  </si>
  <si>
    <t>HUGO GARCIA NOGUEIRA</t>
  </si>
  <si>
    <t>IBIRACU CURSOS E TREINAMENTOS LTDA</t>
  </si>
  <si>
    <t>IKIGAI EDUCACIONAL COMERCIO DE MATERIAL DIDATICO LTDA</t>
  </si>
  <si>
    <t>INOVAMENTE TECNOLOGIA DO SABER LTDA</t>
  </si>
  <si>
    <t>INOVAR TREINAMENTO EM INFORMATICA LTDA</t>
  </si>
  <si>
    <t>INOVAR TREINAMENTOS E APRIMORAMENTOS LTDA</t>
  </si>
  <si>
    <t>INOVARE ESCOLA DE QUALIFICACAO PROFISSIONAL LTDA</t>
  </si>
  <si>
    <t>INSPIRA BADY TREINAMENTOS, ESTAGIOS E CONTRATACOES LTDA</t>
  </si>
  <si>
    <t>INSTITUICAO DE ENSINO N/NE EIRELI - ME</t>
  </si>
  <si>
    <t>INSTITUTO CMA DE ENSINO JACAREI LTDA</t>
  </si>
  <si>
    <t>INSTITUTO CMA DE ENSINO LTDA</t>
  </si>
  <si>
    <t>INSTITUTO DYNAMIC ESCOLA DE PROFISSOES LTDA</t>
  </si>
  <si>
    <t>IRENILDA LIMA DE ALMEIDA NUNES</t>
  </si>
  <si>
    <t>ISABELA DUARTE</t>
  </si>
  <si>
    <t>ITAIPAVA DESENVOLVIMENTO PROFISSIONAL LTDA</t>
  </si>
  <si>
    <t>ITALVA DESENVOLVIMENTO PROFISSIONAL LTDA</t>
  </si>
  <si>
    <t>IVANILTON AMPARO DA SILVA</t>
  </si>
  <si>
    <t>J.T. MATERIAIS DIDATICOS E PRESTACAO DE  SERVICOS LTDA</t>
  </si>
  <si>
    <t>JAB CURSOS TECNICOS PROFISSIONALIZANTES LTDA</t>
  </si>
  <si>
    <t>JANAYNA BRANDT DE OLIVEIRA BARBOZA</t>
  </si>
  <si>
    <t>JANINI PROGRAMAS EDUCACIONAIS LTDA</t>
  </si>
  <si>
    <t>JARAGUA EDUCATION LTDA</t>
  </si>
  <si>
    <t>JC EDUCACAO LTDA</t>
  </si>
  <si>
    <t>JEDER FERREIRA QUEIROZ</t>
  </si>
  <si>
    <t>JEFFERSON DOS SANTOS CASTILHO</t>
  </si>
  <si>
    <t>JESSICA KALINE FARIAS SILVA</t>
  </si>
  <si>
    <t>JI 304N EDUCACAO LTDA</t>
  </si>
  <si>
    <t>JK EDUCACAO PROFISSIONAL LTDA</t>
  </si>
  <si>
    <t>JLB EDUCACAO LTDA</t>
  </si>
  <si>
    <t>JONATHAN LUCIO REIS DE OLIVEIRA</t>
  </si>
  <si>
    <t>JOSE CARLOS LUCENTINI</t>
  </si>
  <si>
    <t>JOSE CARLOS LUCENTINI LTDA</t>
  </si>
  <si>
    <t>JOSE JOSEMILDO ARISTIDES DA SILVA</t>
  </si>
  <si>
    <t>JOSE LEONCIO DOS SANTOS</t>
  </si>
  <si>
    <t>JOSILEY RAMOS DA SILVA</t>
  </si>
  <si>
    <t>JP ARAUJO EDUCACAO PROFISSIONAL LTDA</t>
  </si>
  <si>
    <t>JUAN IORI CARDOSO</t>
  </si>
  <si>
    <t>JULIANA DOS SANTOS SILVA</t>
  </si>
  <si>
    <t>JULIANA MENEZES SANTOS</t>
  </si>
  <si>
    <t>JULIANA MOREIRA FEQUETTIA</t>
  </si>
  <si>
    <t>JULIANA PRACA PEREIRA</t>
  </si>
  <si>
    <t>JULIANA SILVA SANTOS</t>
  </si>
  <si>
    <t>JULIANA UZEDA CALDERON</t>
  </si>
  <si>
    <t>K E CAPACITACAO E DESENVOLVIMENTO DE PESSOAS LTDA</t>
  </si>
  <si>
    <t>KARINE APARECIDA XAVIER</t>
  </si>
  <si>
    <t>PINGU´S ENGLISH</t>
  </si>
  <si>
    <t>KARLA TAMAROZZI DE OLIVEIRA</t>
  </si>
  <si>
    <t>KAROLINE DE SOUZA BICEGO DE ARAUJO MOREIRA</t>
  </si>
  <si>
    <t>KEILA DE QUADROS SCHERMACK</t>
  </si>
  <si>
    <t>KEISSY DA SILVA DE OLIVEIRA BARBOSA</t>
  </si>
  <si>
    <t>KEZIA GRASIELY MATOS E SILVA DE AVILA</t>
  </si>
  <si>
    <t>KEZIA GRASIELY MATOS E SILVA DE AVILA - EDUCACIONAL</t>
  </si>
  <si>
    <t>L M ENSINO PROFISSIONALIZANTE LTDA</t>
  </si>
  <si>
    <t>L PAGOTO ENSINO E APOIO ESCOLAR LTDA</t>
  </si>
  <si>
    <t>L SOUSA SANTOS LTDA</t>
  </si>
  <si>
    <t>L. A. EDUCACAO PROFISSIONAL LTDA</t>
  </si>
  <si>
    <t>LAIS RENATA CORREA GATINHO</t>
  </si>
  <si>
    <t>LARA CASTELUBER FALCAO</t>
  </si>
  <si>
    <t>LD-CURSOS, QUALIFICACAO PROFISSIONAL E CONSULTORIA LTDA</t>
  </si>
  <si>
    <t>LEANDRO CARDOSO BRYL</t>
  </si>
  <si>
    <t>LEIRYENE CRIZELEN TAVARES</t>
  </si>
  <si>
    <t>LEOPOLDINA FORMACAO PROFISSIONAL LTDA</t>
  </si>
  <si>
    <t>LETICIA CLAUDIANE DA SILVA</t>
  </si>
  <si>
    <t>LGL TREINAMENTOS LTDA</t>
  </si>
  <si>
    <t>LIDER EDUCACAO PROFISSIONAL LTDA - ME</t>
  </si>
  <si>
    <t>LIFELONG LEARNING EDUCACAO LTDA</t>
  </si>
  <si>
    <t>LILIAN PATRICIA SOUZA SILVA</t>
  </si>
  <si>
    <t>LINHARES CURSOS E TREINAMENTOS LTDA</t>
  </si>
  <si>
    <t>LOGOS COMPLEMENTO ESCOLAR LTDA - ME</t>
  </si>
  <si>
    <t>LOPES SUZANO CURSOS PROFISSIONALIZANTES LTDA</t>
  </si>
  <si>
    <t>LORENA SILVA DEGEN</t>
  </si>
  <si>
    <t>LORRAN BATISTA MERLO</t>
  </si>
  <si>
    <t>LR CURSOS PROFISSIONALIZANTES LTDA</t>
  </si>
  <si>
    <t>LRV FORMACAO PROFISSIONAL LTDA</t>
  </si>
  <si>
    <t>LUANA DA SILVA FELIPE</t>
  </si>
  <si>
    <t>LUCIANA APARECIDA MONTANHEZ MAEDA</t>
  </si>
  <si>
    <t>LUCIANA SOARES DE CARVALHO DA COSTA CURSOS ME</t>
  </si>
  <si>
    <t>LUCIANE PAGOTO</t>
  </si>
  <si>
    <t>LUIZ ALFREDO RODRIGUES DA SILVA</t>
  </si>
  <si>
    <t>LUIZ EDUARDO MUNARO</t>
  </si>
  <si>
    <t>LUIZ FELIPE GONCALVES MOREIRA</t>
  </si>
  <si>
    <t>LUIZ FERNANDO MARTINS</t>
  </si>
  <si>
    <t>LUIZ FERNANDO MARTINS LTDA</t>
  </si>
  <si>
    <t>LUME DESENVOLVIMENTO EDUCACIONAL LTDA</t>
  </si>
  <si>
    <t>LYRIAN GARCES DE LIMA GONCALVES</t>
  </si>
  <si>
    <t>M &amp; R CURSOS PROFISSIONALIZANTES LTDA</t>
  </si>
  <si>
    <t>M C BARROS DE SOUZA</t>
  </si>
  <si>
    <t>M S DE ARRUDA JUNIOR - ME</t>
  </si>
  <si>
    <t>M. TERLESKI LTDA</t>
  </si>
  <si>
    <t>M.G. ESPACO DE DESENVOLVIMENTO INFANTIL LTDA</t>
  </si>
  <si>
    <t>MACHADO EDUCACAO PROFISSIONAL LTDA</t>
  </si>
  <si>
    <t>MAELI QUERUBINA TERLESKI DA ROSA</t>
  </si>
  <si>
    <t>MANTOVANI TREINAMENTOS LTDA</t>
  </si>
  <si>
    <t>MARCELLE ANDRIETA DAMASCENO</t>
  </si>
  <si>
    <t>MARCELO ROCHA DE ARAUJO</t>
  </si>
  <si>
    <t>MARCIA A. L. DE MORAES LTDA</t>
  </si>
  <si>
    <t>MARCIA ANTONIA LOPES DE MORAES</t>
  </si>
  <si>
    <t>MARCIA MILRE SILVA MINAGAWA</t>
  </si>
  <si>
    <t>MARCIO CRISTIANO DA SILVA</t>
  </si>
  <si>
    <t>MARCOS ANTONIO DE OLIVEIRA SILVA</t>
  </si>
  <si>
    <t>MARCOS ANTONIO MACHADO</t>
  </si>
  <si>
    <t>MARCOS VINICIUS FAGUNDES DA SILVA</t>
  </si>
  <si>
    <t>MARIA CAROLINE BARROS DE SOUZA</t>
  </si>
  <si>
    <t>MARIA EDUARDA MARQUES BRAGA</t>
  </si>
  <si>
    <t>MARIA POLIANA DE LIMA ANTONIO</t>
  </si>
  <si>
    <t>MARIA RAIMUNDA DE FREITAS</t>
  </si>
  <si>
    <t>MARIANI MAUROSSO-ME</t>
  </si>
  <si>
    <t>MARIENE OLIVEIRA SILVA</t>
  </si>
  <si>
    <t>MARILIA ALVES CORDEIRO DA SILVA</t>
  </si>
  <si>
    <t>MARISTELA PADILHA</t>
  </si>
  <si>
    <t>MARISTELA PADILHA ME</t>
  </si>
  <si>
    <t>MARIVALDA PRADO MELO LAPENDA FIGUEIROA</t>
  </si>
  <si>
    <t>MAX TUCURUVI CURSOS PROFISSIONALIZANTES E IDIOMAS LTDA</t>
  </si>
  <si>
    <t>MB TECNOLOGIA E EDUCAÇÃO LTDA</t>
  </si>
  <si>
    <t>MELLO &amp; AZEVEDO LTDA</t>
  </si>
  <si>
    <t>META EDUCACIONAL LTDA</t>
  </si>
  <si>
    <t>MICHELI PADILHA ITENA</t>
  </si>
  <si>
    <t>MICROLINS CARDOSO MOREIRA LTDA</t>
  </si>
  <si>
    <t>MICROLINS RIO BONITO LTDA</t>
  </si>
  <si>
    <t>MINAS DE FUTURO INOVACOES E SOLUCOES EDUCACIONAIS</t>
  </si>
  <si>
    <t>MKR SERVICOS E TREINAMENTOS LTDA</t>
  </si>
  <si>
    <t>MOGI GUACU EDUCATION LTDA</t>
  </si>
  <si>
    <t>MOISES COIMBRA LIMA-ME</t>
  </si>
  <si>
    <t>MONICA FIRMINO DA SILVA  SANTOS</t>
  </si>
  <si>
    <t>MONTIS EDU - TREINAMENTOS E ENSINO LTDA</t>
  </si>
  <si>
    <t>MOREIRA ROCHEL SOLUCOES EDUCACIONAIS LTDA</t>
  </si>
  <si>
    <t>MOSAICO CONSULTORIA E TREINAMENTOS LTDA</t>
  </si>
  <si>
    <t>MOTIVA TREINAMENTO EM INFORMATICA LTDA</t>
  </si>
  <si>
    <t>MOTIVACAO 360 GRAUS LTDA</t>
  </si>
  <si>
    <t>MOVEEDU CURSOS PROFISSIONALIZANTES LTDA</t>
  </si>
  <si>
    <t>MR CAMPO GRANDE TECNOLOGIA LTDA</t>
  </si>
  <si>
    <t>MULLER GARCIA TREINAMENTOS E COMERCIO DE LIVROS</t>
  </si>
  <si>
    <t>MULTI CENTRO DE EDUCACAO E FORMACAO PROFISSIONAL LTDA</t>
  </si>
  <si>
    <t>MV ENSINO PROFISSIONALIZANTE LTDA</t>
  </si>
  <si>
    <t>MV FORMACAO DE NIVEL TECNICO CARUARU LTDA</t>
  </si>
  <si>
    <t>NAYARA DE SOUZA MONTEIRO GOMES</t>
  </si>
  <si>
    <t>NEUSA MARIA DE SOUZA RIBEIRO</t>
  </si>
  <si>
    <t>NGE COMERCIO E SERVICOS DE INFORMATICA EIRELI</t>
  </si>
  <si>
    <t>NM TREINAMENTO E DESENVOLVIMENTO PROFISSIONAL LTDA</t>
  </si>
  <si>
    <t>NOGUEIRA TREINAMENTOS E SERVICOS LTDA</t>
  </si>
  <si>
    <t>O A S SANTOS</t>
  </si>
  <si>
    <t>OLIVEIRA SILVA - ESCOLA DE ENSINO LTDA</t>
  </si>
  <si>
    <t>OZAKA ALMEIDA SOUSA SANTOS</t>
  </si>
  <si>
    <t>PABLO LUCCHI</t>
  </si>
  <si>
    <t>PATRICIA C N AZEVEDO-ME</t>
  </si>
  <si>
    <t>PATRICIA CORREA SCHNEIDER</t>
  </si>
  <si>
    <t>PAZ E FORTE TREINAMENTOS LTDA</t>
  </si>
  <si>
    <t>PAZ E SANTOS TREINAMENTOS LTDA</t>
  </si>
  <si>
    <t>PEDRO HEMRIQUE CANDIDO REIS</t>
  </si>
  <si>
    <t>PEDRO HENRIQUE BATISTA COELHO</t>
  </si>
  <si>
    <t>PEDRO HENRIQUE FERREIRA PISSUTO</t>
  </si>
  <si>
    <t>PEDRO HENRIQUE MAIA MONTIJO</t>
  </si>
  <si>
    <t>PERFORMAR JD. ADUTORA ESCOLA PROFISSIONALIZANTE LTDA</t>
  </si>
  <si>
    <t>PERFORMAR LTDA</t>
  </si>
  <si>
    <t>PETTERSON DE CARVALHO SILVA</t>
  </si>
  <si>
    <t>PINGU S ENGLISH RIO PRETO LTDA</t>
  </si>
  <si>
    <t>PINHEIROS CURSOS E TREINAMENTOS LTDA</t>
  </si>
  <si>
    <t>PINGU´S ENGLISH INATIVOS</t>
  </si>
  <si>
    <t>POLO DE ENSINO E PUBLICIDADE LTDA</t>
  </si>
  <si>
    <t>PORTAL EDUCAR LTDA</t>
  </si>
  <si>
    <t>PPC SERVICOS EDUCACIONAIS LTDA</t>
  </si>
  <si>
    <t>PRADO E FIGUEIREDO CENTRO EDUCACIONAL LTDA</t>
  </si>
  <si>
    <t>PREPARA CURSOS ALAGOINHAS PRIMO E PRIMO LTDA</t>
  </si>
  <si>
    <t>PREPARA CURSOS CANDEIAS PRIMO E PRIMO LTDA</t>
  </si>
  <si>
    <t>PREPARA CURSOS CONCEICAO PRIMO E PRIMO LTDA</t>
  </si>
  <si>
    <t>PREPARA CURSOS DIAS D AVILA PRIMO E PRIMO LTDA</t>
  </si>
  <si>
    <t>PREPARA CURSOS LTDA</t>
  </si>
  <si>
    <t>PREPARA CURSOS PEDREIRA LTDA</t>
  </si>
  <si>
    <t>PREPARA SAO JOSE CAPACITACAO PROFISSIONAL LTDA</t>
  </si>
  <si>
    <t>PRI E EDU CURSOS LTDA</t>
  </si>
  <si>
    <t>PRIMAZIA EDUCACAO COMPLEMENTAR LTDA</t>
  </si>
  <si>
    <t>PRIME TREINAMENTO E DESENVOLVIMENTO PROFISSIONAL LTDA</t>
  </si>
  <si>
    <t>PRIMEIRO AMOR COMPLEMENTO ESCOLAR LTDA - ME</t>
  </si>
  <si>
    <t>PRISCILA ALVES FERREIRA GUIMARAES DIAS MENDES</t>
  </si>
  <si>
    <t>PRISCILA MARQUESI VIEIRA DE OLIVEIRA</t>
  </si>
  <si>
    <t>PROJECTA - FORMACAO EDUCACIONAL E PROFISSIONAL LTDA.</t>
  </si>
  <si>
    <t>PROXIMA ETAPA PREPARA CURSOS LTDA</t>
  </si>
  <si>
    <t>PVPR ACOMPANHAMENTO ESCOLAR LTDA</t>
  </si>
  <si>
    <t>QUALIFICA SERVICOS DE RECURSOS HUMANOS LTDA ME</t>
  </si>
  <si>
    <t>QUIRINO SISTEMA EDUCACIONAL EIRELI ME</t>
  </si>
  <si>
    <t>R LUSTOSA DE C M SILVA LTDA</t>
  </si>
  <si>
    <t>R&amp;T TREINAMENTO EM INFORMATICA LTDA ME</t>
  </si>
  <si>
    <t>R. E. MEMBER CURSOS LTDA</t>
  </si>
  <si>
    <t>RAFAEL GUALBERTO CAMPOS DA SILVA</t>
  </si>
  <si>
    <t>RAFAEL OLIVEIRA DE LIMA SOUSA</t>
  </si>
  <si>
    <t>RAFAELA MUNIZ DE LIMA</t>
  </si>
  <si>
    <t>RAIZES ETERNAS SOLUCOES EDUCACIONAIS LTDA</t>
  </si>
  <si>
    <t>RAQUEL DA SILVA AZEVEDO FARIAS</t>
  </si>
  <si>
    <t>RAQUEL FERNANDES MATSUMURA MARQUES</t>
  </si>
  <si>
    <t>RAZ EDUCACIONAL LTDA</t>
  </si>
  <si>
    <t>RAZ EMPREENDIMENTOS EDUCACIONAIS ANAPOLIS LTDA</t>
  </si>
  <si>
    <t>RAZ EMPREENDIMENTOS EDUCACIONAIS APARECIDA DE GOIANIA LTDA</t>
  </si>
  <si>
    <t>REALIZAR CAPAO REDONDO PROFISSOES, IDIOMAS E COMERCIO DE LIV</t>
  </si>
  <si>
    <t>REALIZAR MARINGA, PROFISSOES, IDIOMAS E COMERCIO DE LIVROS L</t>
  </si>
  <si>
    <t>REAMI E CIA CUARSOS PROFISSIONALIZANTES LTDA</t>
  </si>
  <si>
    <t>REGIANE UMBELINA DE CARVALHO RODRIGUES</t>
  </si>
  <si>
    <t>RENATA BARTH MACHADO</t>
  </si>
  <si>
    <t>RENATO NOGUEIRA</t>
  </si>
  <si>
    <t>RGA CENTRO EDUCACIONAL LTDA.</t>
  </si>
  <si>
    <t>RIBERTO NEUMAN EDUCACAO E TECNOLOGIA LTDA</t>
  </si>
  <si>
    <t>RICHARD ANTONI TELLES</t>
  </si>
  <si>
    <t>RL EDUCACAO PROFISSIONAL LTDA</t>
  </si>
  <si>
    <t>RLM FORMACAO E DESENVOLVIMENTO PROFISIONAL LTDA</t>
  </si>
  <si>
    <t>RN TECNOLOGIA E EDUCACAO LTDA.</t>
  </si>
  <si>
    <t>RNH INFORMATICA LTDA</t>
  </si>
  <si>
    <t>ROBERTO RAMOS LEQUIPE</t>
  </si>
  <si>
    <t>RODOLFO RAMALHO CATAO</t>
  </si>
  <si>
    <t>RODRIGO FURTADO BORGES NETO</t>
  </si>
  <si>
    <t>RODRIGO LUCAS FERNANDES</t>
  </si>
  <si>
    <t>RODRIGO MAEDA INSTITUTO</t>
  </si>
  <si>
    <t>RODRIGO ROCHA DA SILVA RUBNER</t>
  </si>
  <si>
    <t>RODRIGO ROSA DA CRUZ</t>
  </si>
  <si>
    <t>RODRIGUES E REIS CURSOS PROFISSIONALIZANTES - R2 CURSOS LTDA</t>
  </si>
  <si>
    <t>ROGERIO RODRIGUES HOCHLEITNER</t>
  </si>
  <si>
    <t>RONAY LUSTOSA DE CARVALHO MARQUES SILVA</t>
  </si>
  <si>
    <t>ROSANGELA DA SILVA NETO</t>
  </si>
  <si>
    <t>RP CENTRO TREINAMENTO E DESENVOLVIMENTO PROFISSIONAL LTDA</t>
  </si>
  <si>
    <t>RST TECH DESENVOLVIMENTO TECNOLOGICO LTDA</t>
  </si>
  <si>
    <t>RUBERLAN ALEX BILHA PICCINI</t>
  </si>
  <si>
    <t>S C SILVA PROGRAMAS EDUCACIONAIS LTDA</t>
  </si>
  <si>
    <t>SAFIRA COMERCIO DE INFORMATICA LTDA</t>
  </si>
  <si>
    <t>SAMJ SERVICOS E PROJETOS DE ENSINO LTDA</t>
  </si>
  <si>
    <t>SANTANA E SILVA CURSOS LTDA</t>
  </si>
  <si>
    <t>SANTANA FORMACAO PROFISSIONAL LTDA</t>
  </si>
  <si>
    <t>SANTOS E SILVA LTDA</t>
  </si>
  <si>
    <t>SAO PEDRO DESENVOLVIMENTO PROFISSIONAL LTDA</t>
  </si>
  <si>
    <t>SAPIENC IA EDU AULAS PARTICULARES LTDA</t>
  </si>
  <si>
    <t>SCHEILA APARECIDA DOS SANTOS E SILVA</t>
  </si>
  <si>
    <t>SCR SERVICOS EDUCACIONAIS LTDA</t>
  </si>
  <si>
    <t>SEMEAR EDUCACAO SAO JOSE DOS CAMPOS LTDA</t>
  </si>
  <si>
    <t>SEMEAR ITAQUA EDUCACAO LTDA</t>
  </si>
  <si>
    <t>SERGIO RODRIGUES DA SILVA</t>
  </si>
  <si>
    <t>SERVINDO MAIS EDUCACAO LTDA</t>
  </si>
  <si>
    <t>SETTA INSTITUTO DE EDUCACAO INOVACAO TECNOLOGICA E GESTAO LT</t>
  </si>
  <si>
    <t>SIDROLANDIA DESENVOLVIMENTO PROFISSIONAL LTDA</t>
  </si>
  <si>
    <t>SIMONE GUIMARAES SILVA</t>
  </si>
  <si>
    <t>SIMONE GUIMARAES SILVA LTDA</t>
  </si>
  <si>
    <t>SIMONE LILIANE TISOTT</t>
  </si>
  <si>
    <t>SIMONE LILIANE TISSOTT</t>
  </si>
  <si>
    <t>SINTIA RODRIGUES MONTEIRO</t>
  </si>
  <si>
    <t>SMART LEARNING KIDS LTDA</t>
  </si>
  <si>
    <t>SMJ CURSOS E TREINAMENTOS LTDA</t>
  </si>
  <si>
    <t>SOCIEDADE EDUCACIONAL GUARANTA DO NORTE LTDA</t>
  </si>
  <si>
    <t>SRA ENSINO E EDUCACAO INFANTIL LTDA</t>
  </si>
  <si>
    <t>STAEL BESSA TEIXEIRA DA CUNHA</t>
  </si>
  <si>
    <t>STEFANNY REGINA MORAIS</t>
  </si>
  <si>
    <t>STONE PAGAMENTO S A</t>
  </si>
  <si>
    <t>SUCESSO PROFISSIONAL CURSOS LTDA</t>
  </si>
  <si>
    <t>SUELI CAMELO SILVA</t>
  </si>
  <si>
    <t>SUPPORT - EDUCACAO E TECNOLOGIA LTDA</t>
  </si>
  <si>
    <t>T A ZART LTDA</t>
  </si>
  <si>
    <t>T. BELTRAO OLIVEIRA</t>
  </si>
  <si>
    <t>TAI TIBIRICA ZAFFANI</t>
  </si>
  <si>
    <t>TAI TIBIRICA ZAFFANI &amp; CIA LTDA</t>
  </si>
  <si>
    <t>TAINARA DA SILVA DOS SANTOS</t>
  </si>
  <si>
    <t>TANIA REGINA EBLING ROTH</t>
  </si>
  <si>
    <t>TECH EDUCACIONAL MRG LTDA</t>
  </si>
  <si>
    <t>TERESOPOLIS CURSOS E TREINAMENTOS LTDA</t>
  </si>
  <si>
    <t>TFG - CURSOS E INFORMATICA LTDA</t>
  </si>
  <si>
    <t>THAIS RAINE DA SILVA SANTOS</t>
  </si>
  <si>
    <t>TIAGO AFONSO TESSARI</t>
  </si>
  <si>
    <t>TIAGO LAPA</t>
  </si>
  <si>
    <t>TORQUATO IPIRANGA CURSOS PROFISSIONALIZATES LTDA</t>
  </si>
  <si>
    <t>TR QUALIFICACAO PROFISSIONAL LTDA</t>
  </si>
  <si>
    <t>TRAINNING CURSOS E INFORMATICA LTDA</t>
  </si>
  <si>
    <t>TRANSFORMAR TECNOLOGIA E PROFISSOES LIMITADA</t>
  </si>
  <si>
    <t>TREINOTEC INFORMATICA &amp; IDIOMAS LTDA</t>
  </si>
  <si>
    <t>TUANE CURSOS LTDA</t>
  </si>
  <si>
    <t>TUANE GONCALVES DE LIMA</t>
  </si>
  <si>
    <t>UBERABA CURSOS E TREINAMENTOS LTDA</t>
  </si>
  <si>
    <t>UBIRAJARA EMANUEL TAVARES DE MELO FILHO</t>
  </si>
  <si>
    <t>UEVETON PIMENTEL DA SILVA</t>
  </si>
  <si>
    <t>VAGNER BARBOSA FORTE</t>
  </si>
  <si>
    <t>VALDELICE ALVES DE ALMEIDA</t>
  </si>
  <si>
    <t>VALDINEIA SANTOS DA SILVA</t>
  </si>
  <si>
    <t>VALMOR MARTINS CARDOSO</t>
  </si>
  <si>
    <t>VALTER JERONIMO DE LIRA JUNIOR</t>
  </si>
  <si>
    <t>VANESSA DOMINGOS DOS SANTOS</t>
  </si>
  <si>
    <t>VANIA DA SILVA</t>
  </si>
  <si>
    <t>VANIZA CORDEIRO DE SOUZA</t>
  </si>
  <si>
    <t>VASSOURAS DESENVOLVIMENTO PROFISSIONAL LTDA</t>
  </si>
  <si>
    <t>VGM EDUCACAO LTDA</t>
  </si>
  <si>
    <t>VIANA CURSOS E TREINAMENTOS LTDA</t>
  </si>
  <si>
    <t>VICARI CURSOS PREPARATORIOS LTDA</t>
  </si>
  <si>
    <t>VILA VALERIO CURSOS E TREINAMENTOS LTDA</t>
  </si>
  <si>
    <t>VINICIUS CRISTOFANI</t>
  </si>
  <si>
    <t>VINICIUS GIAMPIETRO MODESTO</t>
  </si>
  <si>
    <t>PR1228</t>
  </si>
  <si>
    <t>PR1222</t>
  </si>
  <si>
    <t>VRC PROGRAMAS TREINAMENTOS E CURSOS EDUCACIONAIS LTDA</t>
  </si>
  <si>
    <t>WELLINTON CARLOS RIBEIRO DA COSTA</t>
  </si>
  <si>
    <t>WHUIANE CAROLINE GOMES SPREAFICO</t>
  </si>
  <si>
    <t>ZANCHI PUPO EDUCACIONAL LTDA</t>
  </si>
  <si>
    <t>ZOE EDUCACIONAL COMERCIO DE MATERIAL DIDATICO LTDA</t>
  </si>
  <si>
    <t>FERNANDO JOSE LEANDRO DE SOUZA</t>
  </si>
  <si>
    <t>ENVIADO EM 21/09/2022.  Aguarda incidência da cobrança. Template para ajuizamento / Distribuída ação monitória - 4000140-82.2025.8.26.0359 - multa. (SOMENTE TÍTULO 091220000)</t>
  </si>
  <si>
    <t>ENVIADO EM 26/11/2024. PR1077 - VERIFICAR SE É REFERENTE AIO TÍTULO 000137823 (WAGNER JOSE DA SILVA MARIA 08251643899)</t>
  </si>
  <si>
    <t>ENVIADO EM 16/05/2024. PR0811 - RETORNOU PARA EXTRA</t>
  </si>
  <si>
    <t>MONITÓRIA / RETORNOU PARA EXTRA</t>
  </si>
  <si>
    <t>ENVIADO EM 16/05/2024. PR0267 / RETORNOU PARA EXTRA</t>
  </si>
  <si>
    <t>ENVIADO EM 09/02/2024. PR0819 / Referente a Ren: REN3862937283 - AC 33409) - Toca de interlocutor / PASSADO PARA JUD. ACORDOS (JOSSANA) - EM 23/03/2026 - PAI DO DEVEDOR ENTROU EM CONTATO PARA NEGOCIAR</t>
  </si>
  <si>
    <t>ENVIADO EM 31/05/2023. PR0967. Título de Taxa de Franquia transferido para a PJ INOVASTAKES SERVICOS EDUCACIONAIS LTDA após elaboração do parecer. / THIAGO ROBERTO SERRANO GINEZ - 312.679.218-97</t>
  </si>
  <si>
    <t>ANDERSON CAMARGO BITENCOURT - EIRELI</t>
  </si>
  <si>
    <t>ENVIADO EM 25/09/2024. PR0183 - Títulos - 000118593 e 000118798</t>
  </si>
  <si>
    <t>F.K.J  FORMACAO PROFISSIONAL LTDA ME</t>
  </si>
  <si>
    <t>Proc.: 4016264-37.2026.8.26.0576</t>
  </si>
  <si>
    <t>Proc.: 4016224-55.2026.8.26.0576</t>
  </si>
  <si>
    <t>Proc.: 4016317-18.2026.8.26.0576</t>
  </si>
  <si>
    <t>ENVIADO 13/03/2024. PR1073 - AUTORIZADO EM 30/04/2026 - SOMENTE REN - FALTA OS DEMAIS TÍTULOS ORIGINÁRIOS / DISTROBUIDA AÇÃO DE EXECUÇÃO - ADITIVO 30642</t>
  </si>
  <si>
    <t>Proc.: 4016190-80.2026.8.26.0576</t>
  </si>
  <si>
    <t>Solicitado troca de carteir - Jud. Prazo. / EM ANDAMENTO - (REN + TÍTULOS - EXCETO RENEG. INTERNA MOVEEDU) / distribuida ação de execução (ACORDO 33358)</t>
  </si>
  <si>
    <t>ENVIADO EM 23/09/2024. EM0246 - CONFORME HISTÓRICO DOS E-MAILS COBRANÇA SOMENTE ATÉ ABRIL/2021.</t>
  </si>
  <si>
    <t>ENVIADO EM 17/09/2024. PR0243. TÍTULOS ORIGINÁRIOS - AUTORIZADO EM 30/04/2026</t>
  </si>
  <si>
    <t>ENVIADO EM 17/09/2024. PR0243. REN3862937238 (AC 30601) - AUTOROZADO EM 30/04/2026.</t>
  </si>
  <si>
    <t>ENVIADO EM 07/03/2022. PR0987 - AUTORIZADO EM 30/04/2026 - JUD. DOCS OK - TROCA DE CARTEIRA EM: 11/05/2026 - Caroline</t>
  </si>
  <si>
    <t>010.746.401-28</t>
  </si>
  <si>
    <t>12.362.341/0001-96</t>
  </si>
  <si>
    <t>ENVIADO EM 06/02/2024 - PR1113 - AGUARDANDO RETORNO MAYELE REFERENTE AS NFs</t>
  </si>
  <si>
    <t>48.352.653/0001-66</t>
  </si>
  <si>
    <t>INICIADO PARECER</t>
  </si>
  <si>
    <t>SOLICITADO TROCA DE CARTEIRA PARA O SETOR JUD. PRAZO EM: 05/06/2026  / EM ANDAMENTO</t>
  </si>
  <si>
    <t>47.015.369/0001-31</t>
  </si>
  <si>
    <t>54.708.548/0001-10</t>
  </si>
  <si>
    <t xml:space="preserve">FEITO EXPORTAÇÃO  EVENTOS / EM: 13/06/2026 - PARECER PRONTO PARA ANÁLISE </t>
  </si>
  <si>
    <t>Proc.: 4025690-73.2026.8.26.0576</t>
  </si>
  <si>
    <t>(REN3862937228) - TROCA DE CARTEIRA - JUD PRAZO - 29/06/2026 - FEITO MONETÓRIA</t>
  </si>
  <si>
    <t>ENVIADO PARECER PARA ANÁLISE EM 27/07/2026 - E-MAIL DE JONATA MEDEIROS - COMUNICANDO PARA NÃO AJUIZAR E QUE VÃO SEGUIR PARA ARQUIVAMENTO.</t>
  </si>
  <si>
    <t>028.069.304-48</t>
  </si>
  <si>
    <t>49.179.960/0001-50</t>
  </si>
  <si>
    <t>11.062.868/0001-32</t>
  </si>
  <si>
    <t>SOLICITADO TROCA DE CARTERIA JUD PRAZO - 08/09/2026</t>
  </si>
  <si>
    <t>Proc.: 4033203-92.2026.8.26.0576</t>
  </si>
  <si>
    <t>INICIAL CONCLUIDA, AGUARDANDO CONFERÊNCIA</t>
  </si>
  <si>
    <t>16/09/206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</si>
</sst>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* #,##0.00_-;\-&quot;R$&quot;* #,##0.00_-;_-&quot;R$&quot;* &quot;-&quot;??_-;_-@_-"/>
    <numFmt numFmtId="43" formatCode="_-* #,##0.00_-;\-* #,##0.00_-;_-* &quot;-&quot;??_-;_-@_-"/>
  </numFmts>
  <fonts count="47">
    <font>
      <sz val="11"/>
      <color indexed="8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rebuchet MS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1E458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212529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  <scheme val="minor"/>
    </font>
    <font>
      <sz val="11"/>
      <color rgb="FF0B1118"/>
      <name val="Calibri"/>
      <family val="2"/>
      <scheme val="minor"/>
    </font>
    <font>
      <sz val="1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8607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0" fontId="23" fillId="0" borderId="0"/>
    <xf numFmtId="43" fontId="24" fillId="0" borderId="0" applyFont="0" applyFill="0" applyBorder="0" applyAlignment="0" applyProtection="0"/>
    <xf numFmtId="0" fontId="19" fillId="0" borderId="0"/>
    <xf numFmtId="0" fontId="17" fillId="0" borderId="0"/>
    <xf numFmtId="43" fontId="23" fillId="0" borderId="0" applyFont="0" applyFill="0" applyBorder="0" applyAlignment="0" applyProtection="0"/>
    <xf numFmtId="44" fontId="31" fillId="0" borderId="0" applyFont="0" applyFill="0" applyBorder="0" applyAlignment="0" applyProtection="0"/>
    <xf numFmtId="0" fontId="7" fillId="0" borderId="0"/>
  </cellStyleXfs>
  <cellXfs count="280">
    <xf numFmtId="0" fontId="0" fillId="0" borderId="0" xfId="0"/>
    <xf numFmtId="0" fontId="0" fillId="2" borderId="0" xfId="0" applyFill="1"/>
    <xf numFmtId="0" fontId="23" fillId="0" borderId="0" xfId="1"/>
    <xf numFmtId="0" fontId="20" fillId="3" borderId="1" xfId="1" applyFont="1" applyFill="1" applyBorder="1" applyAlignment="1">
      <alignment horizontal="center" vertical="top" wrapText="1"/>
    </xf>
    <xf numFmtId="0" fontId="21" fillId="3" borderId="2" xfId="1" applyFont="1" applyFill="1" applyBorder="1" applyAlignment="1">
      <alignment horizontal="center" vertical="top" wrapText="1"/>
    </xf>
    <xf numFmtId="0" fontId="23" fillId="0" borderId="3" xfId="1" applyBorder="1" applyAlignment="1">
      <alignment horizontal="center"/>
    </xf>
    <xf numFmtId="0" fontId="0" fillId="0" borderId="3" xfId="0" applyBorder="1"/>
    <xf numFmtId="0" fontId="23" fillId="0" borderId="0" xfId="1" applyAlignment="1">
      <alignment horizontal="center"/>
    </xf>
    <xf numFmtId="0" fontId="21" fillId="4" borderId="4" xfId="1" applyFont="1" applyFill="1" applyBorder="1" applyAlignment="1">
      <alignment horizontal="center" vertical="top" wrapText="1"/>
    </xf>
    <xf numFmtId="0" fontId="21" fillId="6" borderId="4" xfId="1" applyFont="1" applyFill="1" applyBorder="1" applyAlignment="1">
      <alignment horizontal="center" vertical="top" wrapText="1"/>
    </xf>
    <xf numFmtId="0" fontId="21" fillId="7" borderId="4" xfId="1" applyFont="1" applyFill="1" applyBorder="1" applyAlignment="1">
      <alignment horizontal="center" vertical="top" wrapText="1"/>
    </xf>
    <xf numFmtId="0" fontId="23" fillId="0" borderId="3" xfId="1" applyBorder="1"/>
    <xf numFmtId="0" fontId="24" fillId="0" borderId="3" xfId="1" applyFont="1" applyBorder="1" applyAlignment="1">
      <alignment horizontal="center"/>
    </xf>
    <xf numFmtId="0" fontId="0" fillId="0" borderId="3" xfId="1" applyFont="1" applyBorder="1" applyAlignment="1">
      <alignment horizontal="center"/>
    </xf>
    <xf numFmtId="0" fontId="0" fillId="0" borderId="3" xfId="1" applyFont="1" applyBorder="1"/>
    <xf numFmtId="0" fontId="21" fillId="8" borderId="4" xfId="1" applyFont="1" applyFill="1" applyBorder="1" applyAlignment="1">
      <alignment horizontal="center" vertical="top" wrapText="1"/>
    </xf>
    <xf numFmtId="49" fontId="23" fillId="0" borderId="0" xfId="1" applyNumberFormat="1"/>
    <xf numFmtId="0" fontId="19" fillId="0" borderId="3" xfId="3" applyBorder="1"/>
    <xf numFmtId="0" fontId="18" fillId="0" borderId="3" xfId="3" applyFont="1" applyBorder="1"/>
    <xf numFmtId="0" fontId="26" fillId="0" borderId="3" xfId="1" applyFont="1" applyBorder="1"/>
    <xf numFmtId="0" fontId="21" fillId="10" borderId="4" xfId="1" applyFont="1" applyFill="1" applyBorder="1" applyAlignment="1">
      <alignment horizontal="center" vertical="top" wrapText="1"/>
    </xf>
    <xf numFmtId="4" fontId="0" fillId="0" borderId="3" xfId="1" applyNumberFormat="1" applyFont="1" applyBorder="1"/>
    <xf numFmtId="0" fontId="28" fillId="0" borderId="3" xfId="0" applyFont="1" applyBorder="1"/>
    <xf numFmtId="0" fontId="30" fillId="0" borderId="3" xfId="0" applyFont="1" applyBorder="1"/>
    <xf numFmtId="0" fontId="23" fillId="12" borderId="3" xfId="1" applyFill="1" applyBorder="1"/>
    <xf numFmtId="14" fontId="23" fillId="0" borderId="3" xfId="1" applyNumberFormat="1" applyBorder="1" applyAlignment="1">
      <alignment horizontal="center"/>
    </xf>
    <xf numFmtId="14" fontId="0" fillId="0" borderId="3" xfId="1" applyNumberFormat="1" applyFont="1" applyBorder="1" applyAlignment="1">
      <alignment horizontal="center"/>
    </xf>
    <xf numFmtId="0" fontId="27" fillId="0" borderId="3" xfId="1" applyFont="1" applyBorder="1"/>
    <xf numFmtId="0" fontId="27" fillId="0" borderId="3" xfId="1" applyFont="1" applyBorder="1" applyAlignment="1">
      <alignment horizontal="center"/>
    </xf>
    <xf numFmtId="14" fontId="27" fillId="0" borderId="3" xfId="1" applyNumberFormat="1" applyFont="1" applyBorder="1" applyAlignment="1">
      <alignment horizontal="center"/>
    </xf>
    <xf numFmtId="0" fontId="23" fillId="0" borderId="3" xfId="0" applyFont="1" applyBorder="1"/>
    <xf numFmtId="2" fontId="0" fillId="0" borderId="3" xfId="6" applyNumberFormat="1" applyFont="1" applyBorder="1"/>
    <xf numFmtId="2" fontId="23" fillId="0" borderId="3" xfId="6" applyNumberFormat="1" applyFont="1" applyBorder="1"/>
    <xf numFmtId="2" fontId="23" fillId="0" borderId="3" xfId="6" applyNumberFormat="1" applyFont="1" applyBorder="1" applyAlignment="1">
      <alignment horizontal="right"/>
    </xf>
    <xf numFmtId="4" fontId="23" fillId="0" borderId="3" xfId="1" applyNumberFormat="1" applyBorder="1"/>
    <xf numFmtId="0" fontId="16" fillId="0" borderId="3" xfId="3" applyFont="1" applyBorder="1"/>
    <xf numFmtId="0" fontId="15" fillId="0" borderId="3" xfId="1" applyFont="1" applyBorder="1"/>
    <xf numFmtId="2" fontId="15" fillId="0" borderId="3" xfId="6" applyNumberFormat="1" applyFont="1" applyBorder="1"/>
    <xf numFmtId="0" fontId="22" fillId="0" borderId="3" xfId="1" applyFont="1" applyBorder="1"/>
    <xf numFmtId="0" fontId="14" fillId="0" borderId="3" xfId="3" applyFont="1" applyBorder="1"/>
    <xf numFmtId="0" fontId="13" fillId="0" borderId="3" xfId="1" applyFont="1" applyBorder="1"/>
    <xf numFmtId="0" fontId="22" fillId="0" borderId="3" xfId="1" applyFont="1" applyBorder="1" applyAlignment="1">
      <alignment horizontal="center"/>
    </xf>
    <xf numFmtId="0" fontId="12" fillId="0" borderId="3" xfId="1" applyFont="1" applyBorder="1"/>
    <xf numFmtId="0" fontId="11" fillId="0" borderId="3" xfId="1" applyFont="1" applyBorder="1"/>
    <xf numFmtId="0" fontId="35" fillId="0" borderId="3" xfId="1" applyFont="1" applyBorder="1" applyAlignment="1">
      <alignment horizontal="center"/>
    </xf>
    <xf numFmtId="0" fontId="10" fillId="0" borderId="3" xfId="1" applyFont="1" applyBorder="1"/>
    <xf numFmtId="2" fontId="29" fillId="11" borderId="3" xfId="6" applyNumberFormat="1" applyFont="1" applyFill="1" applyBorder="1" applyAlignment="1">
      <alignment vertical="center"/>
    </xf>
    <xf numFmtId="0" fontId="21" fillId="5" borderId="3" xfId="1" applyFont="1" applyFill="1" applyBorder="1" applyAlignment="1">
      <alignment horizontal="center" vertical="center" wrapText="1"/>
    </xf>
    <xf numFmtId="0" fontId="21" fillId="3" borderId="3" xfId="1" applyFont="1" applyFill="1" applyBorder="1" applyAlignment="1">
      <alignment horizontal="center" vertical="center" wrapText="1"/>
    </xf>
    <xf numFmtId="0" fontId="25" fillId="5" borderId="3" xfId="1" applyFont="1" applyFill="1" applyBorder="1" applyAlignment="1">
      <alignment horizontal="center" vertical="center" wrapText="1"/>
    </xf>
    <xf numFmtId="0" fontId="22" fillId="13" borderId="3" xfId="0" applyFont="1" applyFill="1" applyBorder="1" applyAlignment="1">
      <alignment vertical="center"/>
    </xf>
    <xf numFmtId="0" fontId="21" fillId="3" borderId="2" xfId="1" applyFont="1" applyFill="1" applyBorder="1" applyAlignment="1">
      <alignment horizontal="center" vertical="center" wrapText="1"/>
    </xf>
    <xf numFmtId="0" fontId="21" fillId="3" borderId="5" xfId="1" applyFont="1" applyFill="1" applyBorder="1" applyAlignment="1">
      <alignment horizontal="center" vertical="center" wrapText="1"/>
    </xf>
    <xf numFmtId="0" fontId="21" fillId="5" borderId="6" xfId="1" applyFont="1" applyFill="1" applyBorder="1" applyAlignment="1">
      <alignment horizontal="center" vertical="center" wrapText="1"/>
    </xf>
    <xf numFmtId="0" fontId="21" fillId="5" borderId="4" xfId="1" applyFont="1" applyFill="1" applyBorder="1" applyAlignment="1">
      <alignment horizontal="center" vertical="center" wrapText="1"/>
    </xf>
    <xf numFmtId="0" fontId="25" fillId="5" borderId="4" xfId="1" applyFont="1" applyFill="1" applyBorder="1" applyAlignment="1">
      <alignment horizontal="center" vertical="center" wrapText="1"/>
    </xf>
    <xf numFmtId="2" fontId="23" fillId="0" borderId="3" xfId="6" applyNumberFormat="1" applyFont="1" applyBorder="1" applyAlignment="1">
      <alignment horizontal="center"/>
    </xf>
    <xf numFmtId="2" fontId="0" fillId="0" borderId="3" xfId="6" applyNumberFormat="1" applyFont="1" applyBorder="1" applyAlignment="1">
      <alignment horizontal="center"/>
    </xf>
    <xf numFmtId="0" fontId="9" fillId="0" borderId="3" xfId="1" applyFont="1" applyBorder="1"/>
    <xf numFmtId="4" fontId="23" fillId="0" borderId="3" xfId="0" applyNumberFormat="1" applyFont="1" applyBorder="1"/>
    <xf numFmtId="0" fontId="21" fillId="3" borderId="0" xfId="1" applyFont="1" applyFill="1" applyAlignment="1">
      <alignment horizontal="center" vertical="center" wrapText="1"/>
    </xf>
    <xf numFmtId="0" fontId="35" fillId="14" borderId="3" xfId="1" applyFont="1" applyFill="1" applyBorder="1" applyAlignment="1">
      <alignment horizontal="center"/>
    </xf>
    <xf numFmtId="0" fontId="23" fillId="14" borderId="3" xfId="0" applyFont="1" applyFill="1" applyBorder="1"/>
    <xf numFmtId="0" fontId="26" fillId="14" borderId="3" xfId="1" applyFont="1" applyFill="1" applyBorder="1"/>
    <xf numFmtId="0" fontId="22" fillId="14" borderId="3" xfId="1" applyFont="1" applyFill="1" applyBorder="1" applyAlignment="1">
      <alignment horizontal="center"/>
    </xf>
    <xf numFmtId="0" fontId="28" fillId="14" borderId="3" xfId="0" applyFont="1" applyFill="1" applyBorder="1"/>
    <xf numFmtId="0" fontId="38" fillId="14" borderId="3" xfId="1" applyFont="1" applyFill="1" applyBorder="1" applyAlignment="1">
      <alignment horizontal="center"/>
    </xf>
    <xf numFmtId="0" fontId="36" fillId="14" borderId="3" xfId="1" applyFont="1" applyFill="1" applyBorder="1" applyAlignment="1">
      <alignment horizontal="center"/>
    </xf>
    <xf numFmtId="0" fontId="37" fillId="14" borderId="3" xfId="1" applyFont="1" applyFill="1" applyBorder="1" applyAlignment="1">
      <alignment horizontal="center"/>
    </xf>
    <xf numFmtId="0" fontId="38" fillId="15" borderId="3" xfId="1" applyFont="1" applyFill="1" applyBorder="1" applyAlignment="1">
      <alignment horizontal="center"/>
    </xf>
    <xf numFmtId="0" fontId="36" fillId="15" borderId="3" xfId="1" applyFont="1" applyFill="1" applyBorder="1" applyAlignment="1">
      <alignment horizontal="center"/>
    </xf>
    <xf numFmtId="0" fontId="22" fillId="15" borderId="3" xfId="1" applyFont="1" applyFill="1" applyBorder="1" applyAlignment="1">
      <alignment horizontal="center"/>
    </xf>
    <xf numFmtId="0" fontId="23" fillId="15" borderId="0" xfId="1" applyFill="1"/>
    <xf numFmtId="0" fontId="23" fillId="14" borderId="0" xfId="1" applyFill="1"/>
    <xf numFmtId="0" fontId="33" fillId="14" borderId="3" xfId="0" applyFont="1" applyFill="1" applyBorder="1" applyAlignment="1">
      <alignment horizontal="right"/>
    </xf>
    <xf numFmtId="2" fontId="23" fillId="14" borderId="3" xfId="6" applyNumberFormat="1" applyFont="1" applyFill="1" applyBorder="1" applyAlignment="1"/>
    <xf numFmtId="4" fontId="33" fillId="14" borderId="3" xfId="0" applyNumberFormat="1" applyFont="1" applyFill="1" applyBorder="1"/>
    <xf numFmtId="2" fontId="23" fillId="15" borderId="3" xfId="6" applyNumberFormat="1" applyFont="1" applyFill="1" applyBorder="1" applyAlignment="1"/>
    <xf numFmtId="2" fontId="23" fillId="14" borderId="9" xfId="6" applyNumberFormat="1" applyFont="1" applyFill="1" applyBorder="1" applyAlignment="1"/>
    <xf numFmtId="4" fontId="23" fillId="14" borderId="3" xfId="0" applyNumberFormat="1" applyFont="1" applyFill="1" applyBorder="1"/>
    <xf numFmtId="0" fontId="23" fillId="17" borderId="0" xfId="1" applyFill="1"/>
    <xf numFmtId="0" fontId="35" fillId="17" borderId="3" xfId="1" applyFont="1" applyFill="1" applyBorder="1" applyAlignment="1">
      <alignment horizontal="center"/>
    </xf>
    <xf numFmtId="2" fontId="23" fillId="17" borderId="3" xfId="6" applyNumberFormat="1" applyFont="1" applyFill="1" applyBorder="1" applyAlignment="1"/>
    <xf numFmtId="0" fontId="33" fillId="17" borderId="3" xfId="0" applyFont="1" applyFill="1" applyBorder="1" applyAlignment="1">
      <alignment horizontal="right"/>
    </xf>
    <xf numFmtId="0" fontId="23" fillId="19" borderId="0" xfId="1" applyFill="1"/>
    <xf numFmtId="0" fontId="26" fillId="15" borderId="3" xfId="1" applyFont="1" applyFill="1" applyBorder="1" applyAlignment="1">
      <alignment horizontal="center"/>
    </xf>
    <xf numFmtId="0" fontId="26" fillId="9" borderId="3" xfId="1" applyFont="1" applyFill="1" applyBorder="1" applyAlignment="1">
      <alignment horizontal="center"/>
    </xf>
    <xf numFmtId="0" fontId="26" fillId="14" borderId="3" xfId="1" applyFont="1" applyFill="1" applyBorder="1" applyAlignment="1">
      <alignment horizontal="center"/>
    </xf>
    <xf numFmtId="0" fontId="26" fillId="18" borderId="3" xfId="1" applyFont="1" applyFill="1" applyBorder="1" applyAlignment="1">
      <alignment horizontal="center"/>
    </xf>
    <xf numFmtId="49" fontId="23" fillId="16" borderId="3" xfId="1" applyNumberFormat="1" applyFill="1" applyBorder="1"/>
    <xf numFmtId="49" fontId="23" fillId="14" borderId="3" xfId="1" applyNumberFormat="1" applyFill="1" applyBorder="1"/>
    <xf numFmtId="49" fontId="23" fillId="18" borderId="3" xfId="1" applyNumberFormat="1" applyFill="1" applyBorder="1"/>
    <xf numFmtId="49" fontId="23" fillId="15" borderId="3" xfId="1" applyNumberFormat="1" applyFill="1" applyBorder="1"/>
    <xf numFmtId="49" fontId="23" fillId="17" borderId="3" xfId="1" applyNumberFormat="1" applyFill="1" applyBorder="1" applyAlignment="1">
      <alignment wrapText="1"/>
    </xf>
    <xf numFmtId="0" fontId="23" fillId="19" borderId="0" xfId="1" applyFill="1" applyAlignment="1">
      <alignment horizontal="left"/>
    </xf>
    <xf numFmtId="0" fontId="23" fillId="12" borderId="0" xfId="1" applyFill="1"/>
    <xf numFmtId="49" fontId="23" fillId="9" borderId="3" xfId="1" applyNumberFormat="1" applyFill="1" applyBorder="1" applyAlignment="1">
      <alignment wrapText="1"/>
    </xf>
    <xf numFmtId="0" fontId="33" fillId="14" borderId="0" xfId="0" applyFont="1" applyFill="1" applyAlignment="1">
      <alignment horizontal="right"/>
    </xf>
    <xf numFmtId="4" fontId="33" fillId="14" borderId="0" xfId="0" applyNumberFormat="1" applyFont="1" applyFill="1"/>
    <xf numFmtId="4" fontId="23" fillId="14" borderId="0" xfId="0" applyNumberFormat="1" applyFont="1" applyFill="1"/>
    <xf numFmtId="0" fontId="23" fillId="14" borderId="0" xfId="0" applyFont="1" applyFill="1"/>
    <xf numFmtId="14" fontId="23" fillId="14" borderId="0" xfId="0" applyNumberFormat="1" applyFont="1" applyFill="1" applyAlignment="1">
      <alignment horizontal="center"/>
    </xf>
    <xf numFmtId="14" fontId="33" fillId="14" borderId="0" xfId="0" applyNumberFormat="1" applyFont="1" applyFill="1" applyAlignment="1">
      <alignment horizontal="center"/>
    </xf>
    <xf numFmtId="2" fontId="23" fillId="14" borderId="3" xfId="6" applyNumberFormat="1" applyFont="1" applyFill="1" applyBorder="1" applyAlignment="1">
      <alignment horizontal="center"/>
    </xf>
    <xf numFmtId="2" fontId="23" fillId="14" borderId="9" xfId="6" applyNumberFormat="1" applyFont="1" applyFill="1" applyBorder="1" applyAlignment="1">
      <alignment horizontal="center"/>
    </xf>
    <xf numFmtId="2" fontId="23" fillId="15" borderId="3" xfId="6" applyNumberFormat="1" applyFont="1" applyFill="1" applyBorder="1" applyAlignment="1">
      <alignment horizontal="center"/>
    </xf>
    <xf numFmtId="2" fontId="23" fillId="17" borderId="3" xfId="6" applyNumberFormat="1" applyFont="1" applyFill="1" applyBorder="1" applyAlignment="1">
      <alignment horizontal="center"/>
    </xf>
    <xf numFmtId="2" fontId="23" fillId="14" borderId="8" xfId="6" applyNumberFormat="1" applyFont="1" applyFill="1" applyBorder="1" applyAlignment="1">
      <alignment horizontal="center"/>
    </xf>
    <xf numFmtId="4" fontId="33" fillId="14" borderId="0" xfId="0" applyNumberFormat="1" applyFont="1" applyFill="1" applyAlignment="1">
      <alignment horizontal="center"/>
    </xf>
    <xf numFmtId="4" fontId="23" fillId="12" borderId="0" xfId="1" applyNumberFormat="1" applyFill="1"/>
    <xf numFmtId="0" fontId="33" fillId="12" borderId="0" xfId="0" applyFont="1" applyFill="1"/>
    <xf numFmtId="0" fontId="34" fillId="12" borderId="0" xfId="0" applyFont="1" applyFill="1"/>
    <xf numFmtId="14" fontId="27" fillId="0" borderId="3" xfId="1" applyNumberFormat="1" applyFont="1" applyBorder="1" applyAlignment="1">
      <alignment horizontal="left" wrapText="1"/>
    </xf>
    <xf numFmtId="0" fontId="26" fillId="0" borderId="3" xfId="1" applyFont="1" applyBorder="1" applyAlignment="1">
      <alignment horizontal="left" wrapText="1"/>
    </xf>
    <xf numFmtId="0" fontId="27" fillId="0" borderId="3" xfId="1" applyFont="1" applyBorder="1" applyAlignment="1">
      <alignment horizontal="left" wrapText="1"/>
    </xf>
    <xf numFmtId="0" fontId="23" fillId="0" borderId="0" xfId="1" applyAlignment="1">
      <alignment horizontal="center" wrapText="1"/>
    </xf>
    <xf numFmtId="0" fontId="26" fillId="20" borderId="3" xfId="1" applyFont="1" applyFill="1" applyBorder="1" applyAlignment="1">
      <alignment horizontal="center"/>
    </xf>
    <xf numFmtId="49" fontId="23" fillId="20" borderId="3" xfId="1" applyNumberFormat="1" applyFill="1" applyBorder="1" applyAlignment="1">
      <alignment wrapText="1"/>
    </xf>
    <xf numFmtId="0" fontId="36" fillId="17" borderId="3" xfId="1" applyFont="1" applyFill="1" applyBorder="1" applyAlignment="1">
      <alignment horizontal="center" wrapText="1"/>
    </xf>
    <xf numFmtId="0" fontId="36" fillId="14" borderId="3" xfId="1" applyFont="1" applyFill="1" applyBorder="1" applyAlignment="1">
      <alignment horizontal="center" wrapText="1"/>
    </xf>
    <xf numFmtId="0" fontId="26" fillId="15" borderId="3" xfId="1" applyFont="1" applyFill="1" applyBorder="1" applyAlignment="1">
      <alignment horizontal="center" wrapText="1"/>
    </xf>
    <xf numFmtId="0" fontId="22" fillId="14" borderId="3" xfId="1" applyFont="1" applyFill="1" applyBorder="1" applyAlignment="1">
      <alignment horizontal="center" wrapText="1"/>
    </xf>
    <xf numFmtId="0" fontId="22" fillId="9" borderId="3" xfId="1" applyFont="1" applyFill="1" applyBorder="1" applyAlignment="1">
      <alignment horizontal="center" wrapText="1"/>
    </xf>
    <xf numFmtId="0" fontId="22" fillId="15" borderId="3" xfId="1" applyFont="1" applyFill="1" applyBorder="1" applyAlignment="1">
      <alignment horizontal="center" wrapText="1"/>
    </xf>
    <xf numFmtId="0" fontId="36" fillId="20" borderId="3" xfId="1" applyFont="1" applyFill="1" applyBorder="1" applyAlignment="1">
      <alignment horizontal="center" wrapText="1"/>
    </xf>
    <xf numFmtId="0" fontId="38" fillId="14" borderId="3" xfId="1" applyFont="1" applyFill="1" applyBorder="1" applyAlignment="1">
      <alignment horizontal="center" wrapText="1"/>
    </xf>
    <xf numFmtId="0" fontId="26" fillId="14" borderId="3" xfId="1" applyFont="1" applyFill="1" applyBorder="1" applyAlignment="1">
      <alignment horizontal="center" wrapText="1"/>
    </xf>
    <xf numFmtId="0" fontId="26" fillId="9" borderId="3" xfId="1" applyFont="1" applyFill="1" applyBorder="1" applyAlignment="1">
      <alignment horizontal="center" wrapText="1"/>
    </xf>
    <xf numFmtId="0" fontId="26" fillId="19" borderId="3" xfId="1" applyFont="1" applyFill="1" applyBorder="1" applyAlignment="1">
      <alignment horizontal="center" wrapText="1"/>
    </xf>
    <xf numFmtId="0" fontId="7" fillId="0" borderId="0" xfId="7"/>
    <xf numFmtId="0" fontId="41" fillId="21" borderId="0" xfId="7" applyFont="1" applyFill="1"/>
    <xf numFmtId="0" fontId="21" fillId="5" borderId="4" xfId="1" applyFont="1" applyFill="1" applyBorder="1" applyAlignment="1">
      <alignment horizontal="left" vertical="top" wrapText="1"/>
    </xf>
    <xf numFmtId="0" fontId="23" fillId="0" borderId="0" xfId="1" applyAlignment="1">
      <alignment horizontal="left" vertical="top" wrapText="1"/>
    </xf>
    <xf numFmtId="0" fontId="22" fillId="14" borderId="3" xfId="1" applyFont="1" applyFill="1" applyBorder="1"/>
    <xf numFmtId="49" fontId="22" fillId="14" borderId="3" xfId="1" applyNumberFormat="1" applyFont="1" applyFill="1" applyBorder="1"/>
    <xf numFmtId="2" fontId="22" fillId="14" borderId="3" xfId="6" applyNumberFormat="1" applyFont="1" applyFill="1" applyBorder="1" applyAlignment="1"/>
    <xf numFmtId="4" fontId="42" fillId="14" borderId="3" xfId="0" applyNumberFormat="1" applyFont="1" applyFill="1" applyBorder="1"/>
    <xf numFmtId="2" fontId="22" fillId="14" borderId="3" xfId="6" applyNumberFormat="1" applyFont="1" applyFill="1" applyBorder="1" applyAlignment="1">
      <alignment horizontal="center"/>
    </xf>
    <xf numFmtId="14" fontId="22" fillId="14" borderId="3" xfId="1" applyNumberFormat="1" applyFont="1" applyFill="1" applyBorder="1" applyAlignment="1">
      <alignment horizontal="center"/>
    </xf>
    <xf numFmtId="0" fontId="22" fillId="0" borderId="3" xfId="1" applyFont="1" applyBorder="1" applyAlignment="1">
      <alignment horizontal="left" vertical="top" wrapText="1"/>
    </xf>
    <xf numFmtId="0" fontId="22" fillId="12" borderId="0" xfId="1" applyFont="1" applyFill="1"/>
    <xf numFmtId="0" fontId="22" fillId="0" borderId="0" xfId="1" applyFont="1"/>
    <xf numFmtId="14" fontId="22" fillId="14" borderId="7" xfId="1" applyNumberFormat="1" applyFont="1" applyFill="1" applyBorder="1" applyAlignment="1">
      <alignment horizontal="center"/>
    </xf>
    <xf numFmtId="0" fontId="22" fillId="3" borderId="1" xfId="1" applyFont="1" applyFill="1" applyBorder="1" applyAlignment="1">
      <alignment horizontal="center" vertical="center" wrapText="1"/>
    </xf>
    <xf numFmtId="49" fontId="43" fillId="3" borderId="2" xfId="1" applyNumberFormat="1" applyFont="1" applyFill="1" applyBorder="1" applyAlignment="1">
      <alignment horizontal="center" vertical="center" wrapText="1"/>
    </xf>
    <xf numFmtId="0" fontId="26" fillId="14" borderId="0" xfId="0" applyFont="1" applyFill="1"/>
    <xf numFmtId="0" fontId="26" fillId="14" borderId="3" xfId="0" applyFont="1" applyFill="1" applyBorder="1"/>
    <xf numFmtId="4" fontId="26" fillId="14" borderId="3" xfId="0" applyNumberFormat="1" applyFont="1" applyFill="1" applyBorder="1"/>
    <xf numFmtId="0" fontId="26" fillId="17" borderId="0" xfId="0" applyFont="1" applyFill="1"/>
    <xf numFmtId="14" fontId="26" fillId="15" borderId="3" xfId="1" applyNumberFormat="1" applyFont="1" applyFill="1" applyBorder="1" applyAlignment="1">
      <alignment horizontal="center"/>
    </xf>
    <xf numFmtId="0" fontId="44" fillId="14" borderId="3" xfId="0" applyFont="1" applyFill="1" applyBorder="1"/>
    <xf numFmtId="14" fontId="26" fillId="14" borderId="3" xfId="1" applyNumberFormat="1" applyFont="1" applyFill="1" applyBorder="1" applyAlignment="1">
      <alignment horizontal="center"/>
    </xf>
    <xf numFmtId="14" fontId="26" fillId="14" borderId="3" xfId="1" applyNumberFormat="1" applyFont="1" applyFill="1" applyBorder="1"/>
    <xf numFmtId="0" fontId="26" fillId="14" borderId="9" xfId="0" applyFont="1" applyFill="1" applyBorder="1"/>
    <xf numFmtId="0" fontId="26" fillId="17" borderId="3" xfId="0" applyFont="1" applyFill="1" applyBorder="1"/>
    <xf numFmtId="0" fontId="44" fillId="14" borderId="0" xfId="0" applyFont="1" applyFill="1"/>
    <xf numFmtId="0" fontId="26" fillId="14" borderId="3" xfId="1" applyFont="1" applyFill="1" applyBorder="1" applyAlignment="1">
      <alignment horizontal="left"/>
    </xf>
    <xf numFmtId="0" fontId="26" fillId="22" borderId="3" xfId="1" applyFont="1" applyFill="1" applyBorder="1" applyAlignment="1">
      <alignment horizontal="center"/>
    </xf>
    <xf numFmtId="0" fontId="26" fillId="22" borderId="3" xfId="1" applyFont="1" applyFill="1" applyBorder="1" applyAlignment="1">
      <alignment horizontal="center" wrapText="1"/>
    </xf>
    <xf numFmtId="0" fontId="40" fillId="22" borderId="3" xfId="1" applyFont="1" applyFill="1" applyBorder="1"/>
    <xf numFmtId="0" fontId="40" fillId="22" borderId="3" xfId="1" applyFont="1" applyFill="1" applyBorder="1" applyAlignment="1">
      <alignment horizontal="center"/>
    </xf>
    <xf numFmtId="0" fontId="40" fillId="22" borderId="3" xfId="1" applyFont="1" applyFill="1" applyBorder="1" applyAlignment="1">
      <alignment horizontal="center" wrapText="1"/>
    </xf>
    <xf numFmtId="2" fontId="23" fillId="22" borderId="3" xfId="6" applyNumberFormat="1" applyFont="1" applyFill="1" applyBorder="1" applyAlignment="1"/>
    <xf numFmtId="2" fontId="23" fillId="22" borderId="3" xfId="6" applyNumberFormat="1" applyFont="1" applyFill="1" applyBorder="1" applyAlignment="1">
      <alignment horizontal="center"/>
    </xf>
    <xf numFmtId="0" fontId="22" fillId="22" borderId="3" xfId="1" applyFont="1" applyFill="1" applyBorder="1"/>
    <xf numFmtId="49" fontId="22" fillId="22" borderId="3" xfId="1" applyNumberFormat="1" applyFont="1" applyFill="1" applyBorder="1"/>
    <xf numFmtId="2" fontId="22" fillId="22" borderId="3" xfId="6" applyNumberFormat="1" applyFont="1" applyFill="1" applyBorder="1" applyAlignment="1"/>
    <xf numFmtId="2" fontId="22" fillId="22" borderId="3" xfId="6" applyNumberFormat="1" applyFont="1" applyFill="1" applyBorder="1" applyAlignment="1">
      <alignment horizontal="center"/>
    </xf>
    <xf numFmtId="0" fontId="22" fillId="22" borderId="3" xfId="1" applyFont="1" applyFill="1" applyBorder="1" applyAlignment="1">
      <alignment horizontal="center" wrapText="1"/>
    </xf>
    <xf numFmtId="0" fontId="22" fillId="22" borderId="3" xfId="1" applyFont="1" applyFill="1" applyBorder="1" applyAlignment="1">
      <alignment horizontal="center"/>
    </xf>
    <xf numFmtId="0" fontId="44" fillId="22" borderId="3" xfId="1" applyFont="1" applyFill="1" applyBorder="1" applyAlignment="1">
      <alignment horizontal="center"/>
    </xf>
    <xf numFmtId="2" fontId="32" fillId="22" borderId="3" xfId="6" applyNumberFormat="1" applyFont="1" applyFill="1" applyBorder="1" applyAlignment="1"/>
    <xf numFmtId="2" fontId="32" fillId="22" borderId="0" xfId="6" applyNumberFormat="1" applyFont="1" applyFill="1" applyBorder="1" applyAlignment="1">
      <alignment horizontal="center" vertical="center"/>
    </xf>
    <xf numFmtId="4" fontId="22" fillId="22" borderId="3" xfId="1" applyNumberFormat="1" applyFont="1" applyFill="1" applyBorder="1"/>
    <xf numFmtId="4" fontId="22" fillId="22" borderId="3" xfId="1" applyNumberFormat="1" applyFont="1" applyFill="1" applyBorder="1" applyAlignment="1">
      <alignment horizontal="center"/>
    </xf>
    <xf numFmtId="49" fontId="23" fillId="12" borderId="3" xfId="1" applyNumberFormat="1" applyFill="1" applyBorder="1"/>
    <xf numFmtId="0" fontId="23" fillId="12" borderId="3" xfId="1" applyFill="1" applyBorder="1" applyAlignment="1">
      <alignment horizontal="center"/>
    </xf>
    <xf numFmtId="4" fontId="22" fillId="14" borderId="3" xfId="1" applyNumberFormat="1" applyFont="1" applyFill="1" applyBorder="1"/>
    <xf numFmtId="4" fontId="22" fillId="14" borderId="3" xfId="1" applyNumberFormat="1" applyFont="1" applyFill="1" applyBorder="1" applyAlignment="1">
      <alignment horizontal="center"/>
    </xf>
    <xf numFmtId="0" fontId="26" fillId="9" borderId="3" xfId="0" applyFont="1" applyFill="1" applyBorder="1"/>
    <xf numFmtId="4" fontId="45" fillId="9" borderId="3" xfId="0" applyNumberFormat="1" applyFont="1" applyFill="1" applyBorder="1"/>
    <xf numFmtId="14" fontId="23" fillId="12" borderId="3" xfId="1" applyNumberFormat="1" applyFill="1" applyBorder="1" applyAlignment="1">
      <alignment horizontal="center"/>
    </xf>
    <xf numFmtId="2" fontId="23" fillId="12" borderId="3" xfId="6" applyNumberFormat="1" applyFont="1" applyFill="1" applyBorder="1" applyAlignment="1"/>
    <xf numFmtId="4" fontId="33" fillId="12" borderId="3" xfId="0" applyNumberFormat="1" applyFont="1" applyFill="1" applyBorder="1"/>
    <xf numFmtId="2" fontId="23" fillId="12" borderId="3" xfId="6" applyNumberFormat="1" applyFont="1" applyFill="1" applyBorder="1" applyAlignment="1">
      <alignment horizontal="center"/>
    </xf>
    <xf numFmtId="0" fontId="23" fillId="12" borderId="3" xfId="1" applyFill="1" applyBorder="1" applyAlignment="1">
      <alignment horizontal="center" wrapText="1"/>
    </xf>
    <xf numFmtId="0" fontId="26" fillId="12" borderId="3" xfId="0" applyFont="1" applyFill="1" applyBorder="1"/>
    <xf numFmtId="14" fontId="8" fillId="12" borderId="3" xfId="1" applyNumberFormat="1" applyFont="1" applyFill="1" applyBorder="1" applyAlignment="1">
      <alignment horizontal="left" wrapText="1"/>
    </xf>
    <xf numFmtId="2" fontId="23" fillId="9" borderId="3" xfId="6" applyNumberFormat="1" applyFont="1" applyFill="1" applyBorder="1" applyAlignment="1"/>
    <xf numFmtId="4" fontId="33" fillId="9" borderId="3" xfId="0" applyNumberFormat="1" applyFont="1" applyFill="1" applyBorder="1"/>
    <xf numFmtId="4" fontId="45" fillId="9" borderId="0" xfId="0" applyNumberFormat="1" applyFont="1" applyFill="1"/>
    <xf numFmtId="0" fontId="23" fillId="14" borderId="3" xfId="1" applyFill="1" applyBorder="1"/>
    <xf numFmtId="0" fontId="23" fillId="14" borderId="3" xfId="1" applyFill="1" applyBorder="1" applyAlignment="1">
      <alignment horizontal="center" wrapText="1"/>
    </xf>
    <xf numFmtId="0" fontId="23" fillId="14" borderId="3" xfId="1" applyFill="1" applyBorder="1" applyAlignment="1">
      <alignment horizontal="center"/>
    </xf>
    <xf numFmtId="14" fontId="23" fillId="14" borderId="7" xfId="1" applyNumberFormat="1" applyFill="1" applyBorder="1" applyAlignment="1">
      <alignment horizontal="center"/>
    </xf>
    <xf numFmtId="0" fontId="23" fillId="0" borderId="3" xfId="1" applyBorder="1" applyAlignment="1">
      <alignment horizontal="left" wrapText="1"/>
    </xf>
    <xf numFmtId="0" fontId="6" fillId="14" borderId="3" xfId="1" applyFont="1" applyFill="1" applyBorder="1"/>
    <xf numFmtId="0" fontId="6" fillId="0" borderId="3" xfId="1" applyFont="1" applyBorder="1" applyAlignment="1">
      <alignment horizontal="left" vertical="top" wrapText="1"/>
    </xf>
    <xf numFmtId="0" fontId="23" fillId="22" borderId="3" xfId="1" applyFill="1" applyBorder="1"/>
    <xf numFmtId="49" fontId="23" fillId="22" borderId="3" xfId="1" applyNumberFormat="1" applyFill="1" applyBorder="1"/>
    <xf numFmtId="0" fontId="23" fillId="22" borderId="3" xfId="1" applyFill="1" applyBorder="1" applyAlignment="1">
      <alignment horizontal="center" wrapText="1"/>
    </xf>
    <xf numFmtId="0" fontId="23" fillId="22" borderId="3" xfId="1" applyFill="1" applyBorder="1" applyAlignment="1">
      <alignment horizontal="center"/>
    </xf>
    <xf numFmtId="14" fontId="23" fillId="14" borderId="3" xfId="1" applyNumberFormat="1" applyFill="1" applyBorder="1" applyAlignment="1">
      <alignment horizontal="center"/>
    </xf>
    <xf numFmtId="0" fontId="23" fillId="0" borderId="3" xfId="1" applyBorder="1" applyAlignment="1">
      <alignment horizontal="left" vertical="top" wrapText="1"/>
    </xf>
    <xf numFmtId="14" fontId="6" fillId="0" borderId="3" xfId="1" applyNumberFormat="1" applyFont="1" applyBorder="1" applyAlignment="1">
      <alignment horizontal="left" wrapText="1"/>
    </xf>
    <xf numFmtId="0" fontId="6" fillId="0" borderId="3" xfId="1" applyFont="1" applyBorder="1" applyAlignment="1">
      <alignment horizontal="left" wrapText="1"/>
    </xf>
    <xf numFmtId="49" fontId="6" fillId="14" borderId="3" xfId="1" applyNumberFormat="1" applyFont="1" applyFill="1" applyBorder="1"/>
    <xf numFmtId="2" fontId="6" fillId="14" borderId="3" xfId="6" applyNumberFormat="1" applyFont="1" applyFill="1" applyBorder="1" applyAlignment="1"/>
    <xf numFmtId="2" fontId="6" fillId="14" borderId="3" xfId="6" applyNumberFormat="1" applyFont="1" applyFill="1" applyBorder="1" applyAlignment="1">
      <alignment horizontal="center"/>
    </xf>
    <xf numFmtId="0" fontId="6" fillId="14" borderId="3" xfId="1" applyFont="1" applyFill="1" applyBorder="1" applyAlignment="1">
      <alignment horizontal="center" wrapText="1"/>
    </xf>
    <xf numFmtId="0" fontId="6" fillId="14" borderId="3" xfId="1" applyFont="1" applyFill="1" applyBorder="1" applyAlignment="1">
      <alignment horizontal="center"/>
    </xf>
    <xf numFmtId="14" fontId="6" fillId="14" borderId="3" xfId="1" applyNumberFormat="1" applyFont="1" applyFill="1" applyBorder="1" applyAlignment="1">
      <alignment horizontal="center"/>
    </xf>
    <xf numFmtId="0" fontId="6" fillId="14" borderId="3" xfId="3" applyFont="1" applyFill="1" applyBorder="1"/>
    <xf numFmtId="0" fontId="6" fillId="22" borderId="3" xfId="3" applyFont="1" applyFill="1" applyBorder="1"/>
    <xf numFmtId="0" fontId="23" fillId="14" borderId="9" xfId="1" applyFill="1" applyBorder="1"/>
    <xf numFmtId="49" fontId="23" fillId="14" borderId="9" xfId="1" applyNumberFormat="1" applyFill="1" applyBorder="1"/>
    <xf numFmtId="0" fontId="23" fillId="14" borderId="9" xfId="1" applyFill="1" applyBorder="1" applyAlignment="1">
      <alignment horizontal="center" wrapText="1"/>
    </xf>
    <xf numFmtId="0" fontId="23" fillId="14" borderId="9" xfId="1" applyFill="1" applyBorder="1" applyAlignment="1">
      <alignment horizontal="center"/>
    </xf>
    <xf numFmtId="14" fontId="23" fillId="14" borderId="9" xfId="1" applyNumberFormat="1" applyFill="1" applyBorder="1" applyAlignment="1">
      <alignment horizontal="center"/>
    </xf>
    <xf numFmtId="0" fontId="23" fillId="15" borderId="3" xfId="1" applyFill="1" applyBorder="1"/>
    <xf numFmtId="0" fontId="23" fillId="15" borderId="3" xfId="1" applyFill="1" applyBorder="1" applyAlignment="1">
      <alignment horizontal="center" wrapText="1"/>
    </xf>
    <xf numFmtId="0" fontId="23" fillId="15" borderId="3" xfId="1" applyFill="1" applyBorder="1" applyAlignment="1">
      <alignment horizontal="center"/>
    </xf>
    <xf numFmtId="0" fontId="23" fillId="17" borderId="3" xfId="1" applyFill="1" applyBorder="1"/>
    <xf numFmtId="49" fontId="23" fillId="17" borderId="3" xfId="1" applyNumberFormat="1" applyFill="1" applyBorder="1"/>
    <xf numFmtId="0" fontId="23" fillId="17" borderId="3" xfId="1" applyFill="1" applyBorder="1" applyAlignment="1">
      <alignment horizontal="center"/>
    </xf>
    <xf numFmtId="14" fontId="23" fillId="17" borderId="3" xfId="1" applyNumberFormat="1" applyFill="1" applyBorder="1" applyAlignment="1">
      <alignment horizontal="center"/>
    </xf>
    <xf numFmtId="0" fontId="23" fillId="12" borderId="3" xfId="1" applyFill="1" applyBorder="1" applyAlignment="1">
      <alignment horizontal="left" wrapText="1"/>
    </xf>
    <xf numFmtId="4" fontId="23" fillId="14" borderId="3" xfId="1" applyNumberFormat="1" applyFill="1" applyBorder="1"/>
    <xf numFmtId="4" fontId="23" fillId="14" borderId="3" xfId="1" applyNumberFormat="1" applyFill="1" applyBorder="1" applyAlignment="1">
      <alignment horizontal="center"/>
    </xf>
    <xf numFmtId="4" fontId="23" fillId="15" borderId="3" xfId="1" applyNumberFormat="1" applyFill="1" applyBorder="1"/>
    <xf numFmtId="4" fontId="23" fillId="15" borderId="3" xfId="1" applyNumberFormat="1" applyFill="1" applyBorder="1" applyAlignment="1">
      <alignment horizontal="center"/>
    </xf>
    <xf numFmtId="0" fontId="23" fillId="0" borderId="3" xfId="1" applyBorder="1" applyAlignment="1">
      <alignment wrapText="1"/>
    </xf>
    <xf numFmtId="4" fontId="23" fillId="22" borderId="3" xfId="1" applyNumberFormat="1" applyFill="1" applyBorder="1"/>
    <xf numFmtId="4" fontId="23" fillId="22" borderId="3" xfId="1" applyNumberFormat="1" applyFill="1" applyBorder="1" applyAlignment="1">
      <alignment horizontal="center"/>
    </xf>
    <xf numFmtId="0" fontId="45" fillId="14" borderId="3" xfId="0" applyFont="1" applyFill="1" applyBorder="1"/>
    <xf numFmtId="0" fontId="23" fillId="12" borderId="3" xfId="1" applyFill="1" applyBorder="1" applyAlignment="1">
      <alignment horizontal="left" vertical="top" wrapText="1"/>
    </xf>
    <xf numFmtId="0" fontId="23" fillId="9" borderId="3" xfId="1" applyFill="1" applyBorder="1"/>
    <xf numFmtId="49" fontId="23" fillId="9" borderId="3" xfId="1" applyNumberFormat="1" applyFill="1" applyBorder="1"/>
    <xf numFmtId="4" fontId="23" fillId="9" borderId="3" xfId="1" applyNumberFormat="1" applyFill="1" applyBorder="1"/>
    <xf numFmtId="4" fontId="23" fillId="9" borderId="3" xfId="1" applyNumberFormat="1" applyFill="1" applyBorder="1" applyAlignment="1">
      <alignment horizontal="center"/>
    </xf>
    <xf numFmtId="0" fontId="23" fillId="9" borderId="3" xfId="1" applyFill="1" applyBorder="1" applyAlignment="1">
      <alignment horizontal="center" wrapText="1"/>
    </xf>
    <xf numFmtId="0" fontId="23" fillId="9" borderId="3" xfId="1" applyFill="1" applyBorder="1" applyAlignment="1">
      <alignment horizontal="center"/>
    </xf>
    <xf numFmtId="0" fontId="6" fillId="9" borderId="3" xfId="1" applyFont="1" applyFill="1" applyBorder="1"/>
    <xf numFmtId="14" fontId="23" fillId="15" borderId="3" xfId="1" applyNumberFormat="1" applyFill="1" applyBorder="1" applyAlignment="1">
      <alignment horizontal="center"/>
    </xf>
    <xf numFmtId="0" fontId="23" fillId="20" borderId="3" xfId="1" applyFill="1" applyBorder="1"/>
    <xf numFmtId="49" fontId="23" fillId="20" borderId="3" xfId="1" applyNumberFormat="1" applyFill="1" applyBorder="1"/>
    <xf numFmtId="4" fontId="23" fillId="20" borderId="3" xfId="1" applyNumberFormat="1" applyFill="1" applyBorder="1"/>
    <xf numFmtId="4" fontId="23" fillId="20" borderId="3" xfId="1" applyNumberFormat="1" applyFill="1" applyBorder="1" applyAlignment="1">
      <alignment horizontal="center"/>
    </xf>
    <xf numFmtId="0" fontId="23" fillId="20" borderId="3" xfId="1" applyFill="1" applyBorder="1" applyAlignment="1">
      <alignment horizontal="center" wrapText="1"/>
    </xf>
    <xf numFmtId="0" fontId="23" fillId="20" borderId="3" xfId="1" applyFill="1" applyBorder="1" applyAlignment="1">
      <alignment horizontal="center"/>
    </xf>
    <xf numFmtId="4" fontId="23" fillId="17" borderId="3" xfId="1" applyNumberFormat="1" applyFill="1" applyBorder="1"/>
    <xf numFmtId="4" fontId="23" fillId="17" borderId="3" xfId="1" applyNumberFormat="1" applyFill="1" applyBorder="1" applyAlignment="1">
      <alignment horizontal="center"/>
    </xf>
    <xf numFmtId="0" fontId="23" fillId="17" borderId="3" xfId="1" applyFill="1" applyBorder="1" applyAlignment="1">
      <alignment horizontal="center" wrapText="1"/>
    </xf>
    <xf numFmtId="0" fontId="23" fillId="15" borderId="0" xfId="1" applyFill="1" applyAlignment="1">
      <alignment horizontal="center"/>
    </xf>
    <xf numFmtId="0" fontId="23" fillId="18" borderId="3" xfId="1" applyFill="1" applyBorder="1"/>
    <xf numFmtId="4" fontId="23" fillId="18" borderId="3" xfId="1" applyNumberFormat="1" applyFill="1" applyBorder="1"/>
    <xf numFmtId="0" fontId="23" fillId="18" borderId="3" xfId="1" applyFill="1" applyBorder="1" applyAlignment="1">
      <alignment horizontal="center"/>
    </xf>
    <xf numFmtId="0" fontId="23" fillId="18" borderId="3" xfId="1" applyFill="1" applyBorder="1" applyAlignment="1">
      <alignment horizontal="center" wrapText="1"/>
    </xf>
    <xf numFmtId="0" fontId="23" fillId="9" borderId="3" xfId="1" applyFill="1" applyBorder="1" applyAlignment="1">
      <alignment horizontal="left"/>
    </xf>
    <xf numFmtId="0" fontId="23" fillId="19" borderId="3" xfId="1" applyFill="1" applyBorder="1"/>
    <xf numFmtId="49" fontId="23" fillId="19" borderId="3" xfId="1" applyNumberFormat="1" applyFill="1" applyBorder="1"/>
    <xf numFmtId="0" fontId="23" fillId="19" borderId="3" xfId="1" applyFill="1" applyBorder="1" applyAlignment="1">
      <alignment horizontal="center"/>
    </xf>
    <xf numFmtId="4" fontId="23" fillId="14" borderId="3" xfId="1" applyNumberFormat="1" applyFill="1" applyBorder="1" applyAlignment="1">
      <alignment horizontal="right"/>
    </xf>
    <xf numFmtId="49" fontId="6" fillId="22" borderId="3" xfId="1" applyNumberFormat="1" applyFont="1" applyFill="1" applyBorder="1"/>
    <xf numFmtId="0" fontId="6" fillId="22" borderId="3" xfId="1" applyFont="1" applyFill="1" applyBorder="1"/>
    <xf numFmtId="0" fontId="6" fillId="22" borderId="3" xfId="1" applyFont="1" applyFill="1" applyBorder="1" applyAlignment="1">
      <alignment horizontal="center"/>
    </xf>
    <xf numFmtId="0" fontId="6" fillId="12" borderId="3" xfId="1" applyFont="1" applyFill="1" applyBorder="1" applyAlignment="1">
      <alignment horizontal="left" vertical="top" wrapText="1"/>
    </xf>
    <xf numFmtId="0" fontId="23" fillId="14" borderId="3" xfId="1" applyFill="1" applyBorder="1" applyAlignment="1">
      <alignment horizontal="left"/>
    </xf>
    <xf numFmtId="0" fontId="26" fillId="14" borderId="3" xfId="0" applyFont="1" applyFill="1" applyBorder="1" applyAlignment="1">
      <alignment horizontal="left"/>
    </xf>
    <xf numFmtId="14" fontId="6" fillId="12" borderId="3" xfId="1" applyNumberFormat="1" applyFont="1" applyFill="1" applyBorder="1" applyAlignment="1">
      <alignment horizontal="left" wrapText="1"/>
    </xf>
    <xf numFmtId="14" fontId="23" fillId="9" borderId="3" xfId="1" applyNumberFormat="1" applyFill="1" applyBorder="1" applyAlignment="1">
      <alignment horizontal="center"/>
    </xf>
    <xf numFmtId="0" fontId="46" fillId="14" borderId="0" xfId="0" applyFont="1" applyFill="1"/>
    <xf numFmtId="0" fontId="5" fillId="22" borderId="0" xfId="0" applyFont="1" applyFill="1"/>
    <xf numFmtId="4" fontId="33" fillId="22" borderId="3" xfId="0" applyNumberFormat="1" applyFont="1" applyFill="1" applyBorder="1"/>
    <xf numFmtId="14" fontId="23" fillId="22" borderId="3" xfId="1" applyNumberFormat="1" applyFill="1" applyBorder="1" applyAlignment="1">
      <alignment horizontal="center"/>
    </xf>
    <xf numFmtId="0" fontId="26" fillId="22" borderId="3" xfId="0" applyFont="1" applyFill="1" applyBorder="1"/>
    <xf numFmtId="14" fontId="4" fillId="12" borderId="3" xfId="1" applyNumberFormat="1" applyFont="1" applyFill="1" applyBorder="1" applyAlignment="1">
      <alignment horizontal="left" wrapText="1"/>
    </xf>
    <xf numFmtId="14" fontId="3" fillId="12" borderId="3" xfId="1" applyNumberFormat="1" applyFont="1" applyFill="1" applyBorder="1" applyAlignment="1">
      <alignment horizontal="left" wrapText="1"/>
    </xf>
    <xf numFmtId="14" fontId="2" fillId="12" borderId="3" xfId="1" applyNumberFormat="1" applyFont="1" applyFill="1" applyBorder="1" applyAlignment="1">
      <alignment horizontal="left" wrapText="1"/>
    </xf>
    <xf numFmtId="14" fontId="1" fillId="12" borderId="3" xfId="1" applyNumberFormat="1" applyFont="1" applyFill="1" applyBorder="1" applyAlignment="1">
      <alignment horizontal="left" wrapText="1"/>
    </xf>
  </cellXfs>
  <cellStyles count="8">
    <cellStyle name="Moeda" xfId="6" builtinId="4"/>
    <cellStyle name="Normal" xfId="0" builtinId="0"/>
    <cellStyle name="Normal 2" xfId="1" xr:uid="{00000000-0005-0000-0000-000002000000}"/>
    <cellStyle name="Normal 3" xfId="3" xr:uid="{00000000-0005-0000-0000-000003000000}"/>
    <cellStyle name="Normal 4" xfId="4" xr:uid="{00000000-0005-0000-0000-000004000000}"/>
    <cellStyle name="Normal 5" xfId="7" xr:uid="{36F236F0-A383-404E-9AEC-2814DACB443D}"/>
    <cellStyle name="Vírgula 2" xfId="2" xr:uid="{00000000-0005-0000-0000-000006000000}"/>
    <cellStyle name="Vírgula 2 2" xfId="5" xr:uid="{00000000-0005-0000-0000-000007000000}"/>
  </cellStyles>
  <dxfs count="0"/>
  <tableStyles count="0" defaultTableStyle="TableStyleMedium2" defaultPivotStyle="PivotStyleLight16"/>
  <colors>
    <mruColors>
      <color rgb="FFF86076"/>
      <color rgb="FFFA7E4C"/>
      <color rgb="FFDD4F1D"/>
      <color rgb="FFEB6D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</a:t>
            </a:r>
            <a:r>
              <a:rPr lang="pt-BR"/>
              <a:t>EMAIL</a:t>
            </a:r>
            <a:r>
              <a:rPr lang="pt-BR" baseline="0"/>
              <a:t> ENVIADO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04F-4F6F-9940-E8E9E66C203C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04F-4F6F-9940-E8E9E66C2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775232"/>
        <c:axId val="436777952"/>
        <c:extLst/>
      </c:barChart>
      <c:catAx>
        <c:axId val="43677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777952"/>
        <c:crosses val="autoZero"/>
        <c:auto val="1"/>
        <c:lblAlgn val="ctr"/>
        <c:lblOffset val="100"/>
        <c:noMultiLvlLbl val="0"/>
      </c:catAx>
      <c:valAx>
        <c:axId val="43677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77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EMAIL ENVIADO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010-4574-A469-36D6D9B76E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E010-4574-A469-36D6D9B76E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E010-4574-A469-36D6D9B76E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010-4574-A469-36D6D9B76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CONTATO TEL REAL DEVEDOR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8CB-46EF-9C7F-ED36BC9DA789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8CB-46EF-9C7F-ED36BC9DA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3329504"/>
        <c:axId val="563327328"/>
        <c:extLst/>
      </c:barChart>
      <c:catAx>
        <c:axId val="56332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327328"/>
        <c:crosses val="autoZero"/>
        <c:auto val="1"/>
        <c:lblAlgn val="ctr"/>
        <c:lblOffset val="100"/>
        <c:noMultiLvlLbl val="0"/>
      </c:catAx>
      <c:valAx>
        <c:axId val="5633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32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</a:t>
            </a:r>
            <a:r>
              <a:rPr lang="pt-BR" sz="1600" b="1" i="0" u="none" strike="noStrike" baseline="0">
                <a:effectLst/>
              </a:rPr>
              <a:t>CONTATO TEL REAL DEVEDOR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2"/>
            </a:solidFill>
          </c:spPr>
          <c:explosion val="9"/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789A-40C3-8DE2-1455E6FA19E2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789A-40C3-8DE2-1455E6FA19E2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789A-40C3-8DE2-1455E6FA19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89A-40C3-8DE2-1455E6FA1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CONTATO TEL REC DEV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CA4-4BFC-9F56-1233AD40A637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CA4-4BFC-9F56-1233AD40A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3336032"/>
        <c:axId val="563336576"/>
        <c:extLst/>
      </c:barChart>
      <c:catAx>
        <c:axId val="563336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336576"/>
        <c:crosses val="autoZero"/>
        <c:auto val="1"/>
        <c:lblAlgn val="ctr"/>
        <c:lblOffset val="100"/>
        <c:noMultiLvlLbl val="0"/>
      </c:catAx>
      <c:valAx>
        <c:axId val="56333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33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</a:t>
            </a:r>
            <a:r>
              <a:rPr lang="pt-BR" sz="1600" b="1" i="0" u="none" strike="noStrike" baseline="0">
                <a:effectLst/>
              </a:rPr>
              <a:t>CONTATO TEL REC DEV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F04A-4235-B684-F72A0B740EC2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F04A-4235-B684-F72A0B740EC2}"/>
              </c:ext>
            </c:extLst>
          </c:dPt>
          <c:dPt>
            <c:idx val="6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F04A-4235-B684-F72A0B740E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04A-4235-B684-F72A0B740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WHATSAPP MENS ENV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85E-4A1F-BE34-86DAC1DDC960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85E-4A1F-BE34-86DAC1DDC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9119056"/>
        <c:axId val="349119600"/>
        <c:extLst/>
      </c:barChart>
      <c:catAx>
        <c:axId val="34911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9119600"/>
        <c:crosses val="autoZero"/>
        <c:auto val="1"/>
        <c:lblAlgn val="ctr"/>
        <c:lblOffset val="100"/>
        <c:noMultiLvlLbl val="0"/>
      </c:catAx>
      <c:valAx>
        <c:axId val="34911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911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</a:t>
            </a:r>
            <a:r>
              <a:rPr lang="pt-BR" sz="1600" b="1" i="0" u="none" strike="noStrike" baseline="0">
                <a:effectLst/>
              </a:rPr>
              <a:t>WHATSAPP MENS ENV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2"/>
            </a:solidFill>
          </c:spPr>
          <c:explosion val="9"/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5F0E-4CC4-98AD-0D4EE7E170F2}"/>
              </c:ext>
            </c:extLst>
          </c:dPt>
          <c:dPt>
            <c:idx val="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5F0E-4CC4-98AD-0D4EE7E170F2}"/>
              </c:ext>
            </c:extLst>
          </c:dPt>
          <c:dPt>
            <c:idx val="8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5F0E-4CC4-98AD-0D4EE7E170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F0E-4CC4-98AD-0D4EE7E17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WHATSAPP MENS REC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132-44D9-BAB1-EB04AC241C03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132-44D9-BAB1-EB04AC241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474896"/>
        <c:axId val="436478160"/>
        <c:extLst/>
      </c:barChart>
      <c:catAx>
        <c:axId val="43647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78160"/>
        <c:crosses val="autoZero"/>
        <c:auto val="1"/>
        <c:lblAlgn val="ctr"/>
        <c:lblOffset val="100"/>
        <c:noMultiLvlLbl val="0"/>
      </c:catAx>
      <c:valAx>
        <c:axId val="43647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7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</a:t>
            </a:r>
            <a:r>
              <a:rPr lang="pt-BR" sz="1600" b="1" i="0" u="none" strike="noStrike" baseline="0">
                <a:effectLst/>
              </a:rPr>
              <a:t>WHATSAPP MENS REC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A0B1-4097-9556-B6208665DC19}"/>
              </c:ext>
            </c:extLst>
          </c:dPt>
          <c:dPt>
            <c:idx val="9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A0B1-4097-9556-B6208665DC19}"/>
              </c:ext>
            </c:extLst>
          </c:dPt>
          <c:dPt>
            <c:idx val="1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A0B1-4097-9556-B6208665DC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A0B1-4097-9556-B6208665D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CARTA DEVEDOR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4E1-4ACD-857B-A6F92C099BE9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4E1-4ACD-857B-A6F92C099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477072"/>
        <c:axId val="436471632"/>
        <c:extLst/>
      </c:barChart>
      <c:catAx>
        <c:axId val="43647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71632"/>
        <c:crosses val="autoZero"/>
        <c:auto val="1"/>
        <c:lblAlgn val="ctr"/>
        <c:lblOffset val="100"/>
        <c:noMultiLvlLbl val="0"/>
      </c:catAx>
      <c:valAx>
        <c:axId val="43647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7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</a:t>
            </a:r>
            <a:r>
              <a:rPr lang="pt-BR" sz="1600" b="1" i="0" u="none" strike="noStrike" baseline="0">
                <a:effectLst/>
              </a:rPr>
              <a:t>CARTA DEVEDOR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2FDD-4644-B299-5725830429A5}"/>
              </c:ext>
            </c:extLst>
          </c:dPt>
          <c:dPt>
            <c:idx val="1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2FDD-4644-B299-5725830429A5}"/>
              </c:ext>
            </c:extLst>
          </c:dPt>
          <c:dPt>
            <c:idx val="1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2FDD-4644-B299-5725830429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2FDD-4644-B299-572583042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PROPOSTA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A4D-45F0-8D4D-2E10729F0D5B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A4D-45F0-8D4D-2E10729F0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473264"/>
        <c:axId val="436478704"/>
        <c:extLst/>
      </c:barChart>
      <c:catAx>
        <c:axId val="43647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78704"/>
        <c:crosses val="autoZero"/>
        <c:auto val="1"/>
        <c:lblAlgn val="ctr"/>
        <c:lblOffset val="100"/>
        <c:noMultiLvlLbl val="0"/>
      </c:catAx>
      <c:valAx>
        <c:axId val="43647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7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</a:t>
            </a:r>
            <a:r>
              <a:rPr lang="pt-BR" sz="1600" b="1" i="0" u="none" strike="noStrike" baseline="0">
                <a:effectLst/>
              </a:rPr>
              <a:t>PROPOSTA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AC77-401C-BDD0-E78FACAA3DF6}"/>
              </c:ext>
            </c:extLst>
          </c:dPt>
          <c:dPt>
            <c:idx val="1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AC77-401C-BDD0-E78FACAA3DF6}"/>
              </c:ext>
            </c:extLst>
          </c:dPt>
          <c:dPt>
            <c:idx val="1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AC77-401C-BDD0-E78FACAA3D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AC77-401C-BDD0-E78FACAA3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CRVA SOL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DF2-411E-8273-AC11A704637A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DF2-411E-8273-AC11A7046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471088"/>
        <c:axId val="436482512"/>
        <c:extLst/>
      </c:barChart>
      <c:catAx>
        <c:axId val="43647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82512"/>
        <c:crosses val="autoZero"/>
        <c:auto val="1"/>
        <c:lblAlgn val="ctr"/>
        <c:lblOffset val="100"/>
        <c:noMultiLvlLbl val="0"/>
      </c:catAx>
      <c:valAx>
        <c:axId val="43648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</a:t>
            </a:r>
            <a:r>
              <a:rPr lang="pt-BR" sz="1600" b="1" i="0" u="none" strike="noStrike" baseline="0">
                <a:effectLst/>
              </a:rPr>
              <a:t>CRVA SOL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2"/>
            </a:solidFill>
          </c:spPr>
          <c:explosion val="9"/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2E24-4F63-ADA8-F6170496D037}"/>
              </c:ext>
            </c:extLst>
          </c:dPt>
          <c:dPt>
            <c:idx val="1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2E24-4F63-ADA8-F6170496D037}"/>
              </c:ext>
            </c:extLst>
          </c:dPt>
          <c:dPt>
            <c:idx val="16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2E24-4F63-ADA8-F6170496D0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2E24-4F63-ADA8-F6170496D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RI SOL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89E-4B68-9C7B-02721E142D2F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89E-4B68-9C7B-02721E142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483056"/>
        <c:axId val="436481424"/>
        <c:extLst/>
      </c:barChart>
      <c:catAx>
        <c:axId val="436483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81424"/>
        <c:crosses val="autoZero"/>
        <c:auto val="1"/>
        <c:lblAlgn val="ctr"/>
        <c:lblOffset val="100"/>
        <c:noMultiLvlLbl val="0"/>
      </c:catAx>
      <c:valAx>
        <c:axId val="43648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8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RI</a:t>
            </a:r>
            <a:r>
              <a:rPr lang="pt-BR" sz="1600" b="1" i="0" u="none" strike="noStrike" baseline="0">
                <a:effectLst/>
              </a:rPr>
              <a:t> SOL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2"/>
            </a:solidFill>
          </c:spPr>
          <c:explosion val="9"/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BA14-41BA-8C02-71BF855EB714}"/>
              </c:ext>
            </c:extLst>
          </c:dPt>
          <c:dPt>
            <c:idx val="17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BA14-41BA-8C02-71BF855EB714}"/>
              </c:ext>
            </c:extLst>
          </c:dPt>
          <c:dPt>
            <c:idx val="18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BA14-41BA-8C02-71BF855EB7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BA14-41BA-8C02-71BF855EB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CRVA POS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91F-4864-BB7E-AC14FD683082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91F-4864-BB7E-AC14FD683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9935328"/>
        <c:axId val="559933152"/>
        <c:extLst/>
      </c:barChart>
      <c:catAx>
        <c:axId val="55993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33152"/>
        <c:crosses val="autoZero"/>
        <c:auto val="1"/>
        <c:lblAlgn val="ctr"/>
        <c:lblOffset val="100"/>
        <c:noMultiLvlLbl val="0"/>
      </c:catAx>
      <c:valAx>
        <c:axId val="55993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3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CRVA POS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2"/>
            </a:solidFill>
          </c:spPr>
          <c:explosion val="9"/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0FA3-44A6-84CE-8406B8C8FF26}"/>
              </c:ext>
            </c:extLst>
          </c:dPt>
          <c:dPt>
            <c:idx val="19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0FA3-44A6-84CE-8406B8C8FF26}"/>
              </c:ext>
            </c:extLst>
          </c:dPt>
          <c:dPt>
            <c:idx val="2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0FA3-44A6-84CE-8406B8C8FF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FA3-44A6-84CE-8406B8C8F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RI POS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12D-40B9-AC99-881C2F555DA0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12D-40B9-AC99-881C2F555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9929888"/>
        <c:axId val="559934240"/>
        <c:extLst/>
      </c:barChart>
      <c:catAx>
        <c:axId val="55992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34240"/>
        <c:crosses val="autoZero"/>
        <c:auto val="1"/>
        <c:lblAlgn val="ctr"/>
        <c:lblOffset val="100"/>
        <c:noMultiLvlLbl val="0"/>
      </c:catAx>
      <c:valAx>
        <c:axId val="55993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2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RI POS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20AF-44BC-BD0C-FD01F560B605}"/>
              </c:ext>
            </c:extLst>
          </c:dPt>
          <c:dPt>
            <c:idx val="2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20AF-44BC-BD0C-FD01F560B605}"/>
              </c:ext>
            </c:extLst>
          </c:dPt>
          <c:dPt>
            <c:idx val="2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20AF-44BC-BD0C-FD01F560B6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20AF-44BC-BD0C-FD01F560B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BUSCA PROCESSUAL POS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BFB-42C2-B5E9-11C26B8CC7EB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BFB-42C2-B5E9-11C26B8CC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9928800"/>
        <c:axId val="559929344"/>
        <c:extLst/>
      </c:barChart>
      <c:catAx>
        <c:axId val="55992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29344"/>
        <c:crosses val="autoZero"/>
        <c:auto val="1"/>
        <c:lblAlgn val="ctr"/>
        <c:lblOffset val="100"/>
        <c:noMultiLvlLbl val="0"/>
      </c:catAx>
      <c:valAx>
        <c:axId val="55992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2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BUSCA PROCESSUAL POS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DCBA-437F-AFD8-8E552A99462B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DCBA-437F-AFD8-8E552A99462B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DCBA-437F-AFD8-8E552A9946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CBA-437F-AFD8-8E552A994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/>
              <a:t>EMAIL</a:t>
            </a:r>
            <a:r>
              <a:rPr lang="pt-BR" baseline="0"/>
              <a:t> ENVIADO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1D3-487B-A715-B575737AD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924992"/>
        <c:axId val="5599260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1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pt-BR" sz="16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81D3-487B-A715-B575737AD3F9}"/>
                  </c:ext>
                </c:extLst>
              </c15:ser>
            </c15:filteredLineSeries>
          </c:ext>
        </c:extLst>
      </c:lineChart>
      <c:catAx>
        <c:axId val="5599249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26080"/>
        <c:crosses val="autoZero"/>
        <c:auto val="1"/>
        <c:lblAlgn val="ctr"/>
        <c:lblOffset val="100"/>
        <c:noMultiLvlLbl val="1"/>
      </c:catAx>
      <c:valAx>
        <c:axId val="5599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2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CONTATO TEL REAL DEVEDOR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C96-45B8-A184-52D3981D0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936960"/>
        <c:axId val="559937504"/>
        <c:extLst/>
      </c:lineChart>
      <c:catAx>
        <c:axId val="5599369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37504"/>
        <c:crosses val="autoZero"/>
        <c:auto val="1"/>
        <c:lblAlgn val="ctr"/>
        <c:lblOffset val="100"/>
        <c:noMultiLvlLbl val="1"/>
      </c:catAx>
      <c:valAx>
        <c:axId val="55993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3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CONTATO TEL REC DEV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2FC-4E80-BEB5-E688492C2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923360"/>
        <c:axId val="591261680"/>
        <c:extLst/>
      </c:lineChart>
      <c:catAx>
        <c:axId val="5599233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61680"/>
        <c:crosses val="autoZero"/>
        <c:auto val="1"/>
        <c:lblAlgn val="ctr"/>
        <c:lblOffset val="100"/>
        <c:noMultiLvlLbl val="1"/>
      </c:catAx>
      <c:valAx>
        <c:axId val="59126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2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WHATSAPP MENS ENV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CAC-45DF-AADD-B1466A0AD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54608"/>
        <c:axId val="591262224"/>
        <c:extLst/>
      </c:lineChart>
      <c:catAx>
        <c:axId val="59125460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62224"/>
        <c:crosses val="autoZero"/>
        <c:auto val="1"/>
        <c:lblAlgn val="ctr"/>
        <c:lblOffset val="100"/>
        <c:noMultiLvlLbl val="1"/>
      </c:catAx>
      <c:valAx>
        <c:axId val="59126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WHATSAPP MENS REC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14A-4A2E-B51E-5899E3B4C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61136"/>
        <c:axId val="591255152"/>
        <c:extLst/>
      </c:lineChart>
      <c:catAx>
        <c:axId val="5912611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5152"/>
        <c:crosses val="autoZero"/>
        <c:auto val="1"/>
        <c:lblAlgn val="ctr"/>
        <c:lblOffset val="100"/>
        <c:noMultiLvlLbl val="1"/>
      </c:catAx>
      <c:valAx>
        <c:axId val="59125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6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CARTA DEVEDOR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D7-4CA3-B6F9-7F13054D7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55696"/>
        <c:axId val="591259504"/>
        <c:extLst/>
      </c:lineChart>
      <c:catAx>
        <c:axId val="5912556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9504"/>
        <c:crosses val="autoZero"/>
        <c:auto val="1"/>
        <c:lblAlgn val="ctr"/>
        <c:lblOffset val="100"/>
        <c:noMultiLvlLbl val="1"/>
      </c:catAx>
      <c:valAx>
        <c:axId val="59125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PROPOSTA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8E5-4F83-B982-C6B77FABD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56784"/>
        <c:axId val="591263856"/>
        <c:extLst/>
      </c:lineChart>
      <c:catAx>
        <c:axId val="5912567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63856"/>
        <c:crosses val="autoZero"/>
        <c:auto val="1"/>
        <c:lblAlgn val="ctr"/>
        <c:lblOffset val="100"/>
        <c:noMultiLvlLbl val="1"/>
      </c:catAx>
      <c:valAx>
        <c:axId val="5912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CRVA SOL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07C-48AD-8587-2DC1CA420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58960"/>
        <c:axId val="591252432"/>
        <c:extLst/>
      </c:lineChart>
      <c:catAx>
        <c:axId val="5912589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2432"/>
        <c:crosses val="autoZero"/>
        <c:auto val="1"/>
        <c:lblAlgn val="ctr"/>
        <c:lblOffset val="100"/>
        <c:noMultiLvlLbl val="1"/>
      </c:catAx>
      <c:valAx>
        <c:axId val="59125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RI SOL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9E9-4E37-A11A-4F0CFD8A3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64944"/>
        <c:axId val="591250800"/>
        <c:extLst/>
      </c:lineChart>
      <c:catAx>
        <c:axId val="59126494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0800"/>
        <c:crosses val="autoZero"/>
        <c:auto val="1"/>
        <c:lblAlgn val="ctr"/>
        <c:lblOffset val="100"/>
        <c:noMultiLvlLbl val="1"/>
      </c:catAx>
      <c:valAx>
        <c:axId val="59125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6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CRVA POS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5BA-4DFC-9A06-E5FCF30A1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54064"/>
        <c:axId val="591257328"/>
        <c:extLst/>
      </c:lineChart>
      <c:catAx>
        <c:axId val="5912540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7328"/>
        <c:crosses val="autoZero"/>
        <c:auto val="1"/>
        <c:lblAlgn val="ctr"/>
        <c:lblOffset val="100"/>
        <c:noMultiLvlLbl val="1"/>
      </c:catAx>
      <c:valAx>
        <c:axId val="59125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RI POS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236-4961-B546-9872AB058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121152"/>
        <c:axId val="592122240"/>
        <c:extLst/>
      </c:lineChart>
      <c:catAx>
        <c:axId val="5921211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22240"/>
        <c:crosses val="autoZero"/>
        <c:auto val="1"/>
        <c:lblAlgn val="ctr"/>
        <c:lblOffset val="100"/>
        <c:noMultiLvlLbl val="1"/>
      </c:catAx>
      <c:valAx>
        <c:axId val="5921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2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BUSCA PROCESSUAL POS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70F-4770-AD58-8CA43F011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123328"/>
        <c:axId val="592109728"/>
        <c:extLst/>
      </c:lineChart>
      <c:catAx>
        <c:axId val="59212332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09728"/>
        <c:crosses val="autoZero"/>
        <c:auto val="1"/>
        <c:lblAlgn val="ctr"/>
        <c:lblOffset val="100"/>
        <c:noMultiLvlLbl val="1"/>
      </c:catAx>
      <c:valAx>
        <c:axId val="5921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2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SCPC IN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191-4B86-B88F-9AFC418A30DC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191-4B86-B88F-9AFC418A3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112992"/>
        <c:axId val="592118432"/>
        <c:extLst/>
      </c:barChart>
      <c:catAx>
        <c:axId val="592112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8432"/>
        <c:crosses val="autoZero"/>
        <c:auto val="1"/>
        <c:lblAlgn val="ctr"/>
        <c:lblOffset val="100"/>
        <c:noMultiLvlLbl val="0"/>
      </c:catAx>
      <c:valAx>
        <c:axId val="59211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SCPC IN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96CA-462F-AB6D-13FD32DEC3BE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96CA-462F-AB6D-13FD32DEC3BE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96CA-462F-AB6D-13FD32DEC3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96CA-462F-AB6D-13FD32DEC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SCPC IN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C8D-4E92-8C7A-A1699E0E8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115712"/>
        <c:axId val="592119520"/>
        <c:extLst/>
      </c:lineChart>
      <c:catAx>
        <c:axId val="5921157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9520"/>
        <c:crosses val="autoZero"/>
        <c:auto val="1"/>
        <c:lblAlgn val="ctr"/>
        <c:lblOffset val="100"/>
        <c:noMultiLvlLbl val="1"/>
      </c:catAx>
      <c:valAx>
        <c:axId val="59211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CONTRATOS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3AB-470C-9661-BF55B679B8D2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3AB-470C-9661-BF55B679B8D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3AB-470C-9661-BF55B679B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116256"/>
        <c:axId val="592111904"/>
        <c:extLst/>
      </c:barChart>
      <c:catAx>
        <c:axId val="59211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1904"/>
        <c:crosses val="autoZero"/>
        <c:auto val="1"/>
        <c:lblAlgn val="ctr"/>
        <c:lblOffset val="100"/>
        <c:noMultiLvlLbl val="0"/>
      </c:catAx>
      <c:valAx>
        <c:axId val="59211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CONTRATOS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0A8E-40B1-8477-1FDD686BF6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0A8E-40B1-8477-1FDD686BF6B1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0A8E-40B1-8477-1FDD686BF6B1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0A8E-40B1-8477-1FDD686BF6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0A8E-40B1-8477-1FDD686BF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CONTRATOS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D40-4ABA-B9F9-599187AA2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115168"/>
        <c:axId val="592116800"/>
        <c:extLst/>
      </c:lineChart>
      <c:catAx>
        <c:axId val="5921151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6800"/>
        <c:crosses val="autoZero"/>
        <c:auto val="1"/>
        <c:lblAlgn val="ctr"/>
        <c:lblOffset val="100"/>
        <c:noMultiLvlLbl val="1"/>
      </c:catAx>
      <c:valAx>
        <c:axId val="59211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DISTRATOS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EB5-4C8E-8275-710856DF9441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EB5-4C8E-8275-710856DF9441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EB5-4C8E-8275-710856DF9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941424"/>
        <c:axId val="592943600"/>
        <c:extLst/>
      </c:barChart>
      <c:catAx>
        <c:axId val="59294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43600"/>
        <c:crosses val="autoZero"/>
        <c:auto val="1"/>
        <c:lblAlgn val="ctr"/>
        <c:lblOffset val="100"/>
        <c:noMultiLvlLbl val="0"/>
      </c:catAx>
      <c:valAx>
        <c:axId val="59294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4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DISTRATOS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C42D-4D34-9AAF-F57D24E07E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C42D-4D34-9AAF-F57D24E07E09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C42D-4D34-9AAF-F57D24E07E09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C42D-4D34-9AAF-F57D24E07E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C42D-4D34-9AAF-F57D24E07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DISTRATOS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B04-4EDF-A256-544A6668D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939248"/>
        <c:axId val="592939792"/>
        <c:extLst/>
      </c:lineChart>
      <c:catAx>
        <c:axId val="5929392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39792"/>
        <c:crosses val="autoZero"/>
        <c:auto val="1"/>
        <c:lblAlgn val="ctr"/>
        <c:lblOffset val="100"/>
        <c:noMultiLvlLbl val="1"/>
      </c:catAx>
      <c:valAx>
        <c:axId val="5929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3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AJUIZAMENTO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A6F-4D1E-A27A-5219ED1BBD76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A6F-4D1E-A27A-5219ED1BBD76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DA6F-4D1E-A27A-5219ED1BBD76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DA6F-4D1E-A27A-5219ED1BBD76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DA6F-4D1E-A27A-5219ED1BB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944144"/>
        <c:axId val="592943056"/>
        <c:extLst/>
      </c:barChart>
      <c:catAx>
        <c:axId val="59294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43056"/>
        <c:crosses val="autoZero"/>
        <c:auto val="1"/>
        <c:lblAlgn val="ctr"/>
        <c:lblOffset val="100"/>
        <c:noMultiLvlLbl val="0"/>
      </c:catAx>
      <c:valAx>
        <c:axId val="59294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4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739722718709233E-2"/>
          <c:y val="0.89046351164867277"/>
          <c:w val="0.91124448094294963"/>
          <c:h val="8.8917931650296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AJUIZAMENTOS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A860-4D91-AB35-AE613DCE8A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A860-4D91-AB35-AE613DCE8A0D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A860-4D91-AB35-AE613DCE8A0D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A860-4D91-AB35-AE613DCE8A0D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9-A860-4D91-AB35-AE613DCE8A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A860-4D91-AB35-AE613DCE8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48623001436479"/>
          <c:y val="0.85266282436344953"/>
          <c:w val="0.76318407426201806"/>
          <c:h val="0.12671861893551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AÇÕES PROTOCOLADAS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2DF-430A-81B0-0B16DB7B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945776"/>
        <c:axId val="592946864"/>
        <c:extLst/>
      </c:lineChart>
      <c:catAx>
        <c:axId val="5929457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46864"/>
        <c:crosses val="autoZero"/>
        <c:auto val="1"/>
        <c:lblAlgn val="ctr"/>
        <c:lblOffset val="100"/>
        <c:noMultiLvlLbl val="1"/>
      </c:catAx>
      <c:valAx>
        <c:axId val="5929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4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386682850565584"/>
          <c:y val="0.90444865681447117"/>
          <c:w val="0.39244969481762471"/>
          <c:h val="7.4984325071168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ACORDOS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2FE-4061-B4EC-048B5FA5CD6F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FE-4061-B4EC-048B5FA5C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951216"/>
        <c:axId val="592947408"/>
        <c:extLst/>
      </c:barChart>
      <c:catAx>
        <c:axId val="59295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47408"/>
        <c:crosses val="autoZero"/>
        <c:auto val="1"/>
        <c:lblAlgn val="ctr"/>
        <c:lblOffset val="100"/>
        <c:noMultiLvlLbl val="0"/>
      </c:catAx>
      <c:valAx>
        <c:axId val="59294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5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CARTEIRA DOS</a:t>
            </a:r>
            <a:r>
              <a:rPr lang="pt-BR" baseline="0"/>
              <a:t> INATIVOS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22F9-4844-A9D2-5DE2142811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22F9-4844-A9D2-5DE214281148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22F9-4844-A9D2-5DE214281148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22F9-4844-A9D2-5DE214281148}"/>
              </c:ext>
            </c:extLst>
          </c:dPt>
          <c:dLbls>
            <c:dLbl>
              <c:idx val="0"/>
              <c:layout>
                <c:manualLayout>
                  <c:x val="8.1736798136214484E-2"/>
                  <c:y val="0.121134020618556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21078617569172"/>
                      <c:h val="0.21164948453608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2F9-4844-A9D2-5DE214281148}"/>
                </c:ext>
              </c:extLst>
            </c:dLbl>
            <c:dLbl>
              <c:idx val="1"/>
              <c:layout>
                <c:manualLayout>
                  <c:x val="-6.3342728984460681E-2"/>
                  <c:y val="-0.3871477663230240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53675166481116"/>
                      <c:h val="0.21164948453608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22F9-4844-A9D2-5DE2142811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22F9-4844-A9D2-5DE214281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809277226567571"/>
          <c:y val="0.88015423329815745"/>
          <c:w val="0.42517636970883421"/>
          <c:h val="9.922721000081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 </a:t>
            </a:r>
            <a:r>
              <a:rPr lang="pt-BR" baseline="0"/>
              <a:t>- </a:t>
            </a:r>
            <a:r>
              <a:rPr lang="pt-BR"/>
              <a:t>ACIONAMENTOS DA EQUIPE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3197648"/>
        <c:axId val="5932047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2"/>
                  </a:soli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pt-BR" sz="16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mc:AlternateContent xmlns:mc="http://schemas.openxmlformats.org/markup-compatibility/2006">
                          <mc:Choice xmlns:c16ac="http://schemas.microsoft.com/office/drawing/2014/chart/ac" Requires="c16ac">
                            <c16ac:multiLvlStrLit>
                              <c:ptCount val="0"/>
                            </c16ac:multiLvlStrLit>
                          </mc:Choice>
                          <mc:Fallback>
                            <c:strLit/>
                          </mc:Fallback>
                        </mc:AlternateContent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0-AFA6-4EEF-B91A-C2667007ED0D}"/>
                  </c:ext>
                </c:extLst>
              </c15:ser>
            </c15:filteredBarSeries>
          </c:ext>
        </c:extLst>
      </c:barChart>
      <c:catAx>
        <c:axId val="5931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204720"/>
        <c:crosses val="autoZero"/>
        <c:auto val="1"/>
        <c:lblAlgn val="ctr"/>
        <c:lblOffset val="100"/>
        <c:noMultiLvlLbl val="0"/>
      </c:catAx>
      <c:valAx>
        <c:axId val="59320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BAIXADOS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448-4339-BB24-E74745639793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448-4339-BB24-E74745639793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8448-4339-BB24-E74745639793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8448-4339-BB24-E74745639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3197104"/>
        <c:axId val="593199824"/>
        <c:extLst/>
      </c:barChart>
      <c:catAx>
        <c:axId val="593197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9824"/>
        <c:crosses val="autoZero"/>
        <c:auto val="1"/>
        <c:lblAlgn val="ctr"/>
        <c:lblOffset val="100"/>
        <c:noMultiLvlLbl val="0"/>
      </c:catAx>
      <c:valAx>
        <c:axId val="59319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739722718709233E-2"/>
          <c:y val="0.89046351164867277"/>
          <c:w val="0.91124448094294963"/>
          <c:h val="8.8917931650296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BAIXADOS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29C2-4C77-A996-1FBB94A1F1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29C2-4C77-A996-1FBB94A1F11F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29C2-4C77-A996-1FBB94A1F11F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29C2-4C77-A996-1FBB94A1F11F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9-29C2-4C77-A996-1FBB94A1F1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29C2-4C77-A996-1FBB94A1F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48623001436479"/>
          <c:y val="0.85266282436344953"/>
          <c:w val="0.76318407426201806"/>
          <c:h val="0.12671861893551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ENVIADAS P TEMPLATE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57D-469E-996F-D3901B90E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3202544"/>
        <c:axId val="593193840"/>
      </c:barChart>
      <c:catAx>
        <c:axId val="59320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3840"/>
        <c:crosses val="autoZero"/>
        <c:auto val="1"/>
        <c:lblAlgn val="ctr"/>
        <c:lblOffset val="100"/>
        <c:noMultiLvlLbl val="1"/>
      </c:catAx>
      <c:valAx>
        <c:axId val="593193840"/>
        <c:scaling>
          <c:orientation val="minMax"/>
          <c:max val="5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2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UNIDADES INATIVAS EM COBRANÇA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27D-4351-B578-C1EB5D121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3202000"/>
        <c:axId val="59319112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2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pt-BR" sz="16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B27D-4351-B578-C1EB5D121EA9}"/>
                  </c:ext>
                </c:extLst>
              </c15:ser>
            </c15:filteredLineSeries>
          </c:ext>
        </c:extLst>
      </c:lineChart>
      <c:catAx>
        <c:axId val="5932020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1120"/>
        <c:crosses val="autoZero"/>
        <c:auto val="1"/>
        <c:lblAlgn val="ctr"/>
        <c:lblOffset val="100"/>
        <c:noMultiLvlLbl val="1"/>
      </c:catAx>
      <c:valAx>
        <c:axId val="59319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20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Quant/R$ (original)</a:t>
            </a:r>
            <a:r>
              <a:rPr lang="pt-BR" baseline="0"/>
              <a:t> - AJUIZAMENTO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DDB-4B9D-9039-62370FE6E521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6.185567010309278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DB-4B9D-9039-62370FE6E5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2DDB-4B9D-9039-62370FE6E521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2DDB-4B9D-9039-62370FE6E521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7.56013745704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DB-4B9D-9039-62370FE6E5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2DDB-4B9D-9039-62370FE6E521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2DDB-4B9D-9039-62370FE6E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3192208"/>
        <c:axId val="593201456"/>
        <c:extLst/>
      </c:barChart>
      <c:catAx>
        <c:axId val="593192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201456"/>
        <c:crosses val="autoZero"/>
        <c:auto val="1"/>
        <c:lblAlgn val="ctr"/>
        <c:lblOffset val="100"/>
        <c:noMultiLvlLbl val="0"/>
      </c:catAx>
      <c:valAx>
        <c:axId val="5932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739722718709233E-2"/>
          <c:y val="0.89046351164867277"/>
          <c:w val="0.91124448094294963"/>
          <c:h val="8.8917931650296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%/R$ (original) - AJUIZAMENTOS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8301-4E70-957E-E722DCB266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8301-4E70-957E-E722DCB2661F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8301-4E70-957E-E722DCB2661F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8301-4E70-957E-E722DCB2661F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9-8301-4E70-957E-E722DCB2661F}"/>
              </c:ext>
            </c:extLst>
          </c:dPt>
          <c:dLbls>
            <c:dLbl>
              <c:idx val="3"/>
              <c:layout>
                <c:manualLayout>
                  <c:x val="1.0019106548562098E-2"/>
                  <c:y val="-0.162502908785886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01-4E70-957E-E722DCB266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8301-4E70-957E-E722DCB26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48623001436479"/>
          <c:y val="0.85266282436344953"/>
          <c:w val="0.76318407426201806"/>
          <c:h val="0.12671861893551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GERAL/R$ (original) - </a:t>
            </a:r>
            <a:r>
              <a:rPr lang="pt-BR" sz="1600" b="1" i="0" u="none" strike="noStrike" baseline="0">
                <a:effectLst/>
              </a:rPr>
              <a:t>AÇÕES PROTOCOLADAS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1A0-4D8A-845C-66484D849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3194928"/>
        <c:axId val="593198736"/>
        <c:extLst/>
      </c:lineChart>
      <c:catAx>
        <c:axId val="59319492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8736"/>
        <c:crosses val="autoZero"/>
        <c:auto val="1"/>
        <c:lblAlgn val="ctr"/>
        <c:lblOffset val="100"/>
        <c:noMultiLvlLbl val="1"/>
      </c:catAx>
      <c:valAx>
        <c:axId val="5931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386682850565584"/>
          <c:y val="0.90444865681447117"/>
          <c:w val="0.39244969481762471"/>
          <c:h val="7.4984325071168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Quant/unidades - ACORDOS / ano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76D-4382-8BD8-2D3B6F0196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93194928"/>
        <c:axId val="593198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solidFill>
                      <a:schemeClr val="accent2"/>
                    </a:solidFill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pt-BR" sz="12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376D-4382-8BD8-2D3B6F0196CB}"/>
                  </c:ext>
                </c:extLst>
              </c15:ser>
            </c15:filteredBarSeries>
          </c:ext>
        </c:extLst>
      </c:barChart>
      <c:catAx>
        <c:axId val="59319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8736"/>
        <c:crosses val="autoZero"/>
        <c:auto val="1"/>
        <c:lblAlgn val="ctr"/>
        <c:lblOffset val="100"/>
        <c:noMultiLvlLbl val="0"/>
      </c:catAx>
      <c:valAx>
        <c:axId val="5931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Drop" dropLines="10" dropStyle="combo" dx="22" fmlaLink="#REF!" fmlaRange="#REF!" sel="0" val="0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93133</xdr:colOff>
      <xdr:row>26</xdr:row>
      <xdr:rowOff>45507</xdr:rowOff>
    </xdr:from>
    <xdr:to>
      <xdr:col>9</xdr:col>
      <xdr:colOff>11905</xdr:colOff>
      <xdr:row>45</xdr:row>
      <xdr:rowOff>130968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69055</xdr:colOff>
      <xdr:row>26</xdr:row>
      <xdr:rowOff>50006</xdr:rowOff>
    </xdr:from>
    <xdr:to>
      <xdr:col>17</xdr:col>
      <xdr:colOff>142874</xdr:colOff>
      <xdr:row>45</xdr:row>
      <xdr:rowOff>126206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47</xdr:row>
      <xdr:rowOff>179916</xdr:rowOff>
    </xdr:from>
    <xdr:to>
      <xdr:col>8</xdr:col>
      <xdr:colOff>583406</xdr:colOff>
      <xdr:row>67</xdr:row>
      <xdr:rowOff>65616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47625</xdr:colOff>
      <xdr:row>47</xdr:row>
      <xdr:rowOff>179916</xdr:rowOff>
    </xdr:from>
    <xdr:to>
      <xdr:col>17</xdr:col>
      <xdr:colOff>130968</xdr:colOff>
      <xdr:row>67</xdr:row>
      <xdr:rowOff>65616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95250</xdr:colOff>
      <xdr:row>68</xdr:row>
      <xdr:rowOff>169333</xdr:rowOff>
    </xdr:from>
    <xdr:to>
      <xdr:col>8</xdr:col>
      <xdr:colOff>571500</xdr:colOff>
      <xdr:row>88</xdr:row>
      <xdr:rowOff>55033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35718</xdr:colOff>
      <xdr:row>68</xdr:row>
      <xdr:rowOff>169334</xdr:rowOff>
    </xdr:from>
    <xdr:to>
      <xdr:col>17</xdr:col>
      <xdr:colOff>119062</xdr:colOff>
      <xdr:row>88</xdr:row>
      <xdr:rowOff>55034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116416</xdr:colOff>
      <xdr:row>90</xdr:row>
      <xdr:rowOff>0</xdr:rowOff>
    </xdr:from>
    <xdr:to>
      <xdr:col>8</xdr:col>
      <xdr:colOff>535781</xdr:colOff>
      <xdr:row>109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11906</xdr:colOff>
      <xdr:row>89</xdr:row>
      <xdr:rowOff>179917</xdr:rowOff>
    </xdr:from>
    <xdr:to>
      <xdr:col>17</xdr:col>
      <xdr:colOff>130968</xdr:colOff>
      <xdr:row>109</xdr:row>
      <xdr:rowOff>65617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127000</xdr:colOff>
      <xdr:row>110</xdr:row>
      <xdr:rowOff>179916</xdr:rowOff>
    </xdr:from>
    <xdr:to>
      <xdr:col>8</xdr:col>
      <xdr:colOff>523875</xdr:colOff>
      <xdr:row>130</xdr:row>
      <xdr:rowOff>65616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110</xdr:row>
      <xdr:rowOff>179917</xdr:rowOff>
    </xdr:from>
    <xdr:to>
      <xdr:col>17</xdr:col>
      <xdr:colOff>107156</xdr:colOff>
      <xdr:row>130</xdr:row>
      <xdr:rowOff>65617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137583</xdr:colOff>
      <xdr:row>131</xdr:row>
      <xdr:rowOff>179917</xdr:rowOff>
    </xdr:from>
    <xdr:to>
      <xdr:col>8</xdr:col>
      <xdr:colOff>523875</xdr:colOff>
      <xdr:row>151</xdr:row>
      <xdr:rowOff>65617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595312</xdr:colOff>
      <xdr:row>131</xdr:row>
      <xdr:rowOff>169333</xdr:rowOff>
    </xdr:from>
    <xdr:to>
      <xdr:col>17</xdr:col>
      <xdr:colOff>95250</xdr:colOff>
      <xdr:row>151</xdr:row>
      <xdr:rowOff>55033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127000</xdr:colOff>
      <xdr:row>152</xdr:row>
      <xdr:rowOff>179917</xdr:rowOff>
    </xdr:from>
    <xdr:to>
      <xdr:col>8</xdr:col>
      <xdr:colOff>511969</xdr:colOff>
      <xdr:row>172</xdr:row>
      <xdr:rowOff>65617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583406</xdr:colOff>
      <xdr:row>153</xdr:row>
      <xdr:rowOff>0</xdr:rowOff>
    </xdr:from>
    <xdr:to>
      <xdr:col>17</xdr:col>
      <xdr:colOff>95250</xdr:colOff>
      <xdr:row>172</xdr:row>
      <xdr:rowOff>76200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127000</xdr:colOff>
      <xdr:row>174</xdr:row>
      <xdr:rowOff>0</xdr:rowOff>
    </xdr:from>
    <xdr:to>
      <xdr:col>8</xdr:col>
      <xdr:colOff>500062</xdr:colOff>
      <xdr:row>193</xdr:row>
      <xdr:rowOff>76200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571500</xdr:colOff>
      <xdr:row>173</xdr:row>
      <xdr:rowOff>179917</xdr:rowOff>
    </xdr:from>
    <xdr:to>
      <xdr:col>17</xdr:col>
      <xdr:colOff>107156</xdr:colOff>
      <xdr:row>193</xdr:row>
      <xdr:rowOff>65617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127000</xdr:colOff>
      <xdr:row>195</xdr:row>
      <xdr:rowOff>21167</xdr:rowOff>
    </xdr:from>
    <xdr:to>
      <xdr:col>8</xdr:col>
      <xdr:colOff>488156</xdr:colOff>
      <xdr:row>214</xdr:row>
      <xdr:rowOff>97367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571500</xdr:colOff>
      <xdr:row>195</xdr:row>
      <xdr:rowOff>10583</xdr:rowOff>
    </xdr:from>
    <xdr:to>
      <xdr:col>17</xdr:col>
      <xdr:colOff>107156</xdr:colOff>
      <xdr:row>214</xdr:row>
      <xdr:rowOff>86783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116417</xdr:colOff>
      <xdr:row>216</xdr:row>
      <xdr:rowOff>10584</xdr:rowOff>
    </xdr:from>
    <xdr:to>
      <xdr:col>8</xdr:col>
      <xdr:colOff>464344</xdr:colOff>
      <xdr:row>235</xdr:row>
      <xdr:rowOff>86784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559594</xdr:colOff>
      <xdr:row>216</xdr:row>
      <xdr:rowOff>10583</xdr:rowOff>
    </xdr:from>
    <xdr:to>
      <xdr:col>17</xdr:col>
      <xdr:colOff>107156</xdr:colOff>
      <xdr:row>235</xdr:row>
      <xdr:rowOff>86783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116417</xdr:colOff>
      <xdr:row>236</xdr:row>
      <xdr:rowOff>169333</xdr:rowOff>
    </xdr:from>
    <xdr:to>
      <xdr:col>8</xdr:col>
      <xdr:colOff>440531</xdr:colOff>
      <xdr:row>256</xdr:row>
      <xdr:rowOff>55033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547688</xdr:colOff>
      <xdr:row>236</xdr:row>
      <xdr:rowOff>158750</xdr:rowOff>
    </xdr:from>
    <xdr:to>
      <xdr:col>17</xdr:col>
      <xdr:colOff>107157</xdr:colOff>
      <xdr:row>256</xdr:row>
      <xdr:rowOff>44450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116416</xdr:colOff>
      <xdr:row>257</xdr:row>
      <xdr:rowOff>74083</xdr:rowOff>
    </xdr:from>
    <xdr:to>
      <xdr:col>8</xdr:col>
      <xdr:colOff>433916</xdr:colOff>
      <xdr:row>276</xdr:row>
      <xdr:rowOff>150283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539751</xdr:colOff>
      <xdr:row>257</xdr:row>
      <xdr:rowOff>84667</xdr:rowOff>
    </xdr:from>
    <xdr:to>
      <xdr:col>17</xdr:col>
      <xdr:colOff>105833</xdr:colOff>
      <xdr:row>276</xdr:row>
      <xdr:rowOff>160867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0</xdr:row>
          <xdr:rowOff>66675</xdr:rowOff>
        </xdr:from>
        <xdr:to>
          <xdr:col>5</xdr:col>
          <xdr:colOff>257175</xdr:colOff>
          <xdr:row>3</xdr:row>
          <xdr:rowOff>38100</xdr:rowOff>
        </xdr:to>
        <xdr:sp macro="" textlink="">
          <xdr:nvSpPr>
            <xdr:cNvPr id="15361" name="Drop Dow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5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226218</xdr:colOff>
      <xdr:row>26</xdr:row>
      <xdr:rowOff>47625</xdr:rowOff>
    </xdr:from>
    <xdr:to>
      <xdr:col>28</xdr:col>
      <xdr:colOff>583406</xdr:colOff>
      <xdr:row>45</xdr:row>
      <xdr:rowOff>133086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17</xdr:col>
      <xdr:colOff>238125</xdr:colOff>
      <xdr:row>47</xdr:row>
      <xdr:rowOff>178594</xdr:rowOff>
    </xdr:from>
    <xdr:to>
      <xdr:col>28</xdr:col>
      <xdr:colOff>571500</xdr:colOff>
      <xdr:row>67</xdr:row>
      <xdr:rowOff>73555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17</xdr:col>
      <xdr:colOff>261938</xdr:colOff>
      <xdr:row>68</xdr:row>
      <xdr:rowOff>154781</xdr:rowOff>
    </xdr:from>
    <xdr:to>
      <xdr:col>28</xdr:col>
      <xdr:colOff>571500</xdr:colOff>
      <xdr:row>88</xdr:row>
      <xdr:rowOff>49742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17</xdr:col>
      <xdr:colOff>261938</xdr:colOff>
      <xdr:row>89</xdr:row>
      <xdr:rowOff>166687</xdr:rowOff>
    </xdr:from>
    <xdr:to>
      <xdr:col>28</xdr:col>
      <xdr:colOff>547687</xdr:colOff>
      <xdr:row>109</xdr:row>
      <xdr:rowOff>61648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17</xdr:col>
      <xdr:colOff>250032</xdr:colOff>
      <xdr:row>110</xdr:row>
      <xdr:rowOff>166688</xdr:rowOff>
    </xdr:from>
    <xdr:to>
      <xdr:col>28</xdr:col>
      <xdr:colOff>559594</xdr:colOff>
      <xdr:row>130</xdr:row>
      <xdr:rowOff>61649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17</xdr:col>
      <xdr:colOff>250031</xdr:colOff>
      <xdr:row>131</xdr:row>
      <xdr:rowOff>166688</xdr:rowOff>
    </xdr:from>
    <xdr:to>
      <xdr:col>28</xdr:col>
      <xdr:colOff>571500</xdr:colOff>
      <xdr:row>151</xdr:row>
      <xdr:rowOff>61649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17</xdr:col>
      <xdr:colOff>261938</xdr:colOff>
      <xdr:row>152</xdr:row>
      <xdr:rowOff>178594</xdr:rowOff>
    </xdr:from>
    <xdr:to>
      <xdr:col>28</xdr:col>
      <xdr:colOff>559594</xdr:colOff>
      <xdr:row>172</xdr:row>
      <xdr:rowOff>73555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17</xdr:col>
      <xdr:colOff>285750</xdr:colOff>
      <xdr:row>173</xdr:row>
      <xdr:rowOff>166687</xdr:rowOff>
    </xdr:from>
    <xdr:to>
      <xdr:col>28</xdr:col>
      <xdr:colOff>547687</xdr:colOff>
      <xdr:row>193</xdr:row>
      <xdr:rowOff>61648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17</xdr:col>
      <xdr:colOff>285750</xdr:colOff>
      <xdr:row>195</xdr:row>
      <xdr:rowOff>0</xdr:rowOff>
    </xdr:from>
    <xdr:to>
      <xdr:col>28</xdr:col>
      <xdr:colOff>571500</xdr:colOff>
      <xdr:row>214</xdr:row>
      <xdr:rowOff>85461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17</xdr:col>
      <xdr:colOff>261937</xdr:colOff>
      <xdr:row>216</xdr:row>
      <xdr:rowOff>11906</xdr:rowOff>
    </xdr:from>
    <xdr:to>
      <xdr:col>28</xdr:col>
      <xdr:colOff>547687</xdr:colOff>
      <xdr:row>235</xdr:row>
      <xdr:rowOff>97367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17</xdr:col>
      <xdr:colOff>275167</xdr:colOff>
      <xdr:row>236</xdr:row>
      <xdr:rowOff>169334</xdr:rowOff>
    </xdr:from>
    <xdr:to>
      <xdr:col>28</xdr:col>
      <xdr:colOff>535781</xdr:colOff>
      <xdr:row>256</xdr:row>
      <xdr:rowOff>64295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264583</xdr:colOff>
      <xdr:row>257</xdr:row>
      <xdr:rowOff>84666</xdr:rowOff>
    </xdr:from>
    <xdr:to>
      <xdr:col>28</xdr:col>
      <xdr:colOff>547687</xdr:colOff>
      <xdr:row>276</xdr:row>
      <xdr:rowOff>170127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107156</xdr:colOff>
      <xdr:row>278</xdr:row>
      <xdr:rowOff>11906</xdr:rowOff>
    </xdr:from>
    <xdr:to>
      <xdr:col>8</xdr:col>
      <xdr:colOff>424656</xdr:colOff>
      <xdr:row>297</xdr:row>
      <xdr:rowOff>88106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8</xdr:col>
      <xdr:colOff>559594</xdr:colOff>
      <xdr:row>278</xdr:row>
      <xdr:rowOff>23813</xdr:rowOff>
    </xdr:from>
    <xdr:to>
      <xdr:col>17</xdr:col>
      <xdr:colOff>125676</xdr:colOff>
      <xdr:row>297</xdr:row>
      <xdr:rowOff>100013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17</xdr:col>
      <xdr:colOff>285750</xdr:colOff>
      <xdr:row>278</xdr:row>
      <xdr:rowOff>11906</xdr:rowOff>
    </xdr:from>
    <xdr:to>
      <xdr:col>28</xdr:col>
      <xdr:colOff>559594</xdr:colOff>
      <xdr:row>297</xdr:row>
      <xdr:rowOff>97367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107156</xdr:colOff>
      <xdr:row>298</xdr:row>
      <xdr:rowOff>154781</xdr:rowOff>
    </xdr:from>
    <xdr:to>
      <xdr:col>8</xdr:col>
      <xdr:colOff>424656</xdr:colOff>
      <xdr:row>318</xdr:row>
      <xdr:rowOff>40481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8</xdr:col>
      <xdr:colOff>600076</xdr:colOff>
      <xdr:row>298</xdr:row>
      <xdr:rowOff>166687</xdr:rowOff>
    </xdr:from>
    <xdr:to>
      <xdr:col>17</xdr:col>
      <xdr:colOff>166158</xdr:colOff>
      <xdr:row>318</xdr:row>
      <xdr:rowOff>52387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17</xdr:col>
      <xdr:colOff>309563</xdr:colOff>
      <xdr:row>298</xdr:row>
      <xdr:rowOff>166687</xdr:rowOff>
    </xdr:from>
    <xdr:to>
      <xdr:col>28</xdr:col>
      <xdr:colOff>523875</xdr:colOff>
      <xdr:row>318</xdr:row>
      <xdr:rowOff>61648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107156</xdr:colOff>
      <xdr:row>319</xdr:row>
      <xdr:rowOff>47625</xdr:rowOff>
    </xdr:from>
    <xdr:to>
      <xdr:col>8</xdr:col>
      <xdr:colOff>424656</xdr:colOff>
      <xdr:row>338</xdr:row>
      <xdr:rowOff>123825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8</xdr:col>
      <xdr:colOff>523875</xdr:colOff>
      <xdr:row>319</xdr:row>
      <xdr:rowOff>59531</xdr:rowOff>
    </xdr:from>
    <xdr:to>
      <xdr:col>17</xdr:col>
      <xdr:colOff>89957</xdr:colOff>
      <xdr:row>338</xdr:row>
      <xdr:rowOff>135731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17</xdr:col>
      <xdr:colOff>321469</xdr:colOff>
      <xdr:row>319</xdr:row>
      <xdr:rowOff>71437</xdr:rowOff>
    </xdr:from>
    <xdr:to>
      <xdr:col>28</xdr:col>
      <xdr:colOff>488156</xdr:colOff>
      <xdr:row>338</xdr:row>
      <xdr:rowOff>156898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95250</xdr:colOff>
      <xdr:row>339</xdr:row>
      <xdr:rowOff>178594</xdr:rowOff>
    </xdr:from>
    <xdr:to>
      <xdr:col>8</xdr:col>
      <xdr:colOff>412750</xdr:colOff>
      <xdr:row>359</xdr:row>
      <xdr:rowOff>64294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9</xdr:col>
      <xdr:colOff>0</xdr:colOff>
      <xdr:row>340</xdr:row>
      <xdr:rowOff>0</xdr:rowOff>
    </xdr:from>
    <xdr:to>
      <xdr:col>17</xdr:col>
      <xdr:colOff>173301</xdr:colOff>
      <xdr:row>359</xdr:row>
      <xdr:rowOff>76200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17</xdr:col>
      <xdr:colOff>321469</xdr:colOff>
      <xdr:row>339</xdr:row>
      <xdr:rowOff>178594</xdr:rowOff>
    </xdr:from>
    <xdr:to>
      <xdr:col>28</xdr:col>
      <xdr:colOff>500062</xdr:colOff>
      <xdr:row>359</xdr:row>
      <xdr:rowOff>73555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83344</xdr:colOff>
      <xdr:row>381</xdr:row>
      <xdr:rowOff>35719</xdr:rowOff>
    </xdr:from>
    <xdr:to>
      <xdr:col>8</xdr:col>
      <xdr:colOff>400844</xdr:colOff>
      <xdr:row>400</xdr:row>
      <xdr:rowOff>111919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8</xdr:col>
      <xdr:colOff>583406</xdr:colOff>
      <xdr:row>381</xdr:row>
      <xdr:rowOff>47625</xdr:rowOff>
    </xdr:from>
    <xdr:to>
      <xdr:col>17</xdr:col>
      <xdr:colOff>149488</xdr:colOff>
      <xdr:row>400</xdr:row>
      <xdr:rowOff>123825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0</xdr:col>
      <xdr:colOff>107157</xdr:colOff>
      <xdr:row>4</xdr:row>
      <xdr:rowOff>178593</xdr:rowOff>
    </xdr:from>
    <xdr:to>
      <xdr:col>17</xdr:col>
      <xdr:colOff>95250</xdr:colOff>
      <xdr:row>24</xdr:row>
      <xdr:rowOff>73554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0</xdr:col>
      <xdr:colOff>0</xdr:colOff>
      <xdr:row>402</xdr:row>
      <xdr:rowOff>0</xdr:rowOff>
    </xdr:from>
    <xdr:to>
      <xdr:col>8</xdr:col>
      <xdr:colOff>317500</xdr:colOff>
      <xdr:row>421</xdr:row>
      <xdr:rowOff>76200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9</xdr:col>
      <xdr:colOff>0</xdr:colOff>
      <xdr:row>402</xdr:row>
      <xdr:rowOff>0</xdr:rowOff>
    </xdr:from>
    <xdr:to>
      <xdr:col>17</xdr:col>
      <xdr:colOff>173301</xdr:colOff>
      <xdr:row>421</xdr:row>
      <xdr:rowOff>76200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17</xdr:col>
      <xdr:colOff>392907</xdr:colOff>
      <xdr:row>402</xdr:row>
      <xdr:rowOff>11907</xdr:rowOff>
    </xdr:from>
    <xdr:to>
      <xdr:col>28</xdr:col>
      <xdr:colOff>488156</xdr:colOff>
      <xdr:row>421</xdr:row>
      <xdr:rowOff>97368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17</xdr:col>
      <xdr:colOff>231321</xdr:colOff>
      <xdr:row>5</xdr:row>
      <xdr:rowOff>0</xdr:rowOff>
    </xdr:from>
    <xdr:to>
      <xdr:col>28</xdr:col>
      <xdr:colOff>607218</xdr:colOff>
      <xdr:row>24</xdr:row>
      <xdr:rowOff>85461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0</xdr:col>
      <xdr:colOff>107156</xdr:colOff>
      <xdr:row>360</xdr:row>
      <xdr:rowOff>47625</xdr:rowOff>
    </xdr:from>
    <xdr:to>
      <xdr:col>8</xdr:col>
      <xdr:colOff>424656</xdr:colOff>
      <xdr:row>379</xdr:row>
      <xdr:rowOff>123825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9</xdr:col>
      <xdr:colOff>11906</xdr:colOff>
      <xdr:row>360</xdr:row>
      <xdr:rowOff>47625</xdr:rowOff>
    </xdr:from>
    <xdr:to>
      <xdr:col>17</xdr:col>
      <xdr:colOff>185207</xdr:colOff>
      <xdr:row>379</xdr:row>
      <xdr:rowOff>123825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17</xdr:col>
      <xdr:colOff>345282</xdr:colOff>
      <xdr:row>360</xdr:row>
      <xdr:rowOff>23813</xdr:rowOff>
    </xdr:from>
    <xdr:to>
      <xdr:col>28</xdr:col>
      <xdr:colOff>500062</xdr:colOff>
      <xdr:row>379</xdr:row>
      <xdr:rowOff>109274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17</xdr:col>
      <xdr:colOff>381000</xdr:colOff>
      <xdr:row>381</xdr:row>
      <xdr:rowOff>35719</xdr:rowOff>
    </xdr:from>
    <xdr:to>
      <xdr:col>28</xdr:col>
      <xdr:colOff>488156</xdr:colOff>
      <xdr:row>400</xdr:row>
      <xdr:rowOff>121180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Letreiro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783"/>
  <sheetViews>
    <sheetView showGridLines="0" zoomScale="80" zoomScaleNormal="80" workbookViewId="0">
      <pane xSplit="3" ySplit="1" topLeftCell="D2" activePane="bottomRight" state="frozen"/>
      <selection activeCell="E486" sqref="E486"/>
      <selection pane="topRight" activeCell="E486" sqref="E486"/>
      <selection pane="bottomLeft" activeCell="E486" sqref="E486"/>
      <selection pane="bottomRight" activeCell="G5" sqref="G5"/>
    </sheetView>
  </sheetViews>
  <sheetFormatPr defaultColWidth="9.140625" defaultRowHeight="15"/>
  <cols>
    <col min="1" max="1" width="15.28515625" style="2" customWidth="1"/>
    <col min="2" max="2" width="22.7109375" style="2" customWidth="1"/>
    <col min="3" max="3" width="68.7109375" style="2" bestFit="1" customWidth="1"/>
    <col min="4" max="4" width="16" style="7" customWidth="1"/>
    <col min="5" max="6" width="17.5703125" style="7" customWidth="1"/>
    <col min="7" max="8" width="16" style="7" customWidth="1"/>
    <col min="9" max="9" width="20" style="7" customWidth="1"/>
    <col min="10" max="10" width="17.7109375" style="7" customWidth="1"/>
    <col min="11" max="11" width="16" style="7" customWidth="1"/>
    <col min="12" max="14" width="18.5703125" style="7" customWidth="1"/>
    <col min="15" max="15" width="19.85546875" style="7" customWidth="1"/>
    <col min="16" max="16" width="20.140625" style="7" customWidth="1"/>
    <col min="17" max="17" width="18.42578125" style="2" bestFit="1" customWidth="1"/>
    <col min="18" max="18" width="17.28515625" style="2" customWidth="1"/>
    <col min="19" max="19" width="16.28515625" style="2" customWidth="1"/>
    <col min="20" max="20" width="15.42578125" style="2" customWidth="1"/>
    <col min="21" max="16384" width="9.140625" style="2"/>
  </cols>
  <sheetData>
    <row r="1" spans="1:20" ht="37.5" customHeight="1">
      <c r="A1" s="3" t="s">
        <v>0</v>
      </c>
      <c r="B1" s="4" t="s">
        <v>1728</v>
      </c>
      <c r="C1" s="4" t="s">
        <v>1729</v>
      </c>
      <c r="D1" s="8" t="s">
        <v>1</v>
      </c>
      <c r="E1" s="8" t="s">
        <v>3</v>
      </c>
      <c r="F1" s="8" t="s">
        <v>8</v>
      </c>
      <c r="G1" s="8" t="s">
        <v>1194</v>
      </c>
      <c r="H1" s="8" t="s">
        <v>58</v>
      </c>
      <c r="I1" s="8" t="s">
        <v>7</v>
      </c>
      <c r="J1" s="9" t="s">
        <v>2</v>
      </c>
      <c r="K1" s="10" t="s">
        <v>990</v>
      </c>
      <c r="L1" s="10" t="s">
        <v>1184</v>
      </c>
      <c r="M1" s="10" t="s">
        <v>1181</v>
      </c>
      <c r="N1" s="10" t="s">
        <v>1191</v>
      </c>
      <c r="O1" s="10" t="s">
        <v>774</v>
      </c>
      <c r="P1" s="10" t="s">
        <v>6</v>
      </c>
      <c r="Q1" s="15" t="s">
        <v>2382</v>
      </c>
      <c r="R1" s="20" t="s">
        <v>2186</v>
      </c>
      <c r="S1" s="20" t="s">
        <v>2187</v>
      </c>
      <c r="T1" s="20" t="s">
        <v>2188</v>
      </c>
    </row>
    <row r="2" spans="1:20">
      <c r="A2" s="24" t="s">
        <v>2153</v>
      </c>
      <c r="B2" s="24" t="s">
        <v>481</v>
      </c>
      <c r="C2" s="24" t="s">
        <v>482</v>
      </c>
      <c r="D2" s="5" t="e">
        <f>IF((COUNTIFS(#REF!,$C2,#REF!,"*163*"))&gt;=1,"SIM","")</f>
        <v>#REF!</v>
      </c>
      <c r="E2" s="5" t="e">
        <f>IF((COUNTIFS(#REF!,$C2,#REF!,E$1))&gt;=1,"SIM","")</f>
        <v>#REF!</v>
      </c>
      <c r="F2" s="5" t="e">
        <f>IF((COUNTIFS(#REF!,$C2,#REF!,F$1))&gt;=1,"SIM","")</f>
        <v>#REF!</v>
      </c>
      <c r="G2" s="5" t="e">
        <f>IF((COUNTIFS(#REF!,$C2,#REF!,"*606*"))&gt;=1,"SIM","")</f>
        <v>#REF!</v>
      </c>
      <c r="H2" s="5" t="e">
        <f>IF((COUNTIFS(#REF!,$C2,#REF!,"*605*"))&gt;=1,"SIM","")</f>
        <v>#REF!</v>
      </c>
      <c r="I2" s="5" t="e">
        <f>IF((COUNTIFS(#REF!,$C2,#REF!,I$1))&gt;=1,"SIM","")</f>
        <v>#REF!</v>
      </c>
      <c r="J2" s="5" t="e">
        <f>IF((COUNTIFS(#REF!,$C2,#REF!,J$1))&gt;=1,"SIM","")</f>
        <v>#REF!</v>
      </c>
      <c r="K2" s="5" t="e">
        <f>IF((COUNTIFS(#REF!,$C2,#REF!,K$1))&gt;=1,"SIM","")</f>
        <v>#REF!</v>
      </c>
      <c r="L2" s="5" t="e">
        <f>IF((COUNTIFS(#REF!,$C2,#REF!,L$1))&gt;=1,"SIM","")</f>
        <v>#REF!</v>
      </c>
      <c r="M2" s="5" t="e">
        <f>IF((COUNTIFS(#REF!,$C2,#REF!,M$1))&gt;=1,"SIM","")</f>
        <v>#REF!</v>
      </c>
      <c r="N2" s="5" t="e">
        <f>IF((COUNTIFS(#REF!,$C2,#REF!,N$1))&gt;=1,"SIM","")</f>
        <v>#REF!</v>
      </c>
      <c r="O2" s="5"/>
      <c r="P2" s="5" t="e">
        <f>IF((COUNTIFS(#REF!,$C2,#REF!,P$1))&gt;=1,"SIM","")</f>
        <v>#REF!</v>
      </c>
      <c r="Q2" s="5" t="e">
        <f>IF((COUNTIFS(#REF!,$C2,#REF!,Q$1))&gt;=1,"SIM","")</f>
        <v>#REF!</v>
      </c>
      <c r="R2" s="5" t="e">
        <f>IF((COUNTIFS(#REF!,$C2,#REF!,"*CARTA*"))&gt;=1,"SIM","")</f>
        <v>#REF!</v>
      </c>
      <c r="S2" s="5" t="e">
        <f>IF((COUNTIFS(#REF!,$C2,#REF!,"*CARTA NOTIFICAÇÃO/DEVOL*"))&gt;=1,"SIM","")</f>
        <v>#REF!</v>
      </c>
      <c r="T2" s="5" t="e">
        <f>IF((COUNTIFS(#REF!,$C2,#REF!,"*LIGAÇÃO ATIVA DEV PRIN/LOC*"))&gt;=1,"SIM","")</f>
        <v>#REF!</v>
      </c>
    </row>
    <row r="3" spans="1:20">
      <c r="A3" s="24" t="s">
        <v>2153</v>
      </c>
      <c r="B3" s="24" t="s">
        <v>722</v>
      </c>
      <c r="C3" s="24" t="s">
        <v>723</v>
      </c>
      <c r="D3" s="5" t="e">
        <f>IF((COUNTIFS(#REF!,$C3,#REF!,"*163*"))&gt;=1,"SIM","")</f>
        <v>#REF!</v>
      </c>
      <c r="E3" s="5" t="e">
        <f>IF((COUNTIFS(#REF!,$C3,#REF!,E$1))&gt;=1,"SIM","")</f>
        <v>#REF!</v>
      </c>
      <c r="F3" s="5" t="e">
        <f>IF((COUNTIFS(#REF!,$C3,#REF!,F$1))&gt;=1,"SIM","")</f>
        <v>#REF!</v>
      </c>
      <c r="G3" s="5" t="e">
        <f>IF((COUNTIFS(#REF!,$C3,#REF!,"*606*"))&gt;=1,"SIM","")</f>
        <v>#REF!</v>
      </c>
      <c r="H3" s="5" t="e">
        <f>IF((COUNTIFS(#REF!,$C3,#REF!,"*605*"))&gt;=1,"SIM","")</f>
        <v>#REF!</v>
      </c>
      <c r="I3" s="5" t="e">
        <f>IF((COUNTIFS(#REF!,$C3,#REF!,I$1))&gt;=1,"SIM","")</f>
        <v>#REF!</v>
      </c>
      <c r="J3" s="5" t="e">
        <f>IF((COUNTIFS(#REF!,$C3,#REF!,J$1))&gt;=1,"SIM","")</f>
        <v>#REF!</v>
      </c>
      <c r="K3" s="5" t="e">
        <f>IF((COUNTIFS(#REF!,$C3,#REF!,K$1))&gt;=1,"SIM","")</f>
        <v>#REF!</v>
      </c>
      <c r="L3" s="5" t="e">
        <f>IF((COUNTIFS(#REF!,$C3,#REF!,L$1))&gt;=1,"SIM","")</f>
        <v>#REF!</v>
      </c>
      <c r="M3" s="5" t="e">
        <f>IF((COUNTIFS(#REF!,$C3,#REF!,M$1))&gt;=1,"SIM","")</f>
        <v>#REF!</v>
      </c>
      <c r="N3" s="5" t="e">
        <f>IF((COUNTIFS(#REF!,$C3,#REF!,N$1))&gt;=1,"SIM","")</f>
        <v>#REF!</v>
      </c>
      <c r="O3" s="5"/>
      <c r="P3" s="5" t="e">
        <f>IF((COUNTIFS(#REF!,$C3,#REF!,P$1))&gt;=1,"SIM","")</f>
        <v>#REF!</v>
      </c>
      <c r="Q3" s="5" t="e">
        <f>IF((COUNTIFS(#REF!,$C3,#REF!,Q$1))&gt;=1,"SIM","")</f>
        <v>#REF!</v>
      </c>
      <c r="R3" s="5" t="e">
        <f>IF((COUNTIFS(#REF!,$C3,#REF!,"*CARTA*"))&gt;=1,"SIM","")</f>
        <v>#REF!</v>
      </c>
      <c r="S3" s="5" t="e">
        <f>IF((COUNTIFS(#REF!,$C3,#REF!,"*CARTA NOTIFICAÇÃO/DEVOL*"))&gt;=1,"SIM","")</f>
        <v>#REF!</v>
      </c>
      <c r="T3" s="5" t="e">
        <f>IF((COUNTIFS(#REF!,$C3,#REF!,"*LIGAÇÃO ATIVA DEV PRIN/LOC*"))&gt;=1,"SIM","")</f>
        <v>#REF!</v>
      </c>
    </row>
    <row r="4" spans="1:20">
      <c r="A4" s="24" t="s">
        <v>2153</v>
      </c>
      <c r="B4" s="24" t="s">
        <v>234</v>
      </c>
      <c r="C4" s="24" t="s">
        <v>235</v>
      </c>
      <c r="D4" s="5" t="e">
        <f>IF((COUNTIFS(#REF!,$C4,#REF!,"*163*"))&gt;=1,"SIM","")</f>
        <v>#REF!</v>
      </c>
      <c r="E4" s="5" t="e">
        <f>IF((COUNTIFS(#REF!,$C4,#REF!,E$1))&gt;=1,"SIM","")</f>
        <v>#REF!</v>
      </c>
      <c r="F4" s="5" t="e">
        <f>IF((COUNTIFS(#REF!,$C4,#REF!,F$1))&gt;=1,"SIM","")</f>
        <v>#REF!</v>
      </c>
      <c r="G4" s="5" t="e">
        <f>IF((COUNTIFS(#REF!,$C4,#REF!,"*606*"))&gt;=1,"SIM","")</f>
        <v>#REF!</v>
      </c>
      <c r="H4" s="5" t="e">
        <f>IF((COUNTIFS(#REF!,$C4,#REF!,"*605*"))&gt;=1,"SIM","")</f>
        <v>#REF!</v>
      </c>
      <c r="I4" s="5" t="e">
        <f>IF((COUNTIFS(#REF!,$C4,#REF!,I$1))&gt;=1,"SIM","")</f>
        <v>#REF!</v>
      </c>
      <c r="J4" s="5" t="e">
        <f>IF((COUNTIFS(#REF!,$C4,#REF!,J$1))&gt;=1,"SIM","")</f>
        <v>#REF!</v>
      </c>
      <c r="K4" s="5" t="e">
        <f>IF((COUNTIFS(#REF!,$C4,#REF!,K$1))&gt;=1,"SIM","")</f>
        <v>#REF!</v>
      </c>
      <c r="L4" s="5" t="e">
        <f>IF((COUNTIFS(#REF!,$C4,#REF!,L$1))&gt;=1,"SIM","")</f>
        <v>#REF!</v>
      </c>
      <c r="M4" s="5" t="e">
        <f>IF((COUNTIFS(#REF!,$C4,#REF!,M$1))&gt;=1,"SIM","")</f>
        <v>#REF!</v>
      </c>
      <c r="N4" s="5" t="e">
        <f>IF((COUNTIFS(#REF!,$C4,#REF!,N$1))&gt;=1,"SIM","")</f>
        <v>#REF!</v>
      </c>
      <c r="O4" s="5"/>
      <c r="P4" s="5" t="e">
        <f>IF((COUNTIFS(#REF!,$C4,#REF!,P$1))&gt;=1,"SIM","")</f>
        <v>#REF!</v>
      </c>
      <c r="Q4" s="5" t="e">
        <f>IF((COUNTIFS(#REF!,$C4,#REF!,Q$1))&gt;=1,"SIM","")</f>
        <v>#REF!</v>
      </c>
      <c r="R4" s="5" t="e">
        <f>IF((COUNTIFS(#REF!,$C4,#REF!,"*CARTA*"))&gt;=1,"SIM","")</f>
        <v>#REF!</v>
      </c>
      <c r="S4" s="5" t="e">
        <f>IF((COUNTIFS(#REF!,$C4,#REF!,"*CARTA NOTIFICAÇÃO/DEVOL*"))&gt;=1,"SIM","")</f>
        <v>#REF!</v>
      </c>
      <c r="T4" s="5" t="e">
        <f>IF((COUNTIFS(#REF!,$C4,#REF!,"*LIGAÇÃO ATIVA DEV PRIN/LOC*"))&gt;=1,"SIM","")</f>
        <v>#REF!</v>
      </c>
    </row>
    <row r="5" spans="1:20">
      <c r="A5" s="24" t="s">
        <v>2153</v>
      </c>
      <c r="B5" s="24" t="s">
        <v>223</v>
      </c>
      <c r="C5" s="24" t="s">
        <v>224</v>
      </c>
      <c r="D5" s="5" t="e">
        <f>IF((COUNTIFS(#REF!,$C5,#REF!,"*163*"))&gt;=1,"SIM","")</f>
        <v>#REF!</v>
      </c>
      <c r="E5" s="5" t="e">
        <f>IF((COUNTIFS(#REF!,$C5,#REF!,E$1))&gt;=1,"SIM","")</f>
        <v>#REF!</v>
      </c>
      <c r="F5" s="5" t="e">
        <f>IF((COUNTIFS(#REF!,$C5,#REF!,F$1))&gt;=1,"SIM","")</f>
        <v>#REF!</v>
      </c>
      <c r="G5" s="5" t="e">
        <f>IF((COUNTIFS(#REF!,$C5,#REF!,"*606*"))&gt;=1,"SIM","")</f>
        <v>#REF!</v>
      </c>
      <c r="H5" s="5" t="e">
        <f>IF((COUNTIFS(#REF!,$C5,#REF!,"*605*"))&gt;=1,"SIM","")</f>
        <v>#REF!</v>
      </c>
      <c r="I5" s="5" t="e">
        <f>IF((COUNTIFS(#REF!,$C5,#REF!,I$1))&gt;=1,"SIM","")</f>
        <v>#REF!</v>
      </c>
      <c r="J5" s="5" t="e">
        <f>IF((COUNTIFS(#REF!,$C5,#REF!,J$1))&gt;=1,"SIM","")</f>
        <v>#REF!</v>
      </c>
      <c r="K5" s="5" t="e">
        <f>IF((COUNTIFS(#REF!,$C5,#REF!,K$1))&gt;=1,"SIM","")</f>
        <v>#REF!</v>
      </c>
      <c r="L5" s="5" t="e">
        <f>IF((COUNTIFS(#REF!,$C5,#REF!,L$1))&gt;=1,"SIM","")</f>
        <v>#REF!</v>
      </c>
      <c r="M5" s="5" t="e">
        <f>IF((COUNTIFS(#REF!,$C5,#REF!,M$1))&gt;=1,"SIM","")</f>
        <v>#REF!</v>
      </c>
      <c r="N5" s="5" t="e">
        <f>IF((COUNTIFS(#REF!,$C5,#REF!,N$1))&gt;=1,"SIM","")</f>
        <v>#REF!</v>
      </c>
      <c r="O5" s="5"/>
      <c r="P5" s="5" t="e">
        <f>IF((COUNTIFS(#REF!,$C5,#REF!,P$1))&gt;=1,"SIM","")</f>
        <v>#REF!</v>
      </c>
      <c r="Q5" s="5" t="e">
        <f>IF((COUNTIFS(#REF!,$C5,#REF!,Q$1))&gt;=1,"SIM","")</f>
        <v>#REF!</v>
      </c>
      <c r="R5" s="5" t="e">
        <f>IF((COUNTIFS(#REF!,$C5,#REF!,"*CARTA*"))&gt;=1,"SIM","")</f>
        <v>#REF!</v>
      </c>
      <c r="S5" s="5" t="e">
        <f>IF((COUNTIFS(#REF!,$C5,#REF!,"*CARTA NOTIFICAÇÃO/DEVOL*"))&gt;=1,"SIM","")</f>
        <v>#REF!</v>
      </c>
      <c r="T5" s="5" t="e">
        <f>IF((COUNTIFS(#REF!,$C5,#REF!,"*LIGAÇÃO ATIVA DEV PRIN/LOC*"))&gt;=1,"SIM","")</f>
        <v>#REF!</v>
      </c>
    </row>
    <row r="6" spans="1:20">
      <c r="A6" s="24" t="s">
        <v>2153</v>
      </c>
      <c r="B6" s="24" t="s">
        <v>1973</v>
      </c>
      <c r="C6" s="24" t="s">
        <v>1974</v>
      </c>
      <c r="D6" s="5" t="e">
        <f>IF((COUNTIFS(#REF!,$C6,#REF!,"*163*"))&gt;=1,"SIM","")</f>
        <v>#REF!</v>
      </c>
      <c r="E6" s="5" t="e">
        <f>IF((COUNTIFS(#REF!,$C6,#REF!,E$1))&gt;=1,"SIM","")</f>
        <v>#REF!</v>
      </c>
      <c r="F6" s="5" t="e">
        <f>IF((COUNTIFS(#REF!,$C6,#REF!,F$1))&gt;=1,"SIM","")</f>
        <v>#REF!</v>
      </c>
      <c r="G6" s="5" t="e">
        <f>IF((COUNTIFS(#REF!,$C6,#REF!,"*606*"))&gt;=1,"SIM","")</f>
        <v>#REF!</v>
      </c>
      <c r="H6" s="5" t="e">
        <f>IF((COUNTIFS(#REF!,$C6,#REF!,"*605*"))&gt;=1,"SIM","")</f>
        <v>#REF!</v>
      </c>
      <c r="I6" s="5" t="e">
        <f>IF((COUNTIFS(#REF!,$C6,#REF!,I$1))&gt;=1,"SIM","")</f>
        <v>#REF!</v>
      </c>
      <c r="J6" s="5" t="e">
        <f>IF((COUNTIFS(#REF!,$C6,#REF!,J$1))&gt;=1,"SIM","")</f>
        <v>#REF!</v>
      </c>
      <c r="K6" s="5" t="e">
        <f>IF((COUNTIFS(#REF!,$C6,#REF!,K$1))&gt;=1,"SIM","")</f>
        <v>#REF!</v>
      </c>
      <c r="L6" s="5" t="e">
        <f>IF((COUNTIFS(#REF!,$C6,#REF!,L$1))&gt;=1,"SIM","")</f>
        <v>#REF!</v>
      </c>
      <c r="M6" s="5" t="e">
        <f>IF((COUNTIFS(#REF!,$C6,#REF!,M$1))&gt;=1,"SIM","")</f>
        <v>#REF!</v>
      </c>
      <c r="N6" s="5" t="e">
        <f>IF((COUNTIFS(#REF!,$C6,#REF!,N$1))&gt;=1,"SIM","")</f>
        <v>#REF!</v>
      </c>
      <c r="O6" s="5"/>
      <c r="P6" s="5" t="e">
        <f>IF((COUNTIFS(#REF!,$C6,#REF!,P$1))&gt;=1,"SIM","")</f>
        <v>#REF!</v>
      </c>
      <c r="Q6" s="5" t="e">
        <f>IF((COUNTIFS(#REF!,$C6,#REF!,Q$1))&gt;=1,"SIM","")</f>
        <v>#REF!</v>
      </c>
      <c r="R6" s="5" t="e">
        <f>IF((COUNTIFS(#REF!,$C6,#REF!,"*CARTA*"))&gt;=1,"SIM","")</f>
        <v>#REF!</v>
      </c>
      <c r="S6" s="5" t="e">
        <f>IF((COUNTIFS(#REF!,$C6,#REF!,"*CARTA NOTIFICAÇÃO/DEVOL*"))&gt;=1,"SIM","")</f>
        <v>#REF!</v>
      </c>
      <c r="T6" s="5" t="e">
        <f>IF((COUNTIFS(#REF!,$C6,#REF!,"*LIGAÇÃO ATIVA DEV PRIN/LOC*"))&gt;=1,"SIM","")</f>
        <v>#REF!</v>
      </c>
    </row>
    <row r="7" spans="1:20">
      <c r="A7" s="24" t="s">
        <v>2153</v>
      </c>
      <c r="B7" s="24" t="s">
        <v>211</v>
      </c>
      <c r="C7" s="24" t="s">
        <v>212</v>
      </c>
      <c r="D7" s="5" t="e">
        <f>IF((COUNTIFS(#REF!,$C7,#REF!,"*163*"))&gt;=1,"SIM","")</f>
        <v>#REF!</v>
      </c>
      <c r="E7" s="5" t="e">
        <f>IF((COUNTIFS(#REF!,$C7,#REF!,E$1))&gt;=1,"SIM","")</f>
        <v>#REF!</v>
      </c>
      <c r="F7" s="5" t="e">
        <f>IF((COUNTIFS(#REF!,$C7,#REF!,F$1))&gt;=1,"SIM","")</f>
        <v>#REF!</v>
      </c>
      <c r="G7" s="5" t="e">
        <f>IF((COUNTIFS(#REF!,$C7,#REF!,"*606*"))&gt;=1,"SIM","")</f>
        <v>#REF!</v>
      </c>
      <c r="H7" s="5" t="e">
        <f>IF((COUNTIFS(#REF!,$C7,#REF!,"*605*"))&gt;=1,"SIM","")</f>
        <v>#REF!</v>
      </c>
      <c r="I7" s="5" t="e">
        <f>IF((COUNTIFS(#REF!,$C7,#REF!,I$1))&gt;=1,"SIM","")</f>
        <v>#REF!</v>
      </c>
      <c r="J7" s="5" t="e">
        <f>IF((COUNTIFS(#REF!,$C7,#REF!,J$1))&gt;=1,"SIM","")</f>
        <v>#REF!</v>
      </c>
      <c r="K7" s="5" t="e">
        <f>IF((COUNTIFS(#REF!,$C7,#REF!,K$1))&gt;=1,"SIM","")</f>
        <v>#REF!</v>
      </c>
      <c r="L7" s="5" t="e">
        <f>IF((COUNTIFS(#REF!,$C7,#REF!,L$1))&gt;=1,"SIM","")</f>
        <v>#REF!</v>
      </c>
      <c r="M7" s="5" t="e">
        <f>IF((COUNTIFS(#REF!,$C7,#REF!,M$1))&gt;=1,"SIM","")</f>
        <v>#REF!</v>
      </c>
      <c r="N7" s="5" t="e">
        <f>IF((COUNTIFS(#REF!,$C7,#REF!,N$1))&gt;=1,"SIM","")</f>
        <v>#REF!</v>
      </c>
      <c r="O7" s="5"/>
      <c r="P7" s="5" t="e">
        <f>IF((COUNTIFS(#REF!,$C7,#REF!,P$1))&gt;=1,"SIM","")</f>
        <v>#REF!</v>
      </c>
      <c r="Q7" s="5" t="e">
        <f>IF((COUNTIFS(#REF!,$C7,#REF!,Q$1))&gt;=1,"SIM","")</f>
        <v>#REF!</v>
      </c>
      <c r="R7" s="5" t="e">
        <f>IF((COUNTIFS(#REF!,$C7,#REF!,"*CARTA*"))&gt;=1,"SIM","")</f>
        <v>#REF!</v>
      </c>
      <c r="S7" s="5" t="e">
        <f>IF((COUNTIFS(#REF!,$C7,#REF!,"*CARTA NOTIFICAÇÃO/DEVOL*"))&gt;=1,"SIM","")</f>
        <v>#REF!</v>
      </c>
      <c r="T7" s="5" t="e">
        <f>IF((COUNTIFS(#REF!,$C7,#REF!,"*LIGAÇÃO ATIVA DEV PRIN/LOC*"))&gt;=1,"SIM","")</f>
        <v>#REF!</v>
      </c>
    </row>
    <row r="8" spans="1:20">
      <c r="A8" s="24" t="s">
        <v>2153</v>
      </c>
      <c r="B8" s="24" t="s">
        <v>801</v>
      </c>
      <c r="C8" s="24" t="s">
        <v>802</v>
      </c>
      <c r="D8" s="5" t="e">
        <f>IF((COUNTIFS(#REF!,$C8,#REF!,"*163*"))&gt;=1,"SIM","")</f>
        <v>#REF!</v>
      </c>
      <c r="E8" s="5" t="e">
        <f>IF((COUNTIFS(#REF!,$C8,#REF!,E$1))&gt;=1,"SIM","")</f>
        <v>#REF!</v>
      </c>
      <c r="F8" s="5" t="e">
        <f>IF((COUNTIFS(#REF!,$C8,#REF!,F$1))&gt;=1,"SIM","")</f>
        <v>#REF!</v>
      </c>
      <c r="G8" s="5" t="e">
        <f>IF((COUNTIFS(#REF!,$C8,#REF!,"*606*"))&gt;=1,"SIM","")</f>
        <v>#REF!</v>
      </c>
      <c r="H8" s="5" t="e">
        <f>IF((COUNTIFS(#REF!,$C8,#REF!,"*605*"))&gt;=1,"SIM","")</f>
        <v>#REF!</v>
      </c>
      <c r="I8" s="5" t="e">
        <f>IF((COUNTIFS(#REF!,$C8,#REF!,I$1))&gt;=1,"SIM","")</f>
        <v>#REF!</v>
      </c>
      <c r="J8" s="5" t="e">
        <f>IF((COUNTIFS(#REF!,$C8,#REF!,J$1))&gt;=1,"SIM","")</f>
        <v>#REF!</v>
      </c>
      <c r="K8" s="5" t="e">
        <f>IF((COUNTIFS(#REF!,$C8,#REF!,K$1))&gt;=1,"SIM","")</f>
        <v>#REF!</v>
      </c>
      <c r="L8" s="5" t="e">
        <f>IF((COUNTIFS(#REF!,$C8,#REF!,L$1))&gt;=1,"SIM","")</f>
        <v>#REF!</v>
      </c>
      <c r="M8" s="5" t="e">
        <f>IF((COUNTIFS(#REF!,$C8,#REF!,M$1))&gt;=1,"SIM","")</f>
        <v>#REF!</v>
      </c>
      <c r="N8" s="5" t="e">
        <f>IF((COUNTIFS(#REF!,$C8,#REF!,N$1))&gt;=1,"SIM","")</f>
        <v>#REF!</v>
      </c>
      <c r="O8" s="5"/>
      <c r="P8" s="5" t="e">
        <f>IF((COUNTIFS(#REF!,$C8,#REF!,P$1))&gt;=1,"SIM","")</f>
        <v>#REF!</v>
      </c>
      <c r="Q8" s="5" t="e">
        <f>IF((COUNTIFS(#REF!,$C8,#REF!,Q$1))&gt;=1,"SIM","")</f>
        <v>#REF!</v>
      </c>
      <c r="R8" s="5" t="e">
        <f>IF((COUNTIFS(#REF!,$C8,#REF!,"*CARTA*"))&gt;=1,"SIM","")</f>
        <v>#REF!</v>
      </c>
      <c r="S8" s="5" t="e">
        <f>IF((COUNTIFS(#REF!,$C8,#REF!,"*CARTA NOTIFICAÇÃO/DEVOL*"))&gt;=1,"SIM","")</f>
        <v>#REF!</v>
      </c>
      <c r="T8" s="5" t="e">
        <f>IF((COUNTIFS(#REF!,$C8,#REF!,"*LIGAÇÃO ATIVA DEV PRIN/LOC*"))&gt;=1,"SIM","")</f>
        <v>#REF!</v>
      </c>
    </row>
    <row r="9" spans="1:20">
      <c r="A9" s="24" t="s">
        <v>2153</v>
      </c>
      <c r="B9" s="24" t="s">
        <v>594</v>
      </c>
      <c r="C9" s="24" t="s">
        <v>595</v>
      </c>
      <c r="D9" s="5" t="e">
        <f>IF((COUNTIFS(#REF!,$C9,#REF!,"*163*"))&gt;=1,"SIM","")</f>
        <v>#REF!</v>
      </c>
      <c r="E9" s="5" t="e">
        <f>IF((COUNTIFS(#REF!,$C9,#REF!,E$1))&gt;=1,"SIM","")</f>
        <v>#REF!</v>
      </c>
      <c r="F9" s="5" t="e">
        <f>IF((COUNTIFS(#REF!,$C9,#REF!,F$1))&gt;=1,"SIM","")</f>
        <v>#REF!</v>
      </c>
      <c r="G9" s="5" t="e">
        <f>IF((COUNTIFS(#REF!,$C9,#REF!,"*606*"))&gt;=1,"SIM","")</f>
        <v>#REF!</v>
      </c>
      <c r="H9" s="5" t="e">
        <f>IF((COUNTIFS(#REF!,$C9,#REF!,"*605*"))&gt;=1,"SIM","")</f>
        <v>#REF!</v>
      </c>
      <c r="I9" s="5" t="e">
        <f>IF((COUNTIFS(#REF!,$C9,#REF!,I$1))&gt;=1,"SIM","")</f>
        <v>#REF!</v>
      </c>
      <c r="J9" s="5" t="e">
        <f>IF((COUNTIFS(#REF!,$C9,#REF!,J$1))&gt;=1,"SIM","")</f>
        <v>#REF!</v>
      </c>
      <c r="K9" s="5" t="e">
        <f>IF((COUNTIFS(#REF!,$C9,#REF!,K$1))&gt;=1,"SIM","")</f>
        <v>#REF!</v>
      </c>
      <c r="L9" s="5" t="e">
        <f>IF((COUNTIFS(#REF!,$C9,#REF!,L$1))&gt;=1,"SIM","")</f>
        <v>#REF!</v>
      </c>
      <c r="M9" s="5" t="e">
        <f>IF((COUNTIFS(#REF!,$C9,#REF!,M$1))&gt;=1,"SIM","")</f>
        <v>#REF!</v>
      </c>
      <c r="N9" s="5" t="e">
        <f>IF((COUNTIFS(#REF!,$C9,#REF!,N$1))&gt;=1,"SIM","")</f>
        <v>#REF!</v>
      </c>
      <c r="O9" s="5"/>
      <c r="P9" s="5" t="e">
        <f>IF((COUNTIFS(#REF!,$C9,#REF!,P$1))&gt;=1,"SIM","")</f>
        <v>#REF!</v>
      </c>
      <c r="Q9" s="5" t="e">
        <f>IF((COUNTIFS(#REF!,$C9,#REF!,Q$1))&gt;=1,"SIM","")</f>
        <v>#REF!</v>
      </c>
      <c r="R9" s="5" t="e">
        <f>IF((COUNTIFS(#REF!,$C9,#REF!,"*CARTA*"))&gt;=1,"SIM","")</f>
        <v>#REF!</v>
      </c>
      <c r="S9" s="5" t="e">
        <f>IF((COUNTIFS(#REF!,$C9,#REF!,"*CARTA NOTIFICAÇÃO/DEVOL*"))&gt;=1,"SIM","")</f>
        <v>#REF!</v>
      </c>
      <c r="T9" s="5" t="e">
        <f>IF((COUNTIFS(#REF!,$C9,#REF!,"*LIGAÇÃO ATIVA DEV PRIN/LOC*"))&gt;=1,"SIM","")</f>
        <v>#REF!</v>
      </c>
    </row>
    <row r="10" spans="1:20">
      <c r="A10" s="24" t="s">
        <v>2153</v>
      </c>
      <c r="B10" s="24" t="s">
        <v>942</v>
      </c>
      <c r="C10" s="24" t="s">
        <v>943</v>
      </c>
      <c r="D10" s="5" t="e">
        <f>IF((COUNTIFS(#REF!,$C10,#REF!,"*163*"))&gt;=1,"SIM","")</f>
        <v>#REF!</v>
      </c>
      <c r="E10" s="5" t="e">
        <f>IF((COUNTIFS(#REF!,$C10,#REF!,E$1))&gt;=1,"SIM","")</f>
        <v>#REF!</v>
      </c>
      <c r="F10" s="5" t="e">
        <f>IF((COUNTIFS(#REF!,$C10,#REF!,F$1))&gt;=1,"SIM","")</f>
        <v>#REF!</v>
      </c>
      <c r="G10" s="5" t="e">
        <f>IF((COUNTIFS(#REF!,$C10,#REF!,"*606*"))&gt;=1,"SIM","")</f>
        <v>#REF!</v>
      </c>
      <c r="H10" s="5" t="e">
        <f>IF((COUNTIFS(#REF!,$C10,#REF!,"*605*"))&gt;=1,"SIM","")</f>
        <v>#REF!</v>
      </c>
      <c r="I10" s="5" t="e">
        <f>IF((COUNTIFS(#REF!,$C10,#REF!,I$1))&gt;=1,"SIM","")</f>
        <v>#REF!</v>
      </c>
      <c r="J10" s="5" t="e">
        <f>IF((COUNTIFS(#REF!,$C10,#REF!,J$1))&gt;=1,"SIM","")</f>
        <v>#REF!</v>
      </c>
      <c r="K10" s="5" t="e">
        <f>IF((COUNTIFS(#REF!,$C10,#REF!,K$1))&gt;=1,"SIM","")</f>
        <v>#REF!</v>
      </c>
      <c r="L10" s="5" t="e">
        <f>IF((COUNTIFS(#REF!,$C10,#REF!,L$1))&gt;=1,"SIM","")</f>
        <v>#REF!</v>
      </c>
      <c r="M10" s="5" t="e">
        <f>IF((COUNTIFS(#REF!,$C10,#REF!,M$1))&gt;=1,"SIM","")</f>
        <v>#REF!</v>
      </c>
      <c r="N10" s="5" t="e">
        <f>IF((COUNTIFS(#REF!,$C10,#REF!,N$1))&gt;=1,"SIM","")</f>
        <v>#REF!</v>
      </c>
      <c r="O10" s="5"/>
      <c r="P10" s="5" t="e">
        <f>IF((COUNTIFS(#REF!,$C10,#REF!,P$1))&gt;=1,"SIM","")</f>
        <v>#REF!</v>
      </c>
      <c r="Q10" s="5" t="e">
        <f>IF((COUNTIFS(#REF!,$C10,#REF!,Q$1))&gt;=1,"SIM","")</f>
        <v>#REF!</v>
      </c>
      <c r="R10" s="5" t="e">
        <f>IF((COUNTIFS(#REF!,$C10,#REF!,"*CARTA*"))&gt;=1,"SIM","")</f>
        <v>#REF!</v>
      </c>
      <c r="S10" s="5" t="e">
        <f>IF((COUNTIFS(#REF!,$C10,#REF!,"*CARTA NOTIFICAÇÃO/DEVOL*"))&gt;=1,"SIM","")</f>
        <v>#REF!</v>
      </c>
      <c r="T10" s="5" t="e">
        <f>IF((COUNTIFS(#REF!,$C10,#REF!,"*LIGAÇÃO ATIVA DEV PRIN/LOC*"))&gt;=1,"SIM","")</f>
        <v>#REF!</v>
      </c>
    </row>
    <row r="11" spans="1:20">
      <c r="A11" s="24" t="s">
        <v>2159</v>
      </c>
      <c r="B11" s="24" t="s">
        <v>1250</v>
      </c>
      <c r="C11" s="24" t="s">
        <v>1251</v>
      </c>
      <c r="D11" s="5" t="e">
        <f>IF((COUNTIFS(#REF!,$C11,#REF!,"*163*"))&gt;=1,"SIM","")</f>
        <v>#REF!</v>
      </c>
      <c r="E11" s="5" t="e">
        <f>IF((COUNTIFS(#REF!,$C11,#REF!,E$1))&gt;=1,"SIM","")</f>
        <v>#REF!</v>
      </c>
      <c r="F11" s="5" t="e">
        <f>IF((COUNTIFS(#REF!,$C11,#REF!,F$1))&gt;=1,"SIM","")</f>
        <v>#REF!</v>
      </c>
      <c r="G11" s="5" t="e">
        <f>IF((COUNTIFS(#REF!,$C11,#REF!,"*606*"))&gt;=1,"SIM","")</f>
        <v>#REF!</v>
      </c>
      <c r="H11" s="5" t="e">
        <f>IF((COUNTIFS(#REF!,$C11,#REF!,"*605*"))&gt;=1,"SIM","")</f>
        <v>#REF!</v>
      </c>
      <c r="I11" s="5" t="e">
        <f>IF((COUNTIFS(#REF!,$C11,#REF!,I$1))&gt;=1,"SIM","")</f>
        <v>#REF!</v>
      </c>
      <c r="J11" s="5" t="e">
        <f>IF((COUNTIFS(#REF!,$C11,#REF!,J$1))&gt;=1,"SIM","")</f>
        <v>#REF!</v>
      </c>
      <c r="K11" s="5" t="e">
        <f>IF((COUNTIFS(#REF!,$C11,#REF!,K$1))&gt;=1,"SIM","")</f>
        <v>#REF!</v>
      </c>
      <c r="L11" s="5" t="e">
        <f>IF((COUNTIFS(#REF!,$C11,#REF!,L$1))&gt;=1,"SIM","")</f>
        <v>#REF!</v>
      </c>
      <c r="M11" s="5" t="e">
        <f>IF((COUNTIFS(#REF!,$C11,#REF!,M$1))&gt;=1,"SIM","")</f>
        <v>#REF!</v>
      </c>
      <c r="N11" s="5" t="e">
        <f>IF((COUNTIFS(#REF!,$C11,#REF!,N$1))&gt;=1,"SIM","")</f>
        <v>#REF!</v>
      </c>
      <c r="O11" s="5"/>
      <c r="P11" s="5" t="e">
        <f>IF((COUNTIFS(#REF!,$C11,#REF!,P$1))&gt;=1,"SIM","")</f>
        <v>#REF!</v>
      </c>
      <c r="Q11" s="5" t="e">
        <f>IF((COUNTIFS(#REF!,$C11,#REF!,Q$1))&gt;=1,"SIM","")</f>
        <v>#REF!</v>
      </c>
      <c r="R11" s="5" t="e">
        <f>IF((COUNTIFS(#REF!,$C11,#REF!,"*CARTA*"))&gt;=1,"SIM","")</f>
        <v>#REF!</v>
      </c>
      <c r="S11" s="5" t="e">
        <f>IF((COUNTIFS(#REF!,$C11,#REF!,"*CARTA NOTIFICAÇÃO/DEVOL*"))&gt;=1,"SIM","")</f>
        <v>#REF!</v>
      </c>
      <c r="T11" s="5" t="e">
        <f>IF((COUNTIFS(#REF!,$C11,#REF!,"*LIGAÇÃO ATIVA DEV PRIN/LOC*"))&gt;=1,"SIM","")</f>
        <v>#REF!</v>
      </c>
    </row>
    <row r="12" spans="1:20">
      <c r="A12" s="24" t="s">
        <v>2159</v>
      </c>
      <c r="B12" s="24" t="s">
        <v>1357</v>
      </c>
      <c r="C12" s="24" t="s">
        <v>2061</v>
      </c>
      <c r="D12" s="5" t="e">
        <f>IF((COUNTIFS(#REF!,$C12,#REF!,"*163*"))&gt;=1,"SIM","")</f>
        <v>#REF!</v>
      </c>
      <c r="E12" s="5" t="e">
        <f>IF((COUNTIFS(#REF!,$C12,#REF!,E$1))&gt;=1,"SIM","")</f>
        <v>#REF!</v>
      </c>
      <c r="F12" s="5" t="e">
        <f>IF((COUNTIFS(#REF!,$C12,#REF!,F$1))&gt;=1,"SIM","")</f>
        <v>#REF!</v>
      </c>
      <c r="G12" s="5" t="e">
        <f>IF((COUNTIFS(#REF!,$C12,#REF!,"*606*"))&gt;=1,"SIM","")</f>
        <v>#REF!</v>
      </c>
      <c r="H12" s="5" t="e">
        <f>IF((COUNTIFS(#REF!,$C12,#REF!,"*605*"))&gt;=1,"SIM","")</f>
        <v>#REF!</v>
      </c>
      <c r="I12" s="5" t="e">
        <f>IF((COUNTIFS(#REF!,$C12,#REF!,I$1))&gt;=1,"SIM","")</f>
        <v>#REF!</v>
      </c>
      <c r="J12" s="5" t="e">
        <f>IF((COUNTIFS(#REF!,$C12,#REF!,J$1))&gt;=1,"SIM","")</f>
        <v>#REF!</v>
      </c>
      <c r="K12" s="5" t="e">
        <f>IF((COUNTIFS(#REF!,$C12,#REF!,K$1))&gt;=1,"SIM","")</f>
        <v>#REF!</v>
      </c>
      <c r="L12" s="5" t="e">
        <f>IF((COUNTIFS(#REF!,$C12,#REF!,L$1))&gt;=1,"SIM","")</f>
        <v>#REF!</v>
      </c>
      <c r="M12" s="5" t="e">
        <f>IF((COUNTIFS(#REF!,$C12,#REF!,M$1))&gt;=1,"SIM","")</f>
        <v>#REF!</v>
      </c>
      <c r="N12" s="5" t="e">
        <f>IF((COUNTIFS(#REF!,$C12,#REF!,N$1))&gt;=1,"SIM","")</f>
        <v>#REF!</v>
      </c>
      <c r="O12" s="5"/>
      <c r="P12" s="5" t="e">
        <f>IF((COUNTIFS(#REF!,$C12,#REF!,P$1))&gt;=1,"SIM","")</f>
        <v>#REF!</v>
      </c>
      <c r="Q12" s="5" t="e">
        <f>IF((COUNTIFS(#REF!,$C12,#REF!,Q$1))&gt;=1,"SIM","")</f>
        <v>#REF!</v>
      </c>
      <c r="R12" s="5" t="e">
        <f>IF((COUNTIFS(#REF!,$C12,#REF!,"*CARTA*"))&gt;=1,"SIM","")</f>
        <v>#REF!</v>
      </c>
      <c r="S12" s="5" t="e">
        <f>IF((COUNTIFS(#REF!,$C12,#REF!,"*CARTA NOTIFICAÇÃO/DEVOL*"))&gt;=1,"SIM","")</f>
        <v>#REF!</v>
      </c>
      <c r="T12" s="5" t="e">
        <f>IF((COUNTIFS(#REF!,$C12,#REF!,"*LIGAÇÃO ATIVA DEV PRIN/LOC*"))&gt;=1,"SIM","")</f>
        <v>#REF!</v>
      </c>
    </row>
    <row r="13" spans="1:20">
      <c r="A13" s="24" t="s">
        <v>2159</v>
      </c>
      <c r="B13" s="24" t="s">
        <v>1230</v>
      </c>
      <c r="C13" s="24" t="s">
        <v>1231</v>
      </c>
      <c r="D13" s="5" t="e">
        <f>IF((COUNTIFS(#REF!,$C13,#REF!,"*163*"))&gt;=1,"SIM","")</f>
        <v>#REF!</v>
      </c>
      <c r="E13" s="5" t="e">
        <f>IF((COUNTIFS(#REF!,$C13,#REF!,E$1))&gt;=1,"SIM","")</f>
        <v>#REF!</v>
      </c>
      <c r="F13" s="5" t="e">
        <f>IF((COUNTIFS(#REF!,$C13,#REF!,F$1))&gt;=1,"SIM","")</f>
        <v>#REF!</v>
      </c>
      <c r="G13" s="5" t="e">
        <f>IF((COUNTIFS(#REF!,$C13,#REF!,"*606*"))&gt;=1,"SIM","")</f>
        <v>#REF!</v>
      </c>
      <c r="H13" s="5" t="e">
        <f>IF((COUNTIFS(#REF!,$C13,#REF!,"*605*"))&gt;=1,"SIM","")</f>
        <v>#REF!</v>
      </c>
      <c r="I13" s="5" t="e">
        <f>IF((COUNTIFS(#REF!,$C13,#REF!,I$1))&gt;=1,"SIM","")</f>
        <v>#REF!</v>
      </c>
      <c r="J13" s="5" t="e">
        <f>IF((COUNTIFS(#REF!,$C13,#REF!,J$1))&gt;=1,"SIM","")</f>
        <v>#REF!</v>
      </c>
      <c r="K13" s="5" t="e">
        <f>IF((COUNTIFS(#REF!,$C13,#REF!,K$1))&gt;=1,"SIM","")</f>
        <v>#REF!</v>
      </c>
      <c r="L13" s="5" t="e">
        <f>IF((COUNTIFS(#REF!,$C13,#REF!,L$1))&gt;=1,"SIM","")</f>
        <v>#REF!</v>
      </c>
      <c r="M13" s="5" t="e">
        <f>IF((COUNTIFS(#REF!,$C13,#REF!,M$1))&gt;=1,"SIM","")</f>
        <v>#REF!</v>
      </c>
      <c r="N13" s="5" t="e">
        <f>IF((COUNTIFS(#REF!,$C13,#REF!,N$1))&gt;=1,"SIM","")</f>
        <v>#REF!</v>
      </c>
      <c r="O13" s="5"/>
      <c r="P13" s="5" t="e">
        <f>IF((COUNTIFS(#REF!,$C13,#REF!,P$1))&gt;=1,"SIM","")</f>
        <v>#REF!</v>
      </c>
      <c r="Q13" s="5" t="e">
        <f>IF((COUNTIFS(#REF!,$C13,#REF!,Q$1))&gt;=1,"SIM","")</f>
        <v>#REF!</v>
      </c>
      <c r="R13" s="5" t="e">
        <f>IF((COUNTIFS(#REF!,$C13,#REF!,"*CARTA*"))&gt;=1,"SIM","")</f>
        <v>#REF!</v>
      </c>
      <c r="S13" s="5" t="e">
        <f>IF((COUNTIFS(#REF!,$C13,#REF!,"*CARTA NOTIFICAÇÃO/DEVOL*"))&gt;=1,"SIM","")</f>
        <v>#REF!</v>
      </c>
      <c r="T13" s="5" t="e">
        <f>IF((COUNTIFS(#REF!,$C13,#REF!,"*LIGAÇÃO ATIVA DEV PRIN/LOC*"))&gt;=1,"SIM","")</f>
        <v>#REF!</v>
      </c>
    </row>
    <row r="14" spans="1:20">
      <c r="A14" s="24" t="s">
        <v>2159</v>
      </c>
      <c r="B14" s="24" t="s">
        <v>1975</v>
      </c>
      <c r="C14" s="24" t="s">
        <v>1976</v>
      </c>
      <c r="D14" s="5" t="e">
        <f>IF((COUNTIFS(#REF!,$C14,#REF!,"*163*"))&gt;=1,"SIM","")</f>
        <v>#REF!</v>
      </c>
      <c r="E14" s="5" t="e">
        <f>IF((COUNTIFS(#REF!,$C14,#REF!,E$1))&gt;=1,"SIM","")</f>
        <v>#REF!</v>
      </c>
      <c r="F14" s="5" t="e">
        <f>IF((COUNTIFS(#REF!,$C14,#REF!,F$1))&gt;=1,"SIM","")</f>
        <v>#REF!</v>
      </c>
      <c r="G14" s="5" t="e">
        <f>IF((COUNTIFS(#REF!,$C14,#REF!,"*606*"))&gt;=1,"SIM","")</f>
        <v>#REF!</v>
      </c>
      <c r="H14" s="5" t="e">
        <f>IF((COUNTIFS(#REF!,$C14,#REF!,"*605*"))&gt;=1,"SIM","")</f>
        <v>#REF!</v>
      </c>
      <c r="I14" s="5" t="e">
        <f>IF((COUNTIFS(#REF!,$C14,#REF!,I$1))&gt;=1,"SIM","")</f>
        <v>#REF!</v>
      </c>
      <c r="J14" s="5" t="e">
        <f>IF((COUNTIFS(#REF!,$C14,#REF!,J$1))&gt;=1,"SIM","")</f>
        <v>#REF!</v>
      </c>
      <c r="K14" s="5" t="e">
        <f>IF((COUNTIFS(#REF!,$C14,#REF!,K$1))&gt;=1,"SIM","")</f>
        <v>#REF!</v>
      </c>
      <c r="L14" s="5" t="e">
        <f>IF((COUNTIFS(#REF!,$C14,#REF!,L$1))&gt;=1,"SIM","")</f>
        <v>#REF!</v>
      </c>
      <c r="M14" s="5" t="e">
        <f>IF((COUNTIFS(#REF!,$C14,#REF!,M$1))&gt;=1,"SIM","")</f>
        <v>#REF!</v>
      </c>
      <c r="N14" s="5" t="e">
        <f>IF((COUNTIFS(#REF!,$C14,#REF!,N$1))&gt;=1,"SIM","")</f>
        <v>#REF!</v>
      </c>
      <c r="O14" s="5"/>
      <c r="P14" s="5" t="e">
        <f>IF((COUNTIFS(#REF!,$C14,#REF!,P$1))&gt;=1,"SIM","")</f>
        <v>#REF!</v>
      </c>
      <c r="Q14" s="5" t="e">
        <f>IF((COUNTIFS(#REF!,$C14,#REF!,Q$1))&gt;=1,"SIM","")</f>
        <v>#REF!</v>
      </c>
      <c r="R14" s="5" t="e">
        <f>IF((COUNTIFS(#REF!,$C14,#REF!,"*CARTA*"))&gt;=1,"SIM","")</f>
        <v>#REF!</v>
      </c>
      <c r="S14" s="5" t="e">
        <f>IF((COUNTIFS(#REF!,$C14,#REF!,"*CARTA NOTIFICAÇÃO/DEVOL*"))&gt;=1,"SIM","")</f>
        <v>#REF!</v>
      </c>
      <c r="T14" s="5" t="e">
        <f>IF((COUNTIFS(#REF!,$C14,#REF!,"*LIGAÇÃO ATIVA DEV PRIN/LOC*"))&gt;=1,"SIM","")</f>
        <v>#REF!</v>
      </c>
    </row>
    <row r="15" spans="1:20">
      <c r="A15" s="24" t="s">
        <v>2159</v>
      </c>
      <c r="B15" s="24" t="s">
        <v>1092</v>
      </c>
      <c r="C15" s="24" t="s">
        <v>1093</v>
      </c>
      <c r="D15" s="5" t="e">
        <f>IF((COUNTIFS(#REF!,$C15,#REF!,"*163*"))&gt;=1,"SIM","")</f>
        <v>#REF!</v>
      </c>
      <c r="E15" s="5" t="e">
        <f>IF((COUNTIFS(#REF!,$C15,#REF!,E$1))&gt;=1,"SIM","")</f>
        <v>#REF!</v>
      </c>
      <c r="F15" s="5" t="e">
        <f>IF((COUNTIFS(#REF!,$C15,#REF!,F$1))&gt;=1,"SIM","")</f>
        <v>#REF!</v>
      </c>
      <c r="G15" s="5" t="e">
        <f>IF((COUNTIFS(#REF!,$C15,#REF!,"*606*"))&gt;=1,"SIM","")</f>
        <v>#REF!</v>
      </c>
      <c r="H15" s="5" t="e">
        <f>IF((COUNTIFS(#REF!,$C15,#REF!,"*605*"))&gt;=1,"SIM","")</f>
        <v>#REF!</v>
      </c>
      <c r="I15" s="5" t="e">
        <f>IF((COUNTIFS(#REF!,$C15,#REF!,I$1))&gt;=1,"SIM","")</f>
        <v>#REF!</v>
      </c>
      <c r="J15" s="5" t="e">
        <f>IF((COUNTIFS(#REF!,$C15,#REF!,J$1))&gt;=1,"SIM","")</f>
        <v>#REF!</v>
      </c>
      <c r="K15" s="5" t="e">
        <f>IF((COUNTIFS(#REF!,$C15,#REF!,K$1))&gt;=1,"SIM","")</f>
        <v>#REF!</v>
      </c>
      <c r="L15" s="5" t="e">
        <f>IF((COUNTIFS(#REF!,$C15,#REF!,L$1))&gt;=1,"SIM","")</f>
        <v>#REF!</v>
      </c>
      <c r="M15" s="5" t="e">
        <f>IF((COUNTIFS(#REF!,$C15,#REF!,M$1))&gt;=1,"SIM","")</f>
        <v>#REF!</v>
      </c>
      <c r="N15" s="5" t="e">
        <f>IF((COUNTIFS(#REF!,$C15,#REF!,N$1))&gt;=1,"SIM","")</f>
        <v>#REF!</v>
      </c>
      <c r="O15" s="5"/>
      <c r="P15" s="5" t="e">
        <f>IF((COUNTIFS(#REF!,$C15,#REF!,P$1))&gt;=1,"SIM","")</f>
        <v>#REF!</v>
      </c>
      <c r="Q15" s="5" t="e">
        <f>IF((COUNTIFS(#REF!,$C15,#REF!,Q$1))&gt;=1,"SIM","")</f>
        <v>#REF!</v>
      </c>
      <c r="R15" s="5" t="e">
        <f>IF((COUNTIFS(#REF!,$C15,#REF!,"*CARTA*"))&gt;=1,"SIM","")</f>
        <v>#REF!</v>
      </c>
      <c r="S15" s="5" t="e">
        <f>IF((COUNTIFS(#REF!,$C15,#REF!,"*CARTA NOTIFICAÇÃO/DEVOL*"))&gt;=1,"SIM","")</f>
        <v>#REF!</v>
      </c>
      <c r="T15" s="5" t="e">
        <f>IF((COUNTIFS(#REF!,$C15,#REF!,"*LIGAÇÃO ATIVA DEV PRIN/LOC*"))&gt;=1,"SIM","")</f>
        <v>#REF!</v>
      </c>
    </row>
    <row r="16" spans="1:20">
      <c r="A16" s="24" t="s">
        <v>2157</v>
      </c>
      <c r="B16" s="24" t="s">
        <v>924</v>
      </c>
      <c r="C16" s="24" t="s">
        <v>925</v>
      </c>
      <c r="D16" s="5" t="e">
        <f>IF((COUNTIFS(#REF!,$C16,#REF!,"*163*"))&gt;=1,"SIM","")</f>
        <v>#REF!</v>
      </c>
      <c r="E16" s="5" t="e">
        <f>IF((COUNTIFS(#REF!,$C16,#REF!,E$1))&gt;=1,"SIM","")</f>
        <v>#REF!</v>
      </c>
      <c r="F16" s="5" t="e">
        <f>IF((COUNTIFS(#REF!,$C16,#REF!,F$1))&gt;=1,"SIM","")</f>
        <v>#REF!</v>
      </c>
      <c r="G16" s="5" t="e">
        <f>IF((COUNTIFS(#REF!,$C16,#REF!,"*606*"))&gt;=1,"SIM","")</f>
        <v>#REF!</v>
      </c>
      <c r="H16" s="5" t="e">
        <f>IF((COUNTIFS(#REF!,$C16,#REF!,"*605*"))&gt;=1,"SIM","")</f>
        <v>#REF!</v>
      </c>
      <c r="I16" s="5" t="e">
        <f>IF((COUNTIFS(#REF!,$C16,#REF!,I$1))&gt;=1,"SIM","")</f>
        <v>#REF!</v>
      </c>
      <c r="J16" s="5" t="e">
        <f>IF((COUNTIFS(#REF!,$C16,#REF!,J$1))&gt;=1,"SIM","")</f>
        <v>#REF!</v>
      </c>
      <c r="K16" s="5" t="e">
        <f>IF((COUNTIFS(#REF!,$C16,#REF!,K$1))&gt;=1,"SIM","")</f>
        <v>#REF!</v>
      </c>
      <c r="L16" s="5" t="e">
        <f>IF((COUNTIFS(#REF!,$C16,#REF!,L$1))&gt;=1,"SIM","")</f>
        <v>#REF!</v>
      </c>
      <c r="M16" s="5" t="e">
        <f>IF((COUNTIFS(#REF!,$C16,#REF!,M$1))&gt;=1,"SIM","")</f>
        <v>#REF!</v>
      </c>
      <c r="N16" s="5" t="e">
        <f>IF((COUNTIFS(#REF!,$C16,#REF!,N$1))&gt;=1,"SIM","")</f>
        <v>#REF!</v>
      </c>
      <c r="O16" s="5"/>
      <c r="P16" s="5" t="e">
        <f>IF((COUNTIFS(#REF!,$C16,#REF!,P$1))&gt;=1,"SIM","")</f>
        <v>#REF!</v>
      </c>
      <c r="Q16" s="5" t="e">
        <f>IF((COUNTIFS(#REF!,$C16,#REF!,Q$1))&gt;=1,"SIM","")</f>
        <v>#REF!</v>
      </c>
      <c r="R16" s="5" t="e">
        <f>IF((COUNTIFS(#REF!,$C16,#REF!,"*CARTA*"))&gt;=1,"SIM","")</f>
        <v>#REF!</v>
      </c>
      <c r="S16" s="5" t="e">
        <f>IF((COUNTIFS(#REF!,$C16,#REF!,"*CARTA NOTIFICAÇÃO/DEVOL*"))&gt;=1,"SIM","")</f>
        <v>#REF!</v>
      </c>
      <c r="T16" s="5" t="e">
        <f>IF((COUNTIFS(#REF!,$C16,#REF!,"*LIGAÇÃO ATIVA DEV PRIN/LOC*"))&gt;=1,"SIM","")</f>
        <v>#REF!</v>
      </c>
    </row>
    <row r="17" spans="1:20">
      <c r="A17" s="24" t="s">
        <v>2158</v>
      </c>
      <c r="B17" s="24" t="s">
        <v>1774</v>
      </c>
      <c r="C17" s="24" t="s">
        <v>1775</v>
      </c>
      <c r="D17" s="5" t="e">
        <f>IF((COUNTIFS(#REF!,$C17,#REF!,"*163*"))&gt;=1,"SIM","")</f>
        <v>#REF!</v>
      </c>
      <c r="E17" s="5" t="e">
        <f>IF((COUNTIFS(#REF!,$C17,#REF!,E$1))&gt;=1,"SIM","")</f>
        <v>#REF!</v>
      </c>
      <c r="F17" s="5" t="e">
        <f>IF((COUNTIFS(#REF!,$C17,#REF!,F$1))&gt;=1,"SIM","")</f>
        <v>#REF!</v>
      </c>
      <c r="G17" s="5" t="e">
        <f>IF((COUNTIFS(#REF!,$C17,#REF!,"*606*"))&gt;=1,"SIM","")</f>
        <v>#REF!</v>
      </c>
      <c r="H17" s="5" t="e">
        <f>IF((COUNTIFS(#REF!,$C17,#REF!,"*605*"))&gt;=1,"SIM","")</f>
        <v>#REF!</v>
      </c>
      <c r="I17" s="5" t="e">
        <f>IF((COUNTIFS(#REF!,$C17,#REF!,I$1))&gt;=1,"SIM","")</f>
        <v>#REF!</v>
      </c>
      <c r="J17" s="5" t="e">
        <f>IF((COUNTIFS(#REF!,$C17,#REF!,J$1))&gt;=1,"SIM","")</f>
        <v>#REF!</v>
      </c>
      <c r="K17" s="5" t="e">
        <f>IF((COUNTIFS(#REF!,$C17,#REF!,K$1))&gt;=1,"SIM","")</f>
        <v>#REF!</v>
      </c>
      <c r="L17" s="5" t="e">
        <f>IF((COUNTIFS(#REF!,$C17,#REF!,L$1))&gt;=1,"SIM","")</f>
        <v>#REF!</v>
      </c>
      <c r="M17" s="5" t="e">
        <f>IF((COUNTIFS(#REF!,$C17,#REF!,M$1))&gt;=1,"SIM","")</f>
        <v>#REF!</v>
      </c>
      <c r="N17" s="5" t="e">
        <f>IF((COUNTIFS(#REF!,$C17,#REF!,N$1))&gt;=1,"SIM","")</f>
        <v>#REF!</v>
      </c>
      <c r="O17" s="5"/>
      <c r="P17" s="5" t="e">
        <f>IF((COUNTIFS(#REF!,$C17,#REF!,P$1))&gt;=1,"SIM","")</f>
        <v>#REF!</v>
      </c>
      <c r="Q17" s="5" t="e">
        <f>IF((COUNTIFS(#REF!,$C17,#REF!,Q$1))&gt;=1,"SIM","")</f>
        <v>#REF!</v>
      </c>
      <c r="R17" s="5" t="e">
        <f>IF((COUNTIFS(#REF!,$C17,#REF!,"*CARTA*"))&gt;=1,"SIM","")</f>
        <v>#REF!</v>
      </c>
      <c r="S17" s="5" t="e">
        <f>IF((COUNTIFS(#REF!,$C17,#REF!,"*CARTA NOTIFICAÇÃO/DEVOL*"))&gt;=1,"SIM","")</f>
        <v>#REF!</v>
      </c>
      <c r="T17" s="5" t="e">
        <f>IF((COUNTIFS(#REF!,$C17,#REF!,"*LIGAÇÃO ATIVA DEV PRIN/LOC*"))&gt;=1,"SIM","")</f>
        <v>#REF!</v>
      </c>
    </row>
    <row r="18" spans="1:20">
      <c r="A18" s="24" t="s">
        <v>2155</v>
      </c>
      <c r="B18" s="24" t="s">
        <v>69</v>
      </c>
      <c r="C18" s="24" t="s">
        <v>70</v>
      </c>
      <c r="D18" s="5" t="e">
        <f>IF((COUNTIFS(#REF!,$C18,#REF!,"*163*"))&gt;=1,"SIM","")</f>
        <v>#REF!</v>
      </c>
      <c r="E18" s="5" t="e">
        <f>IF((COUNTIFS(#REF!,$C18,#REF!,E$1))&gt;=1,"SIM","")</f>
        <v>#REF!</v>
      </c>
      <c r="F18" s="5" t="e">
        <f>IF((COUNTIFS(#REF!,$C18,#REF!,F$1))&gt;=1,"SIM","")</f>
        <v>#REF!</v>
      </c>
      <c r="G18" s="5" t="e">
        <f>IF((COUNTIFS(#REF!,$C18,#REF!,"*606*"))&gt;=1,"SIM","")</f>
        <v>#REF!</v>
      </c>
      <c r="H18" s="5" t="e">
        <f>IF((COUNTIFS(#REF!,$C18,#REF!,"*605*"))&gt;=1,"SIM","")</f>
        <v>#REF!</v>
      </c>
      <c r="I18" s="5" t="e">
        <f>IF((COUNTIFS(#REF!,$C18,#REF!,I$1))&gt;=1,"SIM","")</f>
        <v>#REF!</v>
      </c>
      <c r="J18" s="5" t="e">
        <f>IF((COUNTIFS(#REF!,$C18,#REF!,J$1))&gt;=1,"SIM","")</f>
        <v>#REF!</v>
      </c>
      <c r="K18" s="5" t="e">
        <f>IF((COUNTIFS(#REF!,$C18,#REF!,K$1))&gt;=1,"SIM","")</f>
        <v>#REF!</v>
      </c>
      <c r="L18" s="5" t="e">
        <f>IF((COUNTIFS(#REF!,$C18,#REF!,L$1))&gt;=1,"SIM","")</f>
        <v>#REF!</v>
      </c>
      <c r="M18" s="5" t="e">
        <f>IF((COUNTIFS(#REF!,$C18,#REF!,M$1))&gt;=1,"SIM","")</f>
        <v>#REF!</v>
      </c>
      <c r="N18" s="5" t="e">
        <f>IF((COUNTIFS(#REF!,$C18,#REF!,N$1))&gt;=1,"SIM","")</f>
        <v>#REF!</v>
      </c>
      <c r="O18" s="5"/>
      <c r="P18" s="5" t="e">
        <f>IF((COUNTIFS(#REF!,$C18,#REF!,P$1))&gt;=1,"SIM","")</f>
        <v>#REF!</v>
      </c>
      <c r="Q18" s="5" t="e">
        <f>IF((COUNTIFS(#REF!,$C18,#REF!,Q$1))&gt;=1,"SIM","")</f>
        <v>#REF!</v>
      </c>
      <c r="R18" s="5" t="e">
        <f>IF((COUNTIFS(#REF!,$C18,#REF!,"*CARTA*"))&gt;=1,"SIM","")</f>
        <v>#REF!</v>
      </c>
      <c r="S18" s="5" t="e">
        <f>IF((COUNTIFS(#REF!,$C18,#REF!,"*CARTA NOTIFICAÇÃO/DEVOL*"))&gt;=1,"SIM","")</f>
        <v>#REF!</v>
      </c>
      <c r="T18" s="5" t="e">
        <f>IF((COUNTIFS(#REF!,$C18,#REF!,"*LIGAÇÃO ATIVA DEV PRIN/LOC*"))&gt;=1,"SIM","")</f>
        <v>#REF!</v>
      </c>
    </row>
    <row r="19" spans="1:20">
      <c r="A19" s="24" t="s">
        <v>2159</v>
      </c>
      <c r="B19" s="24" t="s">
        <v>1004</v>
      </c>
      <c r="C19" s="24" t="s">
        <v>1005</v>
      </c>
      <c r="D19" s="5" t="e">
        <f>IF((COUNTIFS(#REF!,$C19,#REF!,"*163*"))&gt;=1,"SIM","")</f>
        <v>#REF!</v>
      </c>
      <c r="E19" s="5" t="e">
        <f>IF((COUNTIFS(#REF!,$C19,#REF!,E$1))&gt;=1,"SIM","")</f>
        <v>#REF!</v>
      </c>
      <c r="F19" s="5" t="e">
        <f>IF((COUNTIFS(#REF!,$C19,#REF!,F$1))&gt;=1,"SIM","")</f>
        <v>#REF!</v>
      </c>
      <c r="G19" s="5" t="e">
        <f>IF((COUNTIFS(#REF!,$C19,#REF!,"*606*"))&gt;=1,"SIM","")</f>
        <v>#REF!</v>
      </c>
      <c r="H19" s="5" t="e">
        <f>IF((COUNTIFS(#REF!,$C19,#REF!,"*605*"))&gt;=1,"SIM","")</f>
        <v>#REF!</v>
      </c>
      <c r="I19" s="5" t="e">
        <f>IF((COUNTIFS(#REF!,$C19,#REF!,I$1))&gt;=1,"SIM","")</f>
        <v>#REF!</v>
      </c>
      <c r="J19" s="5" t="e">
        <f>IF((COUNTIFS(#REF!,$C19,#REF!,J$1))&gt;=1,"SIM","")</f>
        <v>#REF!</v>
      </c>
      <c r="K19" s="5" t="e">
        <f>IF((COUNTIFS(#REF!,$C19,#REF!,K$1))&gt;=1,"SIM","")</f>
        <v>#REF!</v>
      </c>
      <c r="L19" s="5" t="e">
        <f>IF((COUNTIFS(#REF!,$C19,#REF!,L$1))&gt;=1,"SIM","")</f>
        <v>#REF!</v>
      </c>
      <c r="M19" s="5" t="e">
        <f>IF((COUNTIFS(#REF!,$C19,#REF!,M$1))&gt;=1,"SIM","")</f>
        <v>#REF!</v>
      </c>
      <c r="N19" s="5" t="e">
        <f>IF((COUNTIFS(#REF!,$C19,#REF!,N$1))&gt;=1,"SIM","")</f>
        <v>#REF!</v>
      </c>
      <c r="O19" s="5"/>
      <c r="P19" s="5" t="e">
        <f>IF((COUNTIFS(#REF!,$C19,#REF!,P$1))&gt;=1,"SIM","")</f>
        <v>#REF!</v>
      </c>
      <c r="Q19" s="5" t="e">
        <f>IF((COUNTIFS(#REF!,$C19,#REF!,Q$1))&gt;=1,"SIM","")</f>
        <v>#REF!</v>
      </c>
      <c r="R19" s="5" t="e">
        <f>IF((COUNTIFS(#REF!,$C19,#REF!,"*CARTA*"))&gt;=1,"SIM","")</f>
        <v>#REF!</v>
      </c>
      <c r="S19" s="5" t="e">
        <f>IF((COUNTIFS(#REF!,$C19,#REF!,"*CARTA NOTIFICAÇÃO/DEVOL*"))&gt;=1,"SIM","")</f>
        <v>#REF!</v>
      </c>
      <c r="T19" s="5" t="e">
        <f>IF((COUNTIFS(#REF!,$C19,#REF!,"*LIGAÇÃO ATIVA DEV PRIN/LOC*"))&gt;=1,"SIM","")</f>
        <v>#REF!</v>
      </c>
    </row>
    <row r="20" spans="1:20">
      <c r="A20" s="24" t="s">
        <v>2159</v>
      </c>
      <c r="B20" s="24" t="s">
        <v>1043</v>
      </c>
      <c r="C20" s="24" t="s">
        <v>1044</v>
      </c>
      <c r="D20" s="5" t="e">
        <f>IF((COUNTIFS(#REF!,$C20,#REF!,"*163*"))&gt;=1,"SIM","")</f>
        <v>#REF!</v>
      </c>
      <c r="E20" s="5" t="e">
        <f>IF((COUNTIFS(#REF!,$C20,#REF!,E$1))&gt;=1,"SIM","")</f>
        <v>#REF!</v>
      </c>
      <c r="F20" s="5" t="e">
        <f>IF((COUNTIFS(#REF!,$C20,#REF!,F$1))&gt;=1,"SIM","")</f>
        <v>#REF!</v>
      </c>
      <c r="G20" s="5" t="e">
        <f>IF((COUNTIFS(#REF!,$C20,#REF!,"*606*"))&gt;=1,"SIM","")</f>
        <v>#REF!</v>
      </c>
      <c r="H20" s="5" t="e">
        <f>IF((COUNTIFS(#REF!,$C20,#REF!,"*605*"))&gt;=1,"SIM","")</f>
        <v>#REF!</v>
      </c>
      <c r="I20" s="5" t="e">
        <f>IF((COUNTIFS(#REF!,$C20,#REF!,I$1))&gt;=1,"SIM","")</f>
        <v>#REF!</v>
      </c>
      <c r="J20" s="5" t="e">
        <f>IF((COUNTIFS(#REF!,$C20,#REF!,J$1))&gt;=1,"SIM","")</f>
        <v>#REF!</v>
      </c>
      <c r="K20" s="5" t="e">
        <f>IF((COUNTIFS(#REF!,$C20,#REF!,K$1))&gt;=1,"SIM","")</f>
        <v>#REF!</v>
      </c>
      <c r="L20" s="5" t="e">
        <f>IF((COUNTIFS(#REF!,$C20,#REF!,L$1))&gt;=1,"SIM","")</f>
        <v>#REF!</v>
      </c>
      <c r="M20" s="5" t="e">
        <f>IF((COUNTIFS(#REF!,$C20,#REF!,M$1))&gt;=1,"SIM","")</f>
        <v>#REF!</v>
      </c>
      <c r="N20" s="5" t="e">
        <f>IF((COUNTIFS(#REF!,$C20,#REF!,N$1))&gt;=1,"SIM","")</f>
        <v>#REF!</v>
      </c>
      <c r="O20" s="5"/>
      <c r="P20" s="5" t="e">
        <f>IF((COUNTIFS(#REF!,$C20,#REF!,P$1))&gt;=1,"SIM","")</f>
        <v>#REF!</v>
      </c>
      <c r="Q20" s="5" t="e">
        <f>IF((COUNTIFS(#REF!,$C20,#REF!,Q$1))&gt;=1,"SIM","")</f>
        <v>#REF!</v>
      </c>
      <c r="R20" s="5" t="e">
        <f>IF((COUNTIFS(#REF!,$C20,#REF!,"*CARTA*"))&gt;=1,"SIM","")</f>
        <v>#REF!</v>
      </c>
      <c r="S20" s="5" t="e">
        <f>IF((COUNTIFS(#REF!,$C20,#REF!,"*CARTA NOTIFICAÇÃO/DEVOL*"))&gt;=1,"SIM","")</f>
        <v>#REF!</v>
      </c>
      <c r="T20" s="5" t="e">
        <f>IF((COUNTIFS(#REF!,$C20,#REF!,"*LIGAÇÃO ATIVA DEV PRIN/LOC*"))&gt;=1,"SIM","")</f>
        <v>#REF!</v>
      </c>
    </row>
    <row r="21" spans="1:20">
      <c r="A21" s="24" t="s">
        <v>2153</v>
      </c>
      <c r="B21" s="24" t="s">
        <v>1188</v>
      </c>
      <c r="C21" s="24" t="s">
        <v>1189</v>
      </c>
      <c r="D21" s="5" t="e">
        <f>IF((COUNTIFS(#REF!,$C21,#REF!,"*163*"))&gt;=1,"SIM","")</f>
        <v>#REF!</v>
      </c>
      <c r="E21" s="5" t="e">
        <f>IF((COUNTIFS(#REF!,$C21,#REF!,E$1))&gt;=1,"SIM","")</f>
        <v>#REF!</v>
      </c>
      <c r="F21" s="5" t="e">
        <f>IF((COUNTIFS(#REF!,$C21,#REF!,F$1))&gt;=1,"SIM","")</f>
        <v>#REF!</v>
      </c>
      <c r="G21" s="5" t="e">
        <f>IF((COUNTIFS(#REF!,$C21,#REF!,"*606*"))&gt;=1,"SIM","")</f>
        <v>#REF!</v>
      </c>
      <c r="H21" s="5" t="e">
        <f>IF((COUNTIFS(#REF!,$C21,#REF!,"*605*"))&gt;=1,"SIM","")</f>
        <v>#REF!</v>
      </c>
      <c r="I21" s="5" t="e">
        <f>IF((COUNTIFS(#REF!,$C21,#REF!,I$1))&gt;=1,"SIM","")</f>
        <v>#REF!</v>
      </c>
      <c r="J21" s="5" t="e">
        <f>IF((COUNTIFS(#REF!,$C21,#REF!,J$1))&gt;=1,"SIM","")</f>
        <v>#REF!</v>
      </c>
      <c r="K21" s="5" t="e">
        <f>IF((COUNTIFS(#REF!,$C21,#REF!,K$1))&gt;=1,"SIM","")</f>
        <v>#REF!</v>
      </c>
      <c r="L21" s="5" t="e">
        <f>IF((COUNTIFS(#REF!,$C21,#REF!,L$1))&gt;=1,"SIM","")</f>
        <v>#REF!</v>
      </c>
      <c r="M21" s="5" t="e">
        <f>IF((COUNTIFS(#REF!,$C21,#REF!,M$1))&gt;=1,"SIM","")</f>
        <v>#REF!</v>
      </c>
      <c r="N21" s="5" t="e">
        <f>IF((COUNTIFS(#REF!,$C21,#REF!,N$1))&gt;=1,"SIM","")</f>
        <v>#REF!</v>
      </c>
      <c r="O21" s="5"/>
      <c r="P21" s="5" t="e">
        <f>IF((COUNTIFS(#REF!,$C21,#REF!,P$1))&gt;=1,"SIM","")</f>
        <v>#REF!</v>
      </c>
      <c r="Q21" s="5" t="e">
        <f>IF((COUNTIFS(#REF!,$C21,#REF!,Q$1))&gt;=1,"SIM","")</f>
        <v>#REF!</v>
      </c>
      <c r="R21" s="5" t="e">
        <f>IF((COUNTIFS(#REF!,$C21,#REF!,"*CARTA*"))&gt;=1,"SIM","")</f>
        <v>#REF!</v>
      </c>
      <c r="S21" s="5" t="e">
        <f>IF((COUNTIFS(#REF!,$C21,#REF!,"*CARTA NOTIFICAÇÃO/DEVOL*"))&gt;=1,"SIM","")</f>
        <v>#REF!</v>
      </c>
      <c r="T21" s="5" t="e">
        <f>IF((COUNTIFS(#REF!,$C21,#REF!,"*LIGAÇÃO ATIVA DEV PRIN/LOC*"))&gt;=1,"SIM","")</f>
        <v>#REF!</v>
      </c>
    </row>
    <row r="22" spans="1:20">
      <c r="A22" s="24" t="s">
        <v>2155</v>
      </c>
      <c r="B22" s="24" t="s">
        <v>43</v>
      </c>
      <c r="C22" s="24" t="s">
        <v>44</v>
      </c>
      <c r="D22" s="5" t="e">
        <f>IF((COUNTIFS(#REF!,$C22,#REF!,"*163*"))&gt;=1,"SIM","")</f>
        <v>#REF!</v>
      </c>
      <c r="E22" s="5" t="e">
        <f>IF((COUNTIFS(#REF!,$C22,#REF!,E$1))&gt;=1,"SIM","")</f>
        <v>#REF!</v>
      </c>
      <c r="F22" s="5" t="e">
        <f>IF((COUNTIFS(#REF!,$C22,#REF!,F$1))&gt;=1,"SIM","")</f>
        <v>#REF!</v>
      </c>
      <c r="G22" s="5" t="e">
        <f>IF((COUNTIFS(#REF!,$C22,#REF!,"*606*"))&gt;=1,"SIM","")</f>
        <v>#REF!</v>
      </c>
      <c r="H22" s="5" t="e">
        <f>IF((COUNTIFS(#REF!,$C22,#REF!,"*605*"))&gt;=1,"SIM","")</f>
        <v>#REF!</v>
      </c>
      <c r="I22" s="5" t="e">
        <f>IF((COUNTIFS(#REF!,$C22,#REF!,I$1))&gt;=1,"SIM","")</f>
        <v>#REF!</v>
      </c>
      <c r="J22" s="5" t="e">
        <f>IF((COUNTIFS(#REF!,$C22,#REF!,J$1))&gt;=1,"SIM","")</f>
        <v>#REF!</v>
      </c>
      <c r="K22" s="5" t="e">
        <f>IF((COUNTIFS(#REF!,$C22,#REF!,K$1))&gt;=1,"SIM","")</f>
        <v>#REF!</v>
      </c>
      <c r="L22" s="5" t="e">
        <f>IF((COUNTIFS(#REF!,$C22,#REF!,L$1))&gt;=1,"SIM","")</f>
        <v>#REF!</v>
      </c>
      <c r="M22" s="5" t="e">
        <f>IF((COUNTIFS(#REF!,$C22,#REF!,M$1))&gt;=1,"SIM","")</f>
        <v>#REF!</v>
      </c>
      <c r="N22" s="5" t="e">
        <f>IF((COUNTIFS(#REF!,$C22,#REF!,N$1))&gt;=1,"SIM","")</f>
        <v>#REF!</v>
      </c>
      <c r="O22" s="5"/>
      <c r="P22" s="5" t="e">
        <f>IF((COUNTIFS(#REF!,$C22,#REF!,P$1))&gt;=1,"SIM","")</f>
        <v>#REF!</v>
      </c>
      <c r="Q22" s="5" t="e">
        <f>IF((COUNTIFS(#REF!,$C22,#REF!,Q$1))&gt;=1,"SIM","")</f>
        <v>#REF!</v>
      </c>
      <c r="R22" s="5" t="e">
        <f>IF((COUNTIFS(#REF!,$C22,#REF!,"*CARTA*"))&gt;=1,"SIM","")</f>
        <v>#REF!</v>
      </c>
      <c r="S22" s="5" t="e">
        <f>IF((COUNTIFS(#REF!,$C22,#REF!,"*CARTA NOTIFICAÇÃO/DEVOL*"))&gt;=1,"SIM","")</f>
        <v>#REF!</v>
      </c>
      <c r="T22" s="5" t="e">
        <f>IF((COUNTIFS(#REF!,$C22,#REF!,"*LIGAÇÃO ATIVA DEV PRIN/LOC*"))&gt;=1,"SIM","")</f>
        <v>#REF!</v>
      </c>
    </row>
    <row r="23" spans="1:20">
      <c r="A23" s="24" t="s">
        <v>2153</v>
      </c>
      <c r="B23" s="24" t="s">
        <v>498</v>
      </c>
      <c r="C23" s="24" t="s">
        <v>499</v>
      </c>
      <c r="D23" s="5" t="e">
        <f>IF((COUNTIFS(#REF!,$C23,#REF!,"*163*"))&gt;=1,"SIM","")</f>
        <v>#REF!</v>
      </c>
      <c r="E23" s="5" t="e">
        <f>IF((COUNTIFS(#REF!,$C23,#REF!,E$1))&gt;=1,"SIM","")</f>
        <v>#REF!</v>
      </c>
      <c r="F23" s="5" t="e">
        <f>IF((COUNTIFS(#REF!,$C23,#REF!,F$1))&gt;=1,"SIM","")</f>
        <v>#REF!</v>
      </c>
      <c r="G23" s="5" t="e">
        <f>IF((COUNTIFS(#REF!,$C23,#REF!,"*606*"))&gt;=1,"SIM","")</f>
        <v>#REF!</v>
      </c>
      <c r="H23" s="5" t="e">
        <f>IF((COUNTIFS(#REF!,$C23,#REF!,"*605*"))&gt;=1,"SIM","")</f>
        <v>#REF!</v>
      </c>
      <c r="I23" s="5" t="e">
        <f>IF((COUNTIFS(#REF!,$C23,#REF!,I$1))&gt;=1,"SIM","")</f>
        <v>#REF!</v>
      </c>
      <c r="J23" s="5" t="e">
        <f>IF((COUNTIFS(#REF!,$C23,#REF!,J$1))&gt;=1,"SIM","")</f>
        <v>#REF!</v>
      </c>
      <c r="K23" s="5" t="e">
        <f>IF((COUNTIFS(#REF!,$C23,#REF!,K$1))&gt;=1,"SIM","")</f>
        <v>#REF!</v>
      </c>
      <c r="L23" s="5" t="e">
        <f>IF((COUNTIFS(#REF!,$C23,#REF!,L$1))&gt;=1,"SIM","")</f>
        <v>#REF!</v>
      </c>
      <c r="M23" s="5" t="e">
        <f>IF((COUNTIFS(#REF!,$C23,#REF!,M$1))&gt;=1,"SIM","")</f>
        <v>#REF!</v>
      </c>
      <c r="N23" s="5" t="e">
        <f>IF((COUNTIFS(#REF!,$C23,#REF!,N$1))&gt;=1,"SIM","")</f>
        <v>#REF!</v>
      </c>
      <c r="O23" s="5"/>
      <c r="P23" s="5" t="e">
        <f>IF((COUNTIFS(#REF!,$C23,#REF!,P$1))&gt;=1,"SIM","")</f>
        <v>#REF!</v>
      </c>
      <c r="Q23" s="5" t="e">
        <f>IF((COUNTIFS(#REF!,$C23,#REF!,Q$1))&gt;=1,"SIM","")</f>
        <v>#REF!</v>
      </c>
      <c r="R23" s="5" t="e">
        <f>IF((COUNTIFS(#REF!,$C23,#REF!,"*CARTA*"))&gt;=1,"SIM","")</f>
        <v>#REF!</v>
      </c>
      <c r="S23" s="5" t="e">
        <f>IF((COUNTIFS(#REF!,$C23,#REF!,"*CARTA NOTIFICAÇÃO/DEVOL*"))&gt;=1,"SIM","")</f>
        <v>#REF!</v>
      </c>
      <c r="T23" s="5" t="e">
        <f>IF((COUNTIFS(#REF!,$C23,#REF!,"*LIGAÇÃO ATIVA DEV PRIN/LOC*"))&gt;=1,"SIM","")</f>
        <v>#REF!</v>
      </c>
    </row>
    <row r="24" spans="1:20">
      <c r="A24" s="24" t="s">
        <v>2153</v>
      </c>
      <c r="B24" s="24" t="s">
        <v>11</v>
      </c>
      <c r="C24" s="24" t="s">
        <v>12</v>
      </c>
      <c r="D24" s="5" t="e">
        <f>IF((COUNTIFS(#REF!,$C24,#REF!,"*163*"))&gt;=1,"SIM","")</f>
        <v>#REF!</v>
      </c>
      <c r="E24" s="5" t="e">
        <f>IF((COUNTIFS(#REF!,$C24,#REF!,E$1))&gt;=1,"SIM","")</f>
        <v>#REF!</v>
      </c>
      <c r="F24" s="5" t="e">
        <f>IF((COUNTIFS(#REF!,$C24,#REF!,F$1))&gt;=1,"SIM","")</f>
        <v>#REF!</v>
      </c>
      <c r="G24" s="5" t="e">
        <f>IF((COUNTIFS(#REF!,$C24,#REF!,"*606*"))&gt;=1,"SIM","")</f>
        <v>#REF!</v>
      </c>
      <c r="H24" s="5" t="e">
        <f>IF((COUNTIFS(#REF!,$C24,#REF!,"*605*"))&gt;=1,"SIM","")</f>
        <v>#REF!</v>
      </c>
      <c r="I24" s="5" t="e">
        <f>IF((COUNTIFS(#REF!,$C24,#REF!,I$1))&gt;=1,"SIM","")</f>
        <v>#REF!</v>
      </c>
      <c r="J24" s="5" t="e">
        <f>IF((COUNTIFS(#REF!,$C24,#REF!,J$1))&gt;=1,"SIM","")</f>
        <v>#REF!</v>
      </c>
      <c r="K24" s="5" t="e">
        <f>IF((COUNTIFS(#REF!,$C24,#REF!,K$1))&gt;=1,"SIM","")</f>
        <v>#REF!</v>
      </c>
      <c r="L24" s="5" t="e">
        <f>IF((COUNTIFS(#REF!,$C24,#REF!,L$1))&gt;=1,"SIM","")</f>
        <v>#REF!</v>
      </c>
      <c r="M24" s="5" t="e">
        <f>IF((COUNTIFS(#REF!,$C24,#REF!,M$1))&gt;=1,"SIM","")</f>
        <v>#REF!</v>
      </c>
      <c r="N24" s="5" t="e">
        <f>IF((COUNTIFS(#REF!,$C24,#REF!,N$1))&gt;=1,"SIM","")</f>
        <v>#REF!</v>
      </c>
      <c r="O24" s="5"/>
      <c r="P24" s="5" t="e">
        <f>IF((COUNTIFS(#REF!,$C24,#REF!,P$1))&gt;=1,"SIM","")</f>
        <v>#REF!</v>
      </c>
      <c r="Q24" s="5" t="e">
        <f>IF((COUNTIFS(#REF!,$C24,#REF!,Q$1))&gt;=1,"SIM","")</f>
        <v>#REF!</v>
      </c>
      <c r="R24" s="5" t="e">
        <f>IF((COUNTIFS(#REF!,$C24,#REF!,"*CARTA*"))&gt;=1,"SIM","")</f>
        <v>#REF!</v>
      </c>
      <c r="S24" s="5" t="e">
        <f>IF((COUNTIFS(#REF!,$C24,#REF!,"*CARTA NOTIFICAÇÃO/DEVOL*"))&gt;=1,"SIM","")</f>
        <v>#REF!</v>
      </c>
      <c r="T24" s="5" t="e">
        <f>IF((COUNTIFS(#REF!,$C24,#REF!,"*LIGAÇÃO ATIVA DEV PRIN/LOC*"))&gt;=1,"SIM","")</f>
        <v>#REF!</v>
      </c>
    </row>
    <row r="25" spans="1:20">
      <c r="A25" s="24" t="s">
        <v>2153</v>
      </c>
      <c r="B25" s="24" t="s">
        <v>397</v>
      </c>
      <c r="C25" s="24" t="s">
        <v>398</v>
      </c>
      <c r="D25" s="5" t="e">
        <f>IF((COUNTIFS(#REF!,$C25,#REF!,"*163*"))&gt;=1,"SIM","")</f>
        <v>#REF!</v>
      </c>
      <c r="E25" s="5" t="e">
        <f>IF((COUNTIFS(#REF!,$C25,#REF!,E$1))&gt;=1,"SIM","")</f>
        <v>#REF!</v>
      </c>
      <c r="F25" s="5" t="e">
        <f>IF((COUNTIFS(#REF!,$C25,#REF!,F$1))&gt;=1,"SIM","")</f>
        <v>#REF!</v>
      </c>
      <c r="G25" s="5" t="e">
        <f>IF((COUNTIFS(#REF!,$C25,#REF!,"*606*"))&gt;=1,"SIM","")</f>
        <v>#REF!</v>
      </c>
      <c r="H25" s="5" t="e">
        <f>IF((COUNTIFS(#REF!,$C25,#REF!,"*605*"))&gt;=1,"SIM","")</f>
        <v>#REF!</v>
      </c>
      <c r="I25" s="5" t="e">
        <f>IF((COUNTIFS(#REF!,$C25,#REF!,I$1))&gt;=1,"SIM","")</f>
        <v>#REF!</v>
      </c>
      <c r="J25" s="5" t="e">
        <f>IF((COUNTIFS(#REF!,$C25,#REF!,J$1))&gt;=1,"SIM","")</f>
        <v>#REF!</v>
      </c>
      <c r="K25" s="5" t="e">
        <f>IF((COUNTIFS(#REF!,$C25,#REF!,K$1))&gt;=1,"SIM","")</f>
        <v>#REF!</v>
      </c>
      <c r="L25" s="5" t="e">
        <f>IF((COUNTIFS(#REF!,$C25,#REF!,L$1))&gt;=1,"SIM","")</f>
        <v>#REF!</v>
      </c>
      <c r="M25" s="5" t="e">
        <f>IF((COUNTIFS(#REF!,$C25,#REF!,M$1))&gt;=1,"SIM","")</f>
        <v>#REF!</v>
      </c>
      <c r="N25" s="5" t="e">
        <f>IF((COUNTIFS(#REF!,$C25,#REF!,N$1))&gt;=1,"SIM","")</f>
        <v>#REF!</v>
      </c>
      <c r="O25" s="5"/>
      <c r="P25" s="5" t="e">
        <f>IF((COUNTIFS(#REF!,$C25,#REF!,P$1))&gt;=1,"SIM","")</f>
        <v>#REF!</v>
      </c>
      <c r="Q25" s="5" t="e">
        <f>IF((COUNTIFS(#REF!,$C25,#REF!,Q$1))&gt;=1,"SIM","")</f>
        <v>#REF!</v>
      </c>
      <c r="R25" s="5" t="e">
        <f>IF((COUNTIFS(#REF!,$C25,#REF!,"*CARTA*"))&gt;=1,"SIM","")</f>
        <v>#REF!</v>
      </c>
      <c r="S25" s="5" t="e">
        <f>IF((COUNTIFS(#REF!,$C25,#REF!,"*CARTA NOTIFICAÇÃO/DEVOL*"))&gt;=1,"SIM","")</f>
        <v>#REF!</v>
      </c>
      <c r="T25" s="5" t="e">
        <f>IF((COUNTIFS(#REF!,$C25,#REF!,"*LIGAÇÃO ATIVA DEV PRIN/LOC*"))&gt;=1,"SIM","")</f>
        <v>#REF!</v>
      </c>
    </row>
    <row r="26" spans="1:20">
      <c r="A26" s="24" t="s">
        <v>2153</v>
      </c>
      <c r="B26" s="24" t="s">
        <v>209</v>
      </c>
      <c r="C26" s="24" t="s">
        <v>210</v>
      </c>
      <c r="D26" s="5" t="e">
        <f>IF((COUNTIFS(#REF!,$C26,#REF!,"*163*"))&gt;=1,"SIM","")</f>
        <v>#REF!</v>
      </c>
      <c r="E26" s="5" t="e">
        <f>IF((COUNTIFS(#REF!,$C26,#REF!,E$1))&gt;=1,"SIM","")</f>
        <v>#REF!</v>
      </c>
      <c r="F26" s="5" t="e">
        <f>IF((COUNTIFS(#REF!,$C26,#REF!,F$1))&gt;=1,"SIM","")</f>
        <v>#REF!</v>
      </c>
      <c r="G26" s="5" t="e">
        <f>IF((COUNTIFS(#REF!,$C26,#REF!,"*606*"))&gt;=1,"SIM","")</f>
        <v>#REF!</v>
      </c>
      <c r="H26" s="5" t="e">
        <f>IF((COUNTIFS(#REF!,$C26,#REF!,"*605*"))&gt;=1,"SIM","")</f>
        <v>#REF!</v>
      </c>
      <c r="I26" s="5" t="e">
        <f>IF((COUNTIFS(#REF!,$C26,#REF!,I$1))&gt;=1,"SIM","")</f>
        <v>#REF!</v>
      </c>
      <c r="J26" s="5" t="e">
        <f>IF((COUNTIFS(#REF!,$C26,#REF!,J$1))&gt;=1,"SIM","")</f>
        <v>#REF!</v>
      </c>
      <c r="K26" s="5" t="e">
        <f>IF((COUNTIFS(#REF!,$C26,#REF!,K$1))&gt;=1,"SIM","")</f>
        <v>#REF!</v>
      </c>
      <c r="L26" s="5" t="e">
        <f>IF((COUNTIFS(#REF!,$C26,#REF!,L$1))&gt;=1,"SIM","")</f>
        <v>#REF!</v>
      </c>
      <c r="M26" s="5" t="e">
        <f>IF((COUNTIFS(#REF!,$C26,#REF!,M$1))&gt;=1,"SIM","")</f>
        <v>#REF!</v>
      </c>
      <c r="N26" s="5" t="e">
        <f>IF((COUNTIFS(#REF!,$C26,#REF!,N$1))&gt;=1,"SIM","")</f>
        <v>#REF!</v>
      </c>
      <c r="O26" s="5"/>
      <c r="P26" s="5" t="e">
        <f>IF((COUNTIFS(#REF!,$C26,#REF!,P$1))&gt;=1,"SIM","")</f>
        <v>#REF!</v>
      </c>
      <c r="Q26" s="5" t="e">
        <f>IF((COUNTIFS(#REF!,$C26,#REF!,Q$1))&gt;=1,"SIM","")</f>
        <v>#REF!</v>
      </c>
      <c r="R26" s="5" t="e">
        <f>IF((COUNTIFS(#REF!,$C26,#REF!,"*CARTA*"))&gt;=1,"SIM","")</f>
        <v>#REF!</v>
      </c>
      <c r="S26" s="5" t="e">
        <f>IF((COUNTIFS(#REF!,$C26,#REF!,"*CARTA NOTIFICAÇÃO/DEVOL*"))&gt;=1,"SIM","")</f>
        <v>#REF!</v>
      </c>
      <c r="T26" s="5" t="e">
        <f>IF((COUNTIFS(#REF!,$C26,#REF!,"*LIGAÇÃO ATIVA DEV PRIN/LOC*"))&gt;=1,"SIM","")</f>
        <v>#REF!</v>
      </c>
    </row>
    <row r="27" spans="1:20">
      <c r="A27" s="24" t="s">
        <v>2153</v>
      </c>
      <c r="B27" s="24" t="s">
        <v>618</v>
      </c>
      <c r="C27" s="24" t="s">
        <v>619</v>
      </c>
      <c r="D27" s="5" t="e">
        <f>IF((COUNTIFS(#REF!,$C27,#REF!,"*163*"))&gt;=1,"SIM","")</f>
        <v>#REF!</v>
      </c>
      <c r="E27" s="5" t="e">
        <f>IF((COUNTIFS(#REF!,$C27,#REF!,E$1))&gt;=1,"SIM","")</f>
        <v>#REF!</v>
      </c>
      <c r="F27" s="5" t="e">
        <f>IF((COUNTIFS(#REF!,$C27,#REF!,F$1))&gt;=1,"SIM","")</f>
        <v>#REF!</v>
      </c>
      <c r="G27" s="5" t="e">
        <f>IF((COUNTIFS(#REF!,$C27,#REF!,"*606*"))&gt;=1,"SIM","")</f>
        <v>#REF!</v>
      </c>
      <c r="H27" s="5" t="e">
        <f>IF((COUNTIFS(#REF!,$C27,#REF!,"*605*"))&gt;=1,"SIM","")</f>
        <v>#REF!</v>
      </c>
      <c r="I27" s="5" t="e">
        <f>IF((COUNTIFS(#REF!,$C27,#REF!,I$1))&gt;=1,"SIM","")</f>
        <v>#REF!</v>
      </c>
      <c r="J27" s="5" t="e">
        <f>IF((COUNTIFS(#REF!,$C27,#REF!,J$1))&gt;=1,"SIM","")</f>
        <v>#REF!</v>
      </c>
      <c r="K27" s="5" t="e">
        <f>IF((COUNTIFS(#REF!,$C27,#REF!,K$1))&gt;=1,"SIM","")</f>
        <v>#REF!</v>
      </c>
      <c r="L27" s="5" t="e">
        <f>IF((COUNTIFS(#REF!,$C27,#REF!,L$1))&gt;=1,"SIM","")</f>
        <v>#REF!</v>
      </c>
      <c r="M27" s="5" t="e">
        <f>IF((COUNTIFS(#REF!,$C27,#REF!,M$1))&gt;=1,"SIM","")</f>
        <v>#REF!</v>
      </c>
      <c r="N27" s="5" t="e">
        <f>IF((COUNTIFS(#REF!,$C27,#REF!,N$1))&gt;=1,"SIM","")</f>
        <v>#REF!</v>
      </c>
      <c r="O27" s="5"/>
      <c r="P27" s="5" t="e">
        <f>IF((COUNTIFS(#REF!,$C27,#REF!,P$1))&gt;=1,"SIM","")</f>
        <v>#REF!</v>
      </c>
      <c r="Q27" s="5" t="e">
        <f>IF((COUNTIFS(#REF!,$C27,#REF!,Q$1))&gt;=1,"SIM","")</f>
        <v>#REF!</v>
      </c>
      <c r="R27" s="5" t="e">
        <f>IF((COUNTIFS(#REF!,$C27,#REF!,"*CARTA*"))&gt;=1,"SIM","")</f>
        <v>#REF!</v>
      </c>
      <c r="S27" s="5" t="e">
        <f>IF((COUNTIFS(#REF!,$C27,#REF!,"*CARTA NOTIFICAÇÃO/DEVOL*"))&gt;=1,"SIM","")</f>
        <v>#REF!</v>
      </c>
      <c r="T27" s="5" t="e">
        <f>IF((COUNTIFS(#REF!,$C27,#REF!,"*LIGAÇÃO ATIVA DEV PRIN/LOC*"))&gt;=1,"SIM","")</f>
        <v>#REF!</v>
      </c>
    </row>
    <row r="28" spans="1:20">
      <c r="A28" s="24" t="s">
        <v>2155</v>
      </c>
      <c r="B28" s="24" t="s">
        <v>2239</v>
      </c>
      <c r="C28" s="24" t="s">
        <v>2240</v>
      </c>
      <c r="D28" s="5" t="e">
        <f>IF((COUNTIFS(#REF!,$C28,#REF!,"*163*"))&gt;=1,"SIM","")</f>
        <v>#REF!</v>
      </c>
      <c r="E28" s="5" t="e">
        <f>IF((COUNTIFS(#REF!,$C28,#REF!,E$1))&gt;=1,"SIM","")</f>
        <v>#REF!</v>
      </c>
      <c r="F28" s="5" t="e">
        <f>IF((COUNTIFS(#REF!,$C28,#REF!,F$1))&gt;=1,"SIM","")</f>
        <v>#REF!</v>
      </c>
      <c r="G28" s="5" t="e">
        <f>IF((COUNTIFS(#REF!,$C28,#REF!,"*606*"))&gt;=1,"SIM","")</f>
        <v>#REF!</v>
      </c>
      <c r="H28" s="5" t="e">
        <f>IF((COUNTIFS(#REF!,$C28,#REF!,"*605*"))&gt;=1,"SIM","")</f>
        <v>#REF!</v>
      </c>
      <c r="I28" s="5" t="e">
        <f>IF((COUNTIFS(#REF!,$C28,#REF!,I$1))&gt;=1,"SIM","")</f>
        <v>#REF!</v>
      </c>
      <c r="J28" s="5" t="e">
        <f>IF((COUNTIFS(#REF!,$C28,#REF!,J$1))&gt;=1,"SIM","")</f>
        <v>#REF!</v>
      </c>
      <c r="K28" s="5" t="e">
        <f>IF((COUNTIFS(#REF!,$C28,#REF!,K$1))&gt;=1,"SIM","")</f>
        <v>#REF!</v>
      </c>
      <c r="L28" s="5" t="e">
        <f>IF((COUNTIFS(#REF!,$C28,#REF!,L$1))&gt;=1,"SIM","")</f>
        <v>#REF!</v>
      </c>
      <c r="M28" s="5" t="e">
        <f>IF((COUNTIFS(#REF!,$C28,#REF!,M$1))&gt;=1,"SIM","")</f>
        <v>#REF!</v>
      </c>
      <c r="N28" s="5" t="e">
        <f>IF((COUNTIFS(#REF!,$C28,#REF!,N$1))&gt;=1,"SIM","")</f>
        <v>#REF!</v>
      </c>
      <c r="O28" s="5"/>
      <c r="P28" s="5" t="e">
        <f>IF((COUNTIFS(#REF!,$C28,#REF!,P$1))&gt;=1,"SIM","")</f>
        <v>#REF!</v>
      </c>
      <c r="Q28" s="5" t="e">
        <f>IF((COUNTIFS(#REF!,$C28,#REF!,Q$1))&gt;=1,"SIM","")</f>
        <v>#REF!</v>
      </c>
      <c r="R28" s="5" t="e">
        <f>IF((COUNTIFS(#REF!,$C28,#REF!,"*CARTA*"))&gt;=1,"SIM","")</f>
        <v>#REF!</v>
      </c>
      <c r="S28" s="5" t="e">
        <f>IF((COUNTIFS(#REF!,$C28,#REF!,"*CARTA NOTIFICAÇÃO/DEVOL*"))&gt;=1,"SIM","")</f>
        <v>#REF!</v>
      </c>
      <c r="T28" s="5" t="e">
        <f>IF((COUNTIFS(#REF!,$C28,#REF!,"*LIGAÇÃO ATIVA DEV PRIN/LOC*"))&gt;=1,"SIM","")</f>
        <v>#REF!</v>
      </c>
    </row>
    <row r="29" spans="1:20">
      <c r="A29" s="24" t="s">
        <v>2157</v>
      </c>
      <c r="B29" s="24" t="s">
        <v>2182</v>
      </c>
      <c r="C29" s="24" t="s">
        <v>2183</v>
      </c>
      <c r="D29" s="5" t="e">
        <f>IF((COUNTIFS(#REF!,$C29,#REF!,"*163*"))&gt;=1,"SIM","")</f>
        <v>#REF!</v>
      </c>
      <c r="E29" s="5" t="e">
        <f>IF((COUNTIFS(#REF!,$C29,#REF!,E$1))&gt;=1,"SIM","")</f>
        <v>#REF!</v>
      </c>
      <c r="F29" s="5" t="e">
        <f>IF((COUNTIFS(#REF!,$C29,#REF!,F$1))&gt;=1,"SIM","")</f>
        <v>#REF!</v>
      </c>
      <c r="G29" s="5" t="e">
        <f>IF((COUNTIFS(#REF!,$C29,#REF!,"*606*"))&gt;=1,"SIM","")</f>
        <v>#REF!</v>
      </c>
      <c r="H29" s="5" t="e">
        <f>IF((COUNTIFS(#REF!,$C29,#REF!,"*605*"))&gt;=1,"SIM","")</f>
        <v>#REF!</v>
      </c>
      <c r="I29" s="5" t="e">
        <f>IF((COUNTIFS(#REF!,$C29,#REF!,I$1))&gt;=1,"SIM","")</f>
        <v>#REF!</v>
      </c>
      <c r="J29" s="5" t="e">
        <f>IF((COUNTIFS(#REF!,$C29,#REF!,J$1))&gt;=1,"SIM","")</f>
        <v>#REF!</v>
      </c>
      <c r="K29" s="5" t="e">
        <f>IF((COUNTIFS(#REF!,$C29,#REF!,K$1))&gt;=1,"SIM","")</f>
        <v>#REF!</v>
      </c>
      <c r="L29" s="5" t="e">
        <f>IF((COUNTIFS(#REF!,$C29,#REF!,L$1))&gt;=1,"SIM","")</f>
        <v>#REF!</v>
      </c>
      <c r="M29" s="5" t="e">
        <f>IF((COUNTIFS(#REF!,$C29,#REF!,M$1))&gt;=1,"SIM","")</f>
        <v>#REF!</v>
      </c>
      <c r="N29" s="5" t="e">
        <f>IF((COUNTIFS(#REF!,$C29,#REF!,N$1))&gt;=1,"SIM","")</f>
        <v>#REF!</v>
      </c>
      <c r="O29" s="5"/>
      <c r="P29" s="5" t="e">
        <f>IF((COUNTIFS(#REF!,$C29,#REF!,P$1))&gt;=1,"SIM","")</f>
        <v>#REF!</v>
      </c>
      <c r="Q29" s="5" t="e">
        <f>IF((COUNTIFS(#REF!,$C29,#REF!,Q$1))&gt;=1,"SIM","")</f>
        <v>#REF!</v>
      </c>
      <c r="R29" s="5" t="e">
        <f>IF((COUNTIFS(#REF!,$C29,#REF!,"*CARTA*"))&gt;=1,"SIM","")</f>
        <v>#REF!</v>
      </c>
      <c r="S29" s="5" t="e">
        <f>IF((COUNTIFS(#REF!,$C29,#REF!,"*CARTA NOTIFICAÇÃO/DEVOL*"))&gt;=1,"SIM","")</f>
        <v>#REF!</v>
      </c>
      <c r="T29" s="5" t="e">
        <f>IF((COUNTIFS(#REF!,$C29,#REF!,"*LIGAÇÃO ATIVA DEV PRIN/LOC*"))&gt;=1,"SIM","")</f>
        <v>#REF!</v>
      </c>
    </row>
    <row r="30" spans="1:20">
      <c r="A30" s="24" t="s">
        <v>2153</v>
      </c>
      <c r="B30" s="24" t="s">
        <v>562</v>
      </c>
      <c r="C30" s="24" t="s">
        <v>563</v>
      </c>
      <c r="D30" s="5" t="e">
        <f>IF((COUNTIFS(#REF!,$C30,#REF!,"*163*"))&gt;=1,"SIM","")</f>
        <v>#REF!</v>
      </c>
      <c r="E30" s="5" t="e">
        <f>IF((COUNTIFS(#REF!,$C30,#REF!,E$1))&gt;=1,"SIM","")</f>
        <v>#REF!</v>
      </c>
      <c r="F30" s="5" t="e">
        <f>IF((COUNTIFS(#REF!,$C30,#REF!,F$1))&gt;=1,"SIM","")</f>
        <v>#REF!</v>
      </c>
      <c r="G30" s="5" t="e">
        <f>IF((COUNTIFS(#REF!,$C30,#REF!,"*606*"))&gt;=1,"SIM","")</f>
        <v>#REF!</v>
      </c>
      <c r="H30" s="5" t="e">
        <f>IF((COUNTIFS(#REF!,$C30,#REF!,"*605*"))&gt;=1,"SIM","")</f>
        <v>#REF!</v>
      </c>
      <c r="I30" s="5" t="e">
        <f>IF((COUNTIFS(#REF!,$C30,#REF!,I$1))&gt;=1,"SIM","")</f>
        <v>#REF!</v>
      </c>
      <c r="J30" s="5" t="e">
        <f>IF((COUNTIFS(#REF!,$C30,#REF!,J$1))&gt;=1,"SIM","")</f>
        <v>#REF!</v>
      </c>
      <c r="K30" s="5" t="e">
        <f>IF((COUNTIFS(#REF!,$C30,#REF!,K$1))&gt;=1,"SIM","")</f>
        <v>#REF!</v>
      </c>
      <c r="L30" s="5" t="e">
        <f>IF((COUNTIFS(#REF!,$C30,#REF!,L$1))&gt;=1,"SIM","")</f>
        <v>#REF!</v>
      </c>
      <c r="M30" s="5" t="e">
        <f>IF((COUNTIFS(#REF!,$C30,#REF!,M$1))&gt;=1,"SIM","")</f>
        <v>#REF!</v>
      </c>
      <c r="N30" s="5" t="e">
        <f>IF((COUNTIFS(#REF!,$C30,#REF!,N$1))&gt;=1,"SIM","")</f>
        <v>#REF!</v>
      </c>
      <c r="O30" s="5"/>
      <c r="P30" s="5" t="e">
        <f>IF((COUNTIFS(#REF!,$C30,#REF!,P$1))&gt;=1,"SIM","")</f>
        <v>#REF!</v>
      </c>
      <c r="Q30" s="5" t="e">
        <f>IF((COUNTIFS(#REF!,$C30,#REF!,Q$1))&gt;=1,"SIM","")</f>
        <v>#REF!</v>
      </c>
      <c r="R30" s="5" t="e">
        <f>IF((COUNTIFS(#REF!,$C30,#REF!,"*CARTA*"))&gt;=1,"SIM","")</f>
        <v>#REF!</v>
      </c>
      <c r="S30" s="5" t="e">
        <f>IF((COUNTIFS(#REF!,$C30,#REF!,"*CARTA NOTIFICAÇÃO/DEVOL*"))&gt;=1,"SIM","")</f>
        <v>#REF!</v>
      </c>
      <c r="T30" s="5" t="e">
        <f>IF((COUNTIFS(#REF!,$C30,#REF!,"*LIGAÇÃO ATIVA DEV PRIN/LOC*"))&gt;=1,"SIM","")</f>
        <v>#REF!</v>
      </c>
    </row>
    <row r="31" spans="1:20">
      <c r="A31" s="24" t="s">
        <v>2159</v>
      </c>
      <c r="B31" s="24" t="s">
        <v>1676</v>
      </c>
      <c r="C31" s="24" t="s">
        <v>1677</v>
      </c>
      <c r="D31" s="5" t="e">
        <f>IF((COUNTIFS(#REF!,$C31,#REF!,"*163*"))&gt;=1,"SIM","")</f>
        <v>#REF!</v>
      </c>
      <c r="E31" s="5" t="e">
        <f>IF((COUNTIFS(#REF!,$C31,#REF!,E$1))&gt;=1,"SIM","")</f>
        <v>#REF!</v>
      </c>
      <c r="F31" s="5" t="e">
        <f>IF((COUNTIFS(#REF!,$C31,#REF!,F$1))&gt;=1,"SIM","")</f>
        <v>#REF!</v>
      </c>
      <c r="G31" s="5" t="e">
        <f>IF((COUNTIFS(#REF!,$C31,#REF!,"*606*"))&gt;=1,"SIM","")</f>
        <v>#REF!</v>
      </c>
      <c r="H31" s="5" t="e">
        <f>IF((COUNTIFS(#REF!,$C31,#REF!,"*605*"))&gt;=1,"SIM","")</f>
        <v>#REF!</v>
      </c>
      <c r="I31" s="5" t="e">
        <f>IF((COUNTIFS(#REF!,$C31,#REF!,I$1))&gt;=1,"SIM","")</f>
        <v>#REF!</v>
      </c>
      <c r="J31" s="5" t="e">
        <f>IF((COUNTIFS(#REF!,$C31,#REF!,J$1))&gt;=1,"SIM","")</f>
        <v>#REF!</v>
      </c>
      <c r="K31" s="5" t="e">
        <f>IF((COUNTIFS(#REF!,$C31,#REF!,K$1))&gt;=1,"SIM","")</f>
        <v>#REF!</v>
      </c>
      <c r="L31" s="5" t="e">
        <f>IF((COUNTIFS(#REF!,$C31,#REF!,L$1))&gt;=1,"SIM","")</f>
        <v>#REF!</v>
      </c>
      <c r="M31" s="5" t="e">
        <f>IF((COUNTIFS(#REF!,$C31,#REF!,M$1))&gt;=1,"SIM","")</f>
        <v>#REF!</v>
      </c>
      <c r="N31" s="5" t="e">
        <f>IF((COUNTIFS(#REF!,$C31,#REF!,N$1))&gt;=1,"SIM","")</f>
        <v>#REF!</v>
      </c>
      <c r="O31" s="5"/>
      <c r="P31" s="5" t="e">
        <f>IF((COUNTIFS(#REF!,$C31,#REF!,P$1))&gt;=1,"SIM","")</f>
        <v>#REF!</v>
      </c>
      <c r="Q31" s="5" t="e">
        <f>IF((COUNTIFS(#REF!,$C31,#REF!,Q$1))&gt;=1,"SIM","")</f>
        <v>#REF!</v>
      </c>
      <c r="R31" s="5" t="e">
        <f>IF((COUNTIFS(#REF!,$C31,#REF!,"*CARTA*"))&gt;=1,"SIM","")</f>
        <v>#REF!</v>
      </c>
      <c r="S31" s="5" t="e">
        <f>IF((COUNTIFS(#REF!,$C31,#REF!,"*CARTA NOTIFICAÇÃO/DEVOL*"))&gt;=1,"SIM","")</f>
        <v>#REF!</v>
      </c>
      <c r="T31" s="5" t="e">
        <f>IF((COUNTIFS(#REF!,$C31,#REF!,"*LIGAÇÃO ATIVA DEV PRIN/LOC*"))&gt;=1,"SIM","")</f>
        <v>#REF!</v>
      </c>
    </row>
    <row r="32" spans="1:20">
      <c r="A32" s="24" t="s">
        <v>2159</v>
      </c>
      <c r="B32" s="24" t="s">
        <v>1252</v>
      </c>
      <c r="C32" s="24" t="s">
        <v>1253</v>
      </c>
      <c r="D32" s="5" t="e">
        <f>IF((COUNTIFS(#REF!,$C32,#REF!,"*163*"))&gt;=1,"SIM","")</f>
        <v>#REF!</v>
      </c>
      <c r="E32" s="5" t="e">
        <f>IF((COUNTIFS(#REF!,$C32,#REF!,E$1))&gt;=1,"SIM","")</f>
        <v>#REF!</v>
      </c>
      <c r="F32" s="5" t="e">
        <f>IF((COUNTIFS(#REF!,$C32,#REF!,F$1))&gt;=1,"SIM","")</f>
        <v>#REF!</v>
      </c>
      <c r="G32" s="5" t="e">
        <f>IF((COUNTIFS(#REF!,$C32,#REF!,"*606*"))&gt;=1,"SIM","")</f>
        <v>#REF!</v>
      </c>
      <c r="H32" s="5" t="e">
        <f>IF((COUNTIFS(#REF!,$C32,#REF!,"*605*"))&gt;=1,"SIM","")</f>
        <v>#REF!</v>
      </c>
      <c r="I32" s="5" t="e">
        <f>IF((COUNTIFS(#REF!,$C32,#REF!,I$1))&gt;=1,"SIM","")</f>
        <v>#REF!</v>
      </c>
      <c r="J32" s="5" t="e">
        <f>IF((COUNTIFS(#REF!,$C32,#REF!,J$1))&gt;=1,"SIM","")</f>
        <v>#REF!</v>
      </c>
      <c r="K32" s="5" t="e">
        <f>IF((COUNTIFS(#REF!,$C32,#REF!,K$1))&gt;=1,"SIM","")</f>
        <v>#REF!</v>
      </c>
      <c r="L32" s="5" t="e">
        <f>IF((COUNTIFS(#REF!,$C32,#REF!,L$1))&gt;=1,"SIM","")</f>
        <v>#REF!</v>
      </c>
      <c r="M32" s="5" t="e">
        <f>IF((COUNTIFS(#REF!,$C32,#REF!,M$1))&gt;=1,"SIM","")</f>
        <v>#REF!</v>
      </c>
      <c r="N32" s="5" t="e">
        <f>IF((COUNTIFS(#REF!,$C32,#REF!,N$1))&gt;=1,"SIM","")</f>
        <v>#REF!</v>
      </c>
      <c r="O32" s="5"/>
      <c r="P32" s="5" t="e">
        <f>IF((COUNTIFS(#REF!,$C32,#REF!,P$1))&gt;=1,"SIM","")</f>
        <v>#REF!</v>
      </c>
      <c r="Q32" s="5" t="e">
        <f>IF((COUNTIFS(#REF!,$C32,#REF!,Q$1))&gt;=1,"SIM","")</f>
        <v>#REF!</v>
      </c>
      <c r="R32" s="5" t="e">
        <f>IF((COUNTIFS(#REF!,$C32,#REF!,"*CARTA*"))&gt;=1,"SIM","")</f>
        <v>#REF!</v>
      </c>
      <c r="S32" s="5" t="e">
        <f>IF((COUNTIFS(#REF!,$C32,#REF!,"*CARTA NOTIFICAÇÃO/DEVOL*"))&gt;=1,"SIM","")</f>
        <v>#REF!</v>
      </c>
      <c r="T32" s="5" t="e">
        <f>IF((COUNTIFS(#REF!,$C32,#REF!,"*LIGAÇÃO ATIVA DEV PRIN/LOC*"))&gt;=1,"SIM","")</f>
        <v>#REF!</v>
      </c>
    </row>
    <row r="33" spans="1:20">
      <c r="A33" s="24" t="s">
        <v>2153</v>
      </c>
      <c r="B33" s="24" t="s">
        <v>291</v>
      </c>
      <c r="C33" s="24" t="s">
        <v>292</v>
      </c>
      <c r="D33" s="5" t="e">
        <f>IF((COUNTIFS(#REF!,$C33,#REF!,"*163*"))&gt;=1,"SIM","")</f>
        <v>#REF!</v>
      </c>
      <c r="E33" s="5" t="e">
        <f>IF((COUNTIFS(#REF!,$C33,#REF!,E$1))&gt;=1,"SIM","")</f>
        <v>#REF!</v>
      </c>
      <c r="F33" s="5" t="e">
        <f>IF((COUNTIFS(#REF!,$C33,#REF!,F$1))&gt;=1,"SIM","")</f>
        <v>#REF!</v>
      </c>
      <c r="G33" s="5" t="e">
        <f>IF((COUNTIFS(#REF!,$C33,#REF!,"*606*"))&gt;=1,"SIM","")</f>
        <v>#REF!</v>
      </c>
      <c r="H33" s="5" t="e">
        <f>IF((COUNTIFS(#REF!,$C33,#REF!,"*605*"))&gt;=1,"SIM","")</f>
        <v>#REF!</v>
      </c>
      <c r="I33" s="5" t="e">
        <f>IF((COUNTIFS(#REF!,$C33,#REF!,I$1))&gt;=1,"SIM","")</f>
        <v>#REF!</v>
      </c>
      <c r="J33" s="5" t="e">
        <f>IF((COUNTIFS(#REF!,$C33,#REF!,J$1))&gt;=1,"SIM","")</f>
        <v>#REF!</v>
      </c>
      <c r="K33" s="5" t="e">
        <f>IF((COUNTIFS(#REF!,$C33,#REF!,K$1))&gt;=1,"SIM","")</f>
        <v>#REF!</v>
      </c>
      <c r="L33" s="5" t="e">
        <f>IF((COUNTIFS(#REF!,$C33,#REF!,L$1))&gt;=1,"SIM","")</f>
        <v>#REF!</v>
      </c>
      <c r="M33" s="5" t="e">
        <f>IF((COUNTIFS(#REF!,$C33,#REF!,M$1))&gt;=1,"SIM","")</f>
        <v>#REF!</v>
      </c>
      <c r="N33" s="5" t="e">
        <f>IF((COUNTIFS(#REF!,$C33,#REF!,N$1))&gt;=1,"SIM","")</f>
        <v>#REF!</v>
      </c>
      <c r="O33" s="5"/>
      <c r="P33" s="5" t="e">
        <f>IF((COUNTIFS(#REF!,$C33,#REF!,P$1))&gt;=1,"SIM","")</f>
        <v>#REF!</v>
      </c>
      <c r="Q33" s="5" t="e">
        <f>IF((COUNTIFS(#REF!,$C33,#REF!,Q$1))&gt;=1,"SIM","")</f>
        <v>#REF!</v>
      </c>
      <c r="R33" s="5" t="e">
        <f>IF((COUNTIFS(#REF!,$C33,#REF!,"*CARTA*"))&gt;=1,"SIM","")</f>
        <v>#REF!</v>
      </c>
      <c r="S33" s="5" t="e">
        <f>IF((COUNTIFS(#REF!,$C33,#REF!,"*CARTA NOTIFICAÇÃO/DEVOL*"))&gt;=1,"SIM","")</f>
        <v>#REF!</v>
      </c>
      <c r="T33" s="5" t="e">
        <f>IF((COUNTIFS(#REF!,$C33,#REF!,"*LIGAÇÃO ATIVA DEV PRIN/LOC*"))&gt;=1,"SIM","")</f>
        <v>#REF!</v>
      </c>
    </row>
    <row r="34" spans="1:20">
      <c r="A34" s="24" t="s">
        <v>2155</v>
      </c>
      <c r="B34" s="24" t="s">
        <v>9</v>
      </c>
      <c r="C34" s="24" t="s">
        <v>10</v>
      </c>
      <c r="D34" s="5" t="e">
        <f>IF((COUNTIFS(#REF!,$C34,#REF!,"*163*"))&gt;=1,"SIM","")</f>
        <v>#REF!</v>
      </c>
      <c r="E34" s="5" t="e">
        <f>IF((COUNTIFS(#REF!,$C34,#REF!,E$1))&gt;=1,"SIM","")</f>
        <v>#REF!</v>
      </c>
      <c r="F34" s="5" t="e">
        <f>IF((COUNTIFS(#REF!,$C34,#REF!,F$1))&gt;=1,"SIM","")</f>
        <v>#REF!</v>
      </c>
      <c r="G34" s="5" t="e">
        <f>IF((COUNTIFS(#REF!,$C34,#REF!,"*606*"))&gt;=1,"SIM","")</f>
        <v>#REF!</v>
      </c>
      <c r="H34" s="5" t="e">
        <f>IF((COUNTIFS(#REF!,$C34,#REF!,"*605*"))&gt;=1,"SIM","")</f>
        <v>#REF!</v>
      </c>
      <c r="I34" s="5" t="e">
        <f>IF((COUNTIFS(#REF!,$C34,#REF!,I$1))&gt;=1,"SIM","")</f>
        <v>#REF!</v>
      </c>
      <c r="J34" s="5" t="e">
        <f>IF((COUNTIFS(#REF!,$C34,#REF!,J$1))&gt;=1,"SIM","")</f>
        <v>#REF!</v>
      </c>
      <c r="K34" s="5" t="e">
        <f>IF((COUNTIFS(#REF!,$C34,#REF!,K$1))&gt;=1,"SIM","")</f>
        <v>#REF!</v>
      </c>
      <c r="L34" s="5" t="e">
        <f>IF((COUNTIFS(#REF!,$C34,#REF!,L$1))&gt;=1,"SIM","")</f>
        <v>#REF!</v>
      </c>
      <c r="M34" s="5" t="e">
        <f>IF((COUNTIFS(#REF!,$C34,#REF!,M$1))&gt;=1,"SIM","")</f>
        <v>#REF!</v>
      </c>
      <c r="N34" s="5" t="e">
        <f>IF((COUNTIFS(#REF!,$C34,#REF!,N$1))&gt;=1,"SIM","")</f>
        <v>#REF!</v>
      </c>
      <c r="O34" s="5"/>
      <c r="P34" s="5" t="e">
        <f>IF((COUNTIFS(#REF!,$C34,#REF!,P$1))&gt;=1,"SIM","")</f>
        <v>#REF!</v>
      </c>
      <c r="Q34" s="5" t="e">
        <f>IF((COUNTIFS(#REF!,$C34,#REF!,Q$1))&gt;=1,"SIM","")</f>
        <v>#REF!</v>
      </c>
      <c r="R34" s="5" t="e">
        <f>IF((COUNTIFS(#REF!,$C34,#REF!,"*CARTA*"))&gt;=1,"SIM","")</f>
        <v>#REF!</v>
      </c>
      <c r="S34" s="5" t="e">
        <f>IF((COUNTIFS(#REF!,$C34,#REF!,"*CARTA NOTIFICAÇÃO/DEVOL*"))&gt;=1,"SIM","")</f>
        <v>#REF!</v>
      </c>
      <c r="T34" s="5" t="e">
        <f>IF((COUNTIFS(#REF!,$C34,#REF!,"*LIGAÇÃO ATIVA DEV PRIN/LOC*"))&gt;=1,"SIM","")</f>
        <v>#REF!</v>
      </c>
    </row>
    <row r="35" spans="1:20">
      <c r="A35" s="24" t="s">
        <v>2153</v>
      </c>
      <c r="B35" s="24" t="s">
        <v>714</v>
      </c>
      <c r="C35" s="24" t="s">
        <v>715</v>
      </c>
      <c r="D35" s="5" t="e">
        <f>IF((COUNTIFS(#REF!,$C35,#REF!,"*163*"))&gt;=1,"SIM","")</f>
        <v>#REF!</v>
      </c>
      <c r="E35" s="5" t="e">
        <f>IF((COUNTIFS(#REF!,$C35,#REF!,E$1))&gt;=1,"SIM","")</f>
        <v>#REF!</v>
      </c>
      <c r="F35" s="5" t="e">
        <f>IF((COUNTIFS(#REF!,$C35,#REF!,F$1))&gt;=1,"SIM","")</f>
        <v>#REF!</v>
      </c>
      <c r="G35" s="5" t="e">
        <f>IF((COUNTIFS(#REF!,$C35,#REF!,"*606*"))&gt;=1,"SIM","")</f>
        <v>#REF!</v>
      </c>
      <c r="H35" s="5" t="e">
        <f>IF((COUNTIFS(#REF!,$C35,#REF!,"*605*"))&gt;=1,"SIM","")</f>
        <v>#REF!</v>
      </c>
      <c r="I35" s="5" t="e">
        <f>IF((COUNTIFS(#REF!,$C35,#REF!,I$1))&gt;=1,"SIM","")</f>
        <v>#REF!</v>
      </c>
      <c r="J35" s="5" t="e">
        <f>IF((COUNTIFS(#REF!,$C35,#REF!,J$1))&gt;=1,"SIM","")</f>
        <v>#REF!</v>
      </c>
      <c r="K35" s="5" t="e">
        <f>IF((COUNTIFS(#REF!,$C35,#REF!,K$1))&gt;=1,"SIM","")</f>
        <v>#REF!</v>
      </c>
      <c r="L35" s="5" t="e">
        <f>IF((COUNTIFS(#REF!,$C35,#REF!,L$1))&gt;=1,"SIM","")</f>
        <v>#REF!</v>
      </c>
      <c r="M35" s="5" t="e">
        <f>IF((COUNTIFS(#REF!,$C35,#REF!,M$1))&gt;=1,"SIM","")</f>
        <v>#REF!</v>
      </c>
      <c r="N35" s="5" t="e">
        <f>IF((COUNTIFS(#REF!,$C35,#REF!,N$1))&gt;=1,"SIM","")</f>
        <v>#REF!</v>
      </c>
      <c r="O35" s="5"/>
      <c r="P35" s="5" t="e">
        <f>IF((COUNTIFS(#REF!,$C35,#REF!,P$1))&gt;=1,"SIM","")</f>
        <v>#REF!</v>
      </c>
      <c r="Q35" s="5" t="e">
        <f>IF((COUNTIFS(#REF!,$C35,#REF!,Q$1))&gt;=1,"SIM","")</f>
        <v>#REF!</v>
      </c>
      <c r="R35" s="5" t="e">
        <f>IF((COUNTIFS(#REF!,$C35,#REF!,"*CARTA*"))&gt;=1,"SIM","")</f>
        <v>#REF!</v>
      </c>
      <c r="S35" s="5" t="e">
        <f>IF((COUNTIFS(#REF!,$C35,#REF!,"*CARTA NOTIFICAÇÃO/DEVOL*"))&gt;=1,"SIM","")</f>
        <v>#REF!</v>
      </c>
      <c r="T35" s="5" t="e">
        <f>IF((COUNTIFS(#REF!,$C35,#REF!,"*LIGAÇÃO ATIVA DEV PRIN/LOC*"))&gt;=1,"SIM","")</f>
        <v>#REF!</v>
      </c>
    </row>
    <row r="36" spans="1:20">
      <c r="A36" s="24" t="s">
        <v>2155</v>
      </c>
      <c r="B36" s="24" t="s">
        <v>13</v>
      </c>
      <c r="C36" s="24" t="s">
        <v>14</v>
      </c>
      <c r="D36" s="5" t="e">
        <f>IF((COUNTIFS(#REF!,$C36,#REF!,"*163*"))&gt;=1,"SIM","")</f>
        <v>#REF!</v>
      </c>
      <c r="E36" s="5" t="e">
        <f>IF((COUNTIFS(#REF!,$C36,#REF!,E$1))&gt;=1,"SIM","")</f>
        <v>#REF!</v>
      </c>
      <c r="F36" s="5" t="e">
        <f>IF((COUNTIFS(#REF!,$C36,#REF!,F$1))&gt;=1,"SIM","")</f>
        <v>#REF!</v>
      </c>
      <c r="G36" s="5" t="e">
        <f>IF((COUNTIFS(#REF!,$C36,#REF!,"*606*"))&gt;=1,"SIM","")</f>
        <v>#REF!</v>
      </c>
      <c r="H36" s="5" t="e">
        <f>IF((COUNTIFS(#REF!,$C36,#REF!,"*605*"))&gt;=1,"SIM","")</f>
        <v>#REF!</v>
      </c>
      <c r="I36" s="5" t="e">
        <f>IF((COUNTIFS(#REF!,$C36,#REF!,I$1))&gt;=1,"SIM","")</f>
        <v>#REF!</v>
      </c>
      <c r="J36" s="5" t="e">
        <f>IF((COUNTIFS(#REF!,$C36,#REF!,J$1))&gt;=1,"SIM","")</f>
        <v>#REF!</v>
      </c>
      <c r="K36" s="5" t="e">
        <f>IF((COUNTIFS(#REF!,$C36,#REF!,K$1))&gt;=1,"SIM","")</f>
        <v>#REF!</v>
      </c>
      <c r="L36" s="5" t="e">
        <f>IF((COUNTIFS(#REF!,$C36,#REF!,L$1))&gt;=1,"SIM","")</f>
        <v>#REF!</v>
      </c>
      <c r="M36" s="5" t="e">
        <f>IF((COUNTIFS(#REF!,$C36,#REF!,M$1))&gt;=1,"SIM","")</f>
        <v>#REF!</v>
      </c>
      <c r="N36" s="5" t="e">
        <f>IF((COUNTIFS(#REF!,$C36,#REF!,N$1))&gt;=1,"SIM","")</f>
        <v>#REF!</v>
      </c>
      <c r="O36" s="5"/>
      <c r="P36" s="5" t="e">
        <f>IF((COUNTIFS(#REF!,$C36,#REF!,P$1))&gt;=1,"SIM","")</f>
        <v>#REF!</v>
      </c>
      <c r="Q36" s="5" t="e">
        <f>IF((COUNTIFS(#REF!,$C36,#REF!,Q$1))&gt;=1,"SIM","")</f>
        <v>#REF!</v>
      </c>
      <c r="R36" s="5" t="e">
        <f>IF((COUNTIFS(#REF!,$C36,#REF!,"*CARTA*"))&gt;=1,"SIM","")</f>
        <v>#REF!</v>
      </c>
      <c r="S36" s="5" t="e">
        <f>IF((COUNTIFS(#REF!,$C36,#REF!,"*CARTA NOTIFICAÇÃO/DEVOL*"))&gt;=1,"SIM","")</f>
        <v>#REF!</v>
      </c>
      <c r="T36" s="5" t="e">
        <f>IF((COUNTIFS(#REF!,$C36,#REF!,"*LIGAÇÃO ATIVA DEV PRIN/LOC*"))&gt;=1,"SIM","")</f>
        <v>#REF!</v>
      </c>
    </row>
    <row r="37" spans="1:20">
      <c r="A37" s="24" t="s">
        <v>2153</v>
      </c>
      <c r="B37" s="24" t="s">
        <v>13</v>
      </c>
      <c r="C37" s="24" t="s">
        <v>14</v>
      </c>
      <c r="D37" s="5" t="e">
        <f>IF((COUNTIFS(#REF!,$C37,#REF!,"*163*"))&gt;=1,"SIM","")</f>
        <v>#REF!</v>
      </c>
      <c r="E37" s="5" t="e">
        <f>IF((COUNTIFS(#REF!,$C37,#REF!,E$1))&gt;=1,"SIM","")</f>
        <v>#REF!</v>
      </c>
      <c r="F37" s="5" t="e">
        <f>IF((COUNTIFS(#REF!,$C37,#REF!,F$1))&gt;=1,"SIM","")</f>
        <v>#REF!</v>
      </c>
      <c r="G37" s="5" t="e">
        <f>IF((COUNTIFS(#REF!,$C37,#REF!,"*606*"))&gt;=1,"SIM","")</f>
        <v>#REF!</v>
      </c>
      <c r="H37" s="5" t="e">
        <f>IF((COUNTIFS(#REF!,$C37,#REF!,"*605*"))&gt;=1,"SIM","")</f>
        <v>#REF!</v>
      </c>
      <c r="I37" s="5" t="e">
        <f>IF((COUNTIFS(#REF!,$C37,#REF!,I$1))&gt;=1,"SIM","")</f>
        <v>#REF!</v>
      </c>
      <c r="J37" s="5" t="e">
        <f>IF((COUNTIFS(#REF!,$C37,#REF!,J$1))&gt;=1,"SIM","")</f>
        <v>#REF!</v>
      </c>
      <c r="K37" s="5" t="e">
        <f>IF((COUNTIFS(#REF!,$C37,#REF!,K$1))&gt;=1,"SIM","")</f>
        <v>#REF!</v>
      </c>
      <c r="L37" s="5" t="e">
        <f>IF((COUNTIFS(#REF!,$C37,#REF!,L$1))&gt;=1,"SIM","")</f>
        <v>#REF!</v>
      </c>
      <c r="M37" s="5" t="e">
        <f>IF((COUNTIFS(#REF!,$C37,#REF!,M$1))&gt;=1,"SIM","")</f>
        <v>#REF!</v>
      </c>
      <c r="N37" s="5" t="e">
        <f>IF((COUNTIFS(#REF!,$C37,#REF!,N$1))&gt;=1,"SIM","")</f>
        <v>#REF!</v>
      </c>
      <c r="O37" s="5"/>
      <c r="P37" s="5" t="e">
        <f>IF((COUNTIFS(#REF!,$C37,#REF!,P$1))&gt;=1,"SIM","")</f>
        <v>#REF!</v>
      </c>
      <c r="Q37" s="5" t="e">
        <f>IF((COUNTIFS(#REF!,$C37,#REF!,Q$1))&gt;=1,"SIM","")</f>
        <v>#REF!</v>
      </c>
      <c r="R37" s="5" t="e">
        <f>IF((COUNTIFS(#REF!,$C37,#REF!,"*CARTA*"))&gt;=1,"SIM","")</f>
        <v>#REF!</v>
      </c>
      <c r="S37" s="5" t="e">
        <f>IF((COUNTIFS(#REF!,$C37,#REF!,"*CARTA NOTIFICAÇÃO/DEVOL*"))&gt;=1,"SIM","")</f>
        <v>#REF!</v>
      </c>
      <c r="T37" s="5" t="e">
        <f>IF((COUNTIFS(#REF!,$C37,#REF!,"*LIGAÇÃO ATIVA DEV PRIN/LOC*"))&gt;=1,"SIM","")</f>
        <v>#REF!</v>
      </c>
    </row>
    <row r="38" spans="1:20">
      <c r="A38" s="24" t="s">
        <v>2153</v>
      </c>
      <c r="B38" s="24" t="s">
        <v>997</v>
      </c>
      <c r="C38" s="24" t="s">
        <v>998</v>
      </c>
      <c r="D38" s="5" t="e">
        <f>IF((COUNTIFS(#REF!,$C38,#REF!,"*163*"))&gt;=1,"SIM","")</f>
        <v>#REF!</v>
      </c>
      <c r="E38" s="5" t="e">
        <f>IF((COUNTIFS(#REF!,$C38,#REF!,E$1))&gt;=1,"SIM","")</f>
        <v>#REF!</v>
      </c>
      <c r="F38" s="5" t="e">
        <f>IF((COUNTIFS(#REF!,$C38,#REF!,F$1))&gt;=1,"SIM","")</f>
        <v>#REF!</v>
      </c>
      <c r="G38" s="5" t="e">
        <f>IF((COUNTIFS(#REF!,$C38,#REF!,"*606*"))&gt;=1,"SIM","")</f>
        <v>#REF!</v>
      </c>
      <c r="H38" s="5" t="e">
        <f>IF((COUNTIFS(#REF!,$C38,#REF!,"*605*"))&gt;=1,"SIM","")</f>
        <v>#REF!</v>
      </c>
      <c r="I38" s="5" t="e">
        <f>IF((COUNTIFS(#REF!,$C38,#REF!,I$1))&gt;=1,"SIM","")</f>
        <v>#REF!</v>
      </c>
      <c r="J38" s="5" t="e">
        <f>IF((COUNTIFS(#REF!,$C38,#REF!,J$1))&gt;=1,"SIM","")</f>
        <v>#REF!</v>
      </c>
      <c r="K38" s="5" t="e">
        <f>IF((COUNTIFS(#REF!,$C38,#REF!,K$1))&gt;=1,"SIM","")</f>
        <v>#REF!</v>
      </c>
      <c r="L38" s="5" t="e">
        <f>IF((COUNTIFS(#REF!,$C38,#REF!,L$1))&gt;=1,"SIM","")</f>
        <v>#REF!</v>
      </c>
      <c r="M38" s="5" t="e">
        <f>IF((COUNTIFS(#REF!,$C38,#REF!,M$1))&gt;=1,"SIM","")</f>
        <v>#REF!</v>
      </c>
      <c r="N38" s="5" t="e">
        <f>IF((COUNTIFS(#REF!,$C38,#REF!,N$1))&gt;=1,"SIM","")</f>
        <v>#REF!</v>
      </c>
      <c r="O38" s="5"/>
      <c r="P38" s="5" t="e">
        <f>IF((COUNTIFS(#REF!,$C38,#REF!,P$1))&gt;=1,"SIM","")</f>
        <v>#REF!</v>
      </c>
      <c r="Q38" s="5" t="e">
        <f>IF((COUNTIFS(#REF!,$C38,#REF!,Q$1))&gt;=1,"SIM","")</f>
        <v>#REF!</v>
      </c>
      <c r="R38" s="5" t="e">
        <f>IF((COUNTIFS(#REF!,$C38,#REF!,"*CARTA*"))&gt;=1,"SIM","")</f>
        <v>#REF!</v>
      </c>
      <c r="S38" s="5" t="e">
        <f>IF((COUNTIFS(#REF!,$C38,#REF!,"*CARTA NOTIFICAÇÃO/DEVOL*"))&gt;=1,"SIM","")</f>
        <v>#REF!</v>
      </c>
      <c r="T38" s="5" t="e">
        <f>IF((COUNTIFS(#REF!,$C38,#REF!,"*LIGAÇÃO ATIVA DEV PRIN/LOC*"))&gt;=1,"SIM","")</f>
        <v>#REF!</v>
      </c>
    </row>
    <row r="39" spans="1:20">
      <c r="A39" s="24" t="s">
        <v>2153</v>
      </c>
      <c r="B39" s="24" t="s">
        <v>1134</v>
      </c>
      <c r="C39" s="24" t="s">
        <v>1135</v>
      </c>
      <c r="D39" s="5" t="e">
        <f>IF((COUNTIFS(#REF!,$C39,#REF!,"*163*"))&gt;=1,"SIM","")</f>
        <v>#REF!</v>
      </c>
      <c r="E39" s="5" t="e">
        <f>IF((COUNTIFS(#REF!,$C39,#REF!,E$1))&gt;=1,"SIM","")</f>
        <v>#REF!</v>
      </c>
      <c r="F39" s="5" t="e">
        <f>IF((COUNTIFS(#REF!,$C39,#REF!,F$1))&gt;=1,"SIM","")</f>
        <v>#REF!</v>
      </c>
      <c r="G39" s="5" t="e">
        <f>IF((COUNTIFS(#REF!,$C39,#REF!,"*606*"))&gt;=1,"SIM","")</f>
        <v>#REF!</v>
      </c>
      <c r="H39" s="5" t="e">
        <f>IF((COUNTIFS(#REF!,$C39,#REF!,"*605*"))&gt;=1,"SIM","")</f>
        <v>#REF!</v>
      </c>
      <c r="I39" s="5" t="e">
        <f>IF((COUNTIFS(#REF!,$C39,#REF!,I$1))&gt;=1,"SIM","")</f>
        <v>#REF!</v>
      </c>
      <c r="J39" s="5" t="e">
        <f>IF((COUNTIFS(#REF!,$C39,#REF!,J$1))&gt;=1,"SIM","")</f>
        <v>#REF!</v>
      </c>
      <c r="K39" s="5" t="e">
        <f>IF((COUNTIFS(#REF!,$C39,#REF!,K$1))&gt;=1,"SIM","")</f>
        <v>#REF!</v>
      </c>
      <c r="L39" s="5" t="e">
        <f>IF((COUNTIFS(#REF!,$C39,#REF!,L$1))&gt;=1,"SIM","")</f>
        <v>#REF!</v>
      </c>
      <c r="M39" s="5" t="e">
        <f>IF((COUNTIFS(#REF!,$C39,#REF!,M$1))&gt;=1,"SIM","")</f>
        <v>#REF!</v>
      </c>
      <c r="N39" s="5" t="e">
        <f>IF((COUNTIFS(#REF!,$C39,#REF!,N$1))&gt;=1,"SIM","")</f>
        <v>#REF!</v>
      </c>
      <c r="O39" s="5"/>
      <c r="P39" s="5" t="e">
        <f>IF((COUNTIFS(#REF!,$C39,#REF!,P$1))&gt;=1,"SIM","")</f>
        <v>#REF!</v>
      </c>
      <c r="Q39" s="5" t="e">
        <f>IF((COUNTIFS(#REF!,$C39,#REF!,Q$1))&gt;=1,"SIM","")</f>
        <v>#REF!</v>
      </c>
      <c r="R39" s="5" t="e">
        <f>IF((COUNTIFS(#REF!,$C39,#REF!,"*CARTA*"))&gt;=1,"SIM","")</f>
        <v>#REF!</v>
      </c>
      <c r="S39" s="5" t="e">
        <f>IF((COUNTIFS(#REF!,$C39,#REF!,"*CARTA NOTIFICAÇÃO/DEVOL*"))&gt;=1,"SIM","")</f>
        <v>#REF!</v>
      </c>
      <c r="T39" s="5" t="e">
        <f>IF((COUNTIFS(#REF!,$C39,#REF!,"*LIGAÇÃO ATIVA DEV PRIN/LOC*"))&gt;=1,"SIM","")</f>
        <v>#REF!</v>
      </c>
    </row>
    <row r="40" spans="1:20">
      <c r="A40" s="24" t="s">
        <v>2159</v>
      </c>
      <c r="B40" s="24" t="s">
        <v>1397</v>
      </c>
      <c r="C40" s="24" t="s">
        <v>1398</v>
      </c>
      <c r="D40" s="5" t="e">
        <f>IF((COUNTIFS(#REF!,$C40,#REF!,"*163*"))&gt;=1,"SIM","")</f>
        <v>#REF!</v>
      </c>
      <c r="E40" s="5" t="e">
        <f>IF((COUNTIFS(#REF!,$C40,#REF!,E$1))&gt;=1,"SIM","")</f>
        <v>#REF!</v>
      </c>
      <c r="F40" s="5" t="e">
        <f>IF((COUNTIFS(#REF!,$C40,#REF!,F$1))&gt;=1,"SIM","")</f>
        <v>#REF!</v>
      </c>
      <c r="G40" s="5" t="e">
        <f>IF((COUNTIFS(#REF!,$C40,#REF!,"*606*"))&gt;=1,"SIM","")</f>
        <v>#REF!</v>
      </c>
      <c r="H40" s="5" t="e">
        <f>IF((COUNTIFS(#REF!,$C40,#REF!,"*605*"))&gt;=1,"SIM","")</f>
        <v>#REF!</v>
      </c>
      <c r="I40" s="5" t="e">
        <f>IF((COUNTIFS(#REF!,$C40,#REF!,I$1))&gt;=1,"SIM","")</f>
        <v>#REF!</v>
      </c>
      <c r="J40" s="5" t="e">
        <f>IF((COUNTIFS(#REF!,$C40,#REF!,J$1))&gt;=1,"SIM","")</f>
        <v>#REF!</v>
      </c>
      <c r="K40" s="5" t="e">
        <f>IF((COUNTIFS(#REF!,$C40,#REF!,K$1))&gt;=1,"SIM","")</f>
        <v>#REF!</v>
      </c>
      <c r="L40" s="5" t="e">
        <f>IF((COUNTIFS(#REF!,$C40,#REF!,L$1))&gt;=1,"SIM","")</f>
        <v>#REF!</v>
      </c>
      <c r="M40" s="5" t="e">
        <f>IF((COUNTIFS(#REF!,$C40,#REF!,M$1))&gt;=1,"SIM","")</f>
        <v>#REF!</v>
      </c>
      <c r="N40" s="5" t="e">
        <f>IF((COUNTIFS(#REF!,$C40,#REF!,N$1))&gt;=1,"SIM","")</f>
        <v>#REF!</v>
      </c>
      <c r="O40" s="5"/>
      <c r="P40" s="5" t="e">
        <f>IF((COUNTIFS(#REF!,$C40,#REF!,P$1))&gt;=1,"SIM","")</f>
        <v>#REF!</v>
      </c>
      <c r="Q40" s="5" t="e">
        <f>IF((COUNTIFS(#REF!,$C40,#REF!,Q$1))&gt;=1,"SIM","")</f>
        <v>#REF!</v>
      </c>
      <c r="R40" s="5" t="e">
        <f>IF((COUNTIFS(#REF!,$C40,#REF!,"*CARTA*"))&gt;=1,"SIM","")</f>
        <v>#REF!</v>
      </c>
      <c r="S40" s="5" t="e">
        <f>IF((COUNTIFS(#REF!,$C40,#REF!,"*CARTA NOTIFICAÇÃO/DEVOL*"))&gt;=1,"SIM","")</f>
        <v>#REF!</v>
      </c>
      <c r="T40" s="5" t="e">
        <f>IF((COUNTIFS(#REF!,$C40,#REF!,"*LIGAÇÃO ATIVA DEV PRIN/LOC*"))&gt;=1,"SIM","")</f>
        <v>#REF!</v>
      </c>
    </row>
    <row r="41" spans="1:20">
      <c r="A41" s="24" t="s">
        <v>2153</v>
      </c>
      <c r="B41" s="24" t="s">
        <v>459</v>
      </c>
      <c r="C41" s="24" t="s">
        <v>460</v>
      </c>
      <c r="D41" s="5" t="e">
        <f>IF((COUNTIFS(#REF!,$C41,#REF!,"*163*"))&gt;=1,"SIM","")</f>
        <v>#REF!</v>
      </c>
      <c r="E41" s="5" t="e">
        <f>IF((COUNTIFS(#REF!,$C41,#REF!,E$1))&gt;=1,"SIM","")</f>
        <v>#REF!</v>
      </c>
      <c r="F41" s="5" t="e">
        <f>IF((COUNTIFS(#REF!,$C41,#REF!,F$1))&gt;=1,"SIM","")</f>
        <v>#REF!</v>
      </c>
      <c r="G41" s="5" t="e">
        <f>IF((COUNTIFS(#REF!,$C41,#REF!,"*606*"))&gt;=1,"SIM","")</f>
        <v>#REF!</v>
      </c>
      <c r="H41" s="5" t="e">
        <f>IF((COUNTIFS(#REF!,$C41,#REF!,"*605*"))&gt;=1,"SIM","")</f>
        <v>#REF!</v>
      </c>
      <c r="I41" s="5" t="e">
        <f>IF((COUNTIFS(#REF!,$C41,#REF!,I$1))&gt;=1,"SIM","")</f>
        <v>#REF!</v>
      </c>
      <c r="J41" s="5" t="e">
        <f>IF((COUNTIFS(#REF!,$C41,#REF!,J$1))&gt;=1,"SIM","")</f>
        <v>#REF!</v>
      </c>
      <c r="K41" s="5" t="e">
        <f>IF((COUNTIFS(#REF!,$C41,#REF!,K$1))&gt;=1,"SIM","")</f>
        <v>#REF!</v>
      </c>
      <c r="L41" s="5" t="e">
        <f>IF((COUNTIFS(#REF!,$C41,#REF!,L$1))&gt;=1,"SIM","")</f>
        <v>#REF!</v>
      </c>
      <c r="M41" s="5" t="e">
        <f>IF((COUNTIFS(#REF!,$C41,#REF!,M$1))&gt;=1,"SIM","")</f>
        <v>#REF!</v>
      </c>
      <c r="N41" s="5" t="e">
        <f>IF((COUNTIFS(#REF!,$C41,#REF!,N$1))&gt;=1,"SIM","")</f>
        <v>#REF!</v>
      </c>
      <c r="O41" s="5"/>
      <c r="P41" s="5" t="e">
        <f>IF((COUNTIFS(#REF!,$C41,#REF!,P$1))&gt;=1,"SIM","")</f>
        <v>#REF!</v>
      </c>
      <c r="Q41" s="5" t="e">
        <f>IF((COUNTIFS(#REF!,$C41,#REF!,Q$1))&gt;=1,"SIM","")</f>
        <v>#REF!</v>
      </c>
      <c r="R41" s="5" t="e">
        <f>IF((COUNTIFS(#REF!,$C41,#REF!,"*CARTA*"))&gt;=1,"SIM","")</f>
        <v>#REF!</v>
      </c>
      <c r="S41" s="5" t="e">
        <f>IF((COUNTIFS(#REF!,$C41,#REF!,"*CARTA NOTIFICAÇÃO/DEVOL*"))&gt;=1,"SIM","")</f>
        <v>#REF!</v>
      </c>
      <c r="T41" s="5" t="e">
        <f>IF((COUNTIFS(#REF!,$C41,#REF!,"*LIGAÇÃO ATIVA DEV PRIN/LOC*"))&gt;=1,"SIM","")</f>
        <v>#REF!</v>
      </c>
    </row>
    <row r="42" spans="1:20">
      <c r="A42" s="24" t="s">
        <v>2159</v>
      </c>
      <c r="B42" s="24" t="s">
        <v>1051</v>
      </c>
      <c r="C42" s="24" t="s">
        <v>1052</v>
      </c>
      <c r="D42" s="5" t="e">
        <f>IF((COUNTIFS(#REF!,$C42,#REF!,"*163*"))&gt;=1,"SIM","")</f>
        <v>#REF!</v>
      </c>
      <c r="E42" s="5" t="e">
        <f>IF((COUNTIFS(#REF!,$C42,#REF!,E$1))&gt;=1,"SIM","")</f>
        <v>#REF!</v>
      </c>
      <c r="F42" s="5" t="e">
        <f>IF((COUNTIFS(#REF!,$C42,#REF!,F$1))&gt;=1,"SIM","")</f>
        <v>#REF!</v>
      </c>
      <c r="G42" s="5" t="e">
        <f>IF((COUNTIFS(#REF!,$C42,#REF!,"*606*"))&gt;=1,"SIM","")</f>
        <v>#REF!</v>
      </c>
      <c r="H42" s="5" t="e">
        <f>IF((COUNTIFS(#REF!,$C42,#REF!,"*605*"))&gt;=1,"SIM","")</f>
        <v>#REF!</v>
      </c>
      <c r="I42" s="5" t="e">
        <f>IF((COUNTIFS(#REF!,$C42,#REF!,I$1))&gt;=1,"SIM","")</f>
        <v>#REF!</v>
      </c>
      <c r="J42" s="5" t="e">
        <f>IF((COUNTIFS(#REF!,$C42,#REF!,J$1))&gt;=1,"SIM","")</f>
        <v>#REF!</v>
      </c>
      <c r="K42" s="5" t="e">
        <f>IF((COUNTIFS(#REF!,$C42,#REF!,K$1))&gt;=1,"SIM","")</f>
        <v>#REF!</v>
      </c>
      <c r="L42" s="5" t="e">
        <f>IF((COUNTIFS(#REF!,$C42,#REF!,L$1))&gt;=1,"SIM","")</f>
        <v>#REF!</v>
      </c>
      <c r="M42" s="5" t="e">
        <f>IF((COUNTIFS(#REF!,$C42,#REF!,M$1))&gt;=1,"SIM","")</f>
        <v>#REF!</v>
      </c>
      <c r="N42" s="5" t="e">
        <f>IF((COUNTIFS(#REF!,$C42,#REF!,N$1))&gt;=1,"SIM","")</f>
        <v>#REF!</v>
      </c>
      <c r="O42" s="5"/>
      <c r="P42" s="5" t="e">
        <f>IF((COUNTIFS(#REF!,$C42,#REF!,P$1))&gt;=1,"SIM","")</f>
        <v>#REF!</v>
      </c>
      <c r="Q42" s="5" t="e">
        <f>IF((COUNTIFS(#REF!,$C42,#REF!,Q$1))&gt;=1,"SIM","")</f>
        <v>#REF!</v>
      </c>
      <c r="R42" s="5" t="e">
        <f>IF((COUNTIFS(#REF!,$C42,#REF!,"*CARTA*"))&gt;=1,"SIM","")</f>
        <v>#REF!</v>
      </c>
      <c r="S42" s="5" t="e">
        <f>IF((COUNTIFS(#REF!,$C42,#REF!,"*CARTA NOTIFICAÇÃO/DEVOL*"))&gt;=1,"SIM","")</f>
        <v>#REF!</v>
      </c>
      <c r="T42" s="5" t="e">
        <f>IF((COUNTIFS(#REF!,$C42,#REF!,"*LIGAÇÃO ATIVA DEV PRIN/LOC*"))&gt;=1,"SIM","")</f>
        <v>#REF!</v>
      </c>
    </row>
    <row r="43" spans="1:20">
      <c r="A43" s="24" t="s">
        <v>2159</v>
      </c>
      <c r="B43" s="24" t="s">
        <v>1010</v>
      </c>
      <c r="C43" s="24" t="s">
        <v>1011</v>
      </c>
      <c r="D43" s="5" t="e">
        <f>IF((COUNTIFS(#REF!,$C43,#REF!,"*163*"))&gt;=1,"SIM","")</f>
        <v>#REF!</v>
      </c>
      <c r="E43" s="5" t="e">
        <f>IF((COUNTIFS(#REF!,$C43,#REF!,E$1))&gt;=1,"SIM","")</f>
        <v>#REF!</v>
      </c>
      <c r="F43" s="5" t="e">
        <f>IF((COUNTIFS(#REF!,$C43,#REF!,F$1))&gt;=1,"SIM","")</f>
        <v>#REF!</v>
      </c>
      <c r="G43" s="5" t="e">
        <f>IF((COUNTIFS(#REF!,$C43,#REF!,"*606*"))&gt;=1,"SIM","")</f>
        <v>#REF!</v>
      </c>
      <c r="H43" s="5" t="e">
        <f>IF((COUNTIFS(#REF!,$C43,#REF!,"*605*"))&gt;=1,"SIM","")</f>
        <v>#REF!</v>
      </c>
      <c r="I43" s="5" t="e">
        <f>IF((COUNTIFS(#REF!,$C43,#REF!,I$1))&gt;=1,"SIM","")</f>
        <v>#REF!</v>
      </c>
      <c r="J43" s="5" t="e">
        <f>IF((COUNTIFS(#REF!,$C43,#REF!,J$1))&gt;=1,"SIM","")</f>
        <v>#REF!</v>
      </c>
      <c r="K43" s="5" t="e">
        <f>IF((COUNTIFS(#REF!,$C43,#REF!,K$1))&gt;=1,"SIM","")</f>
        <v>#REF!</v>
      </c>
      <c r="L43" s="5" t="e">
        <f>IF((COUNTIFS(#REF!,$C43,#REF!,L$1))&gt;=1,"SIM","")</f>
        <v>#REF!</v>
      </c>
      <c r="M43" s="5" t="e">
        <f>IF((COUNTIFS(#REF!,$C43,#REF!,M$1))&gt;=1,"SIM","")</f>
        <v>#REF!</v>
      </c>
      <c r="N43" s="5" t="e">
        <f>IF((COUNTIFS(#REF!,$C43,#REF!,N$1))&gt;=1,"SIM","")</f>
        <v>#REF!</v>
      </c>
      <c r="O43" s="5"/>
      <c r="P43" s="5" t="e">
        <f>IF((COUNTIFS(#REF!,$C43,#REF!,P$1))&gt;=1,"SIM","")</f>
        <v>#REF!</v>
      </c>
      <c r="Q43" s="5" t="e">
        <f>IF((COUNTIFS(#REF!,$C43,#REF!,Q$1))&gt;=1,"SIM","")</f>
        <v>#REF!</v>
      </c>
      <c r="R43" s="5" t="e">
        <f>IF((COUNTIFS(#REF!,$C43,#REF!,"*CARTA*"))&gt;=1,"SIM","")</f>
        <v>#REF!</v>
      </c>
      <c r="S43" s="5" t="e">
        <f>IF((COUNTIFS(#REF!,$C43,#REF!,"*CARTA NOTIFICAÇÃO/DEVOL*"))&gt;=1,"SIM","")</f>
        <v>#REF!</v>
      </c>
      <c r="T43" s="5" t="e">
        <f>IF((COUNTIFS(#REF!,$C43,#REF!,"*LIGAÇÃO ATIVA DEV PRIN/LOC*"))&gt;=1,"SIM","")</f>
        <v>#REF!</v>
      </c>
    </row>
    <row r="44" spans="1:20">
      <c r="A44" s="24" t="s">
        <v>2159</v>
      </c>
      <c r="B44" s="24" t="s">
        <v>982</v>
      </c>
      <c r="C44" s="24" t="s">
        <v>983</v>
      </c>
      <c r="D44" s="5" t="e">
        <f>IF((COUNTIFS(#REF!,$C44,#REF!,"*163*"))&gt;=1,"SIM","")</f>
        <v>#REF!</v>
      </c>
      <c r="E44" s="5" t="e">
        <f>IF((COUNTIFS(#REF!,$C44,#REF!,E$1))&gt;=1,"SIM","")</f>
        <v>#REF!</v>
      </c>
      <c r="F44" s="5" t="e">
        <f>IF((COUNTIFS(#REF!,$C44,#REF!,F$1))&gt;=1,"SIM","")</f>
        <v>#REF!</v>
      </c>
      <c r="G44" s="5" t="e">
        <f>IF((COUNTIFS(#REF!,$C44,#REF!,"*606*"))&gt;=1,"SIM","")</f>
        <v>#REF!</v>
      </c>
      <c r="H44" s="5" t="e">
        <f>IF((COUNTIFS(#REF!,$C44,#REF!,"*605*"))&gt;=1,"SIM","")</f>
        <v>#REF!</v>
      </c>
      <c r="I44" s="5" t="e">
        <f>IF((COUNTIFS(#REF!,$C44,#REF!,I$1))&gt;=1,"SIM","")</f>
        <v>#REF!</v>
      </c>
      <c r="J44" s="5" t="e">
        <f>IF((COUNTIFS(#REF!,$C44,#REF!,J$1))&gt;=1,"SIM","")</f>
        <v>#REF!</v>
      </c>
      <c r="K44" s="5" t="e">
        <f>IF((COUNTIFS(#REF!,$C44,#REF!,K$1))&gt;=1,"SIM","")</f>
        <v>#REF!</v>
      </c>
      <c r="L44" s="5" t="e">
        <f>IF((COUNTIFS(#REF!,$C44,#REF!,L$1))&gt;=1,"SIM","")</f>
        <v>#REF!</v>
      </c>
      <c r="M44" s="5" t="e">
        <f>IF((COUNTIFS(#REF!,$C44,#REF!,M$1))&gt;=1,"SIM","")</f>
        <v>#REF!</v>
      </c>
      <c r="N44" s="5" t="e">
        <f>IF((COUNTIFS(#REF!,$C44,#REF!,N$1))&gt;=1,"SIM","")</f>
        <v>#REF!</v>
      </c>
      <c r="O44" s="5"/>
      <c r="P44" s="5" t="e">
        <f>IF((COUNTIFS(#REF!,$C44,#REF!,P$1))&gt;=1,"SIM","")</f>
        <v>#REF!</v>
      </c>
      <c r="Q44" s="5" t="e">
        <f>IF((COUNTIFS(#REF!,$C44,#REF!,Q$1))&gt;=1,"SIM","")</f>
        <v>#REF!</v>
      </c>
      <c r="R44" s="5" t="e">
        <f>IF((COUNTIFS(#REF!,$C44,#REF!,"*CARTA*"))&gt;=1,"SIM","")</f>
        <v>#REF!</v>
      </c>
      <c r="S44" s="5" t="e">
        <f>IF((COUNTIFS(#REF!,$C44,#REF!,"*CARTA NOTIFICAÇÃO/DEVOL*"))&gt;=1,"SIM","")</f>
        <v>#REF!</v>
      </c>
      <c r="T44" s="5" t="e">
        <f>IF((COUNTIFS(#REF!,$C44,#REF!,"*LIGAÇÃO ATIVA DEV PRIN/LOC*"))&gt;=1,"SIM","")</f>
        <v>#REF!</v>
      </c>
    </row>
    <row r="45" spans="1:20">
      <c r="A45" s="24" t="s">
        <v>2155</v>
      </c>
      <c r="B45" s="24" t="s">
        <v>2008</v>
      </c>
      <c r="C45" s="24" t="s">
        <v>896</v>
      </c>
      <c r="D45" s="5" t="e">
        <f>IF((COUNTIFS(#REF!,$C45,#REF!,"*163*"))&gt;=1,"SIM","")</f>
        <v>#REF!</v>
      </c>
      <c r="E45" s="5" t="e">
        <f>IF((COUNTIFS(#REF!,$C45,#REF!,E$1))&gt;=1,"SIM","")</f>
        <v>#REF!</v>
      </c>
      <c r="F45" s="5" t="e">
        <f>IF((COUNTIFS(#REF!,$C45,#REF!,F$1))&gt;=1,"SIM","")</f>
        <v>#REF!</v>
      </c>
      <c r="G45" s="5" t="e">
        <f>IF((COUNTIFS(#REF!,$C45,#REF!,"*606*"))&gt;=1,"SIM","")</f>
        <v>#REF!</v>
      </c>
      <c r="H45" s="5" t="e">
        <f>IF((COUNTIFS(#REF!,$C45,#REF!,"*605*"))&gt;=1,"SIM","")</f>
        <v>#REF!</v>
      </c>
      <c r="I45" s="5" t="e">
        <f>IF((COUNTIFS(#REF!,$C45,#REF!,I$1))&gt;=1,"SIM","")</f>
        <v>#REF!</v>
      </c>
      <c r="J45" s="5" t="e">
        <f>IF((COUNTIFS(#REF!,$C45,#REF!,J$1))&gt;=1,"SIM","")</f>
        <v>#REF!</v>
      </c>
      <c r="K45" s="5" t="e">
        <f>IF((COUNTIFS(#REF!,$C45,#REF!,K$1))&gt;=1,"SIM","")</f>
        <v>#REF!</v>
      </c>
      <c r="L45" s="5" t="e">
        <f>IF((COUNTIFS(#REF!,$C45,#REF!,L$1))&gt;=1,"SIM","")</f>
        <v>#REF!</v>
      </c>
      <c r="M45" s="5" t="e">
        <f>IF((COUNTIFS(#REF!,$C45,#REF!,M$1))&gt;=1,"SIM","")</f>
        <v>#REF!</v>
      </c>
      <c r="N45" s="5" t="e">
        <f>IF((COUNTIFS(#REF!,$C45,#REF!,N$1))&gt;=1,"SIM","")</f>
        <v>#REF!</v>
      </c>
      <c r="O45" s="5"/>
      <c r="P45" s="5" t="e">
        <f>IF((COUNTIFS(#REF!,$C45,#REF!,P$1))&gt;=1,"SIM","")</f>
        <v>#REF!</v>
      </c>
      <c r="Q45" s="5" t="e">
        <f>IF((COUNTIFS(#REF!,$C45,#REF!,Q$1))&gt;=1,"SIM","")</f>
        <v>#REF!</v>
      </c>
      <c r="R45" s="5" t="e">
        <f>IF((COUNTIFS(#REF!,$C45,#REF!,"*CARTA*"))&gt;=1,"SIM","")</f>
        <v>#REF!</v>
      </c>
      <c r="S45" s="5" t="e">
        <f>IF((COUNTIFS(#REF!,$C45,#REF!,"*CARTA NOTIFICAÇÃO/DEVOL*"))&gt;=1,"SIM","")</f>
        <v>#REF!</v>
      </c>
      <c r="T45" s="5" t="e">
        <f>IF((COUNTIFS(#REF!,$C45,#REF!,"*LIGAÇÃO ATIVA DEV PRIN/LOC*"))&gt;=1,"SIM","")</f>
        <v>#REF!</v>
      </c>
    </row>
    <row r="46" spans="1:20">
      <c r="A46" s="24" t="s">
        <v>2159</v>
      </c>
      <c r="B46" s="24" t="s">
        <v>1300</v>
      </c>
      <c r="C46" s="24" t="s">
        <v>1301</v>
      </c>
      <c r="D46" s="5" t="e">
        <f>IF((COUNTIFS(#REF!,$C46,#REF!,"*163*"))&gt;=1,"SIM","")</f>
        <v>#REF!</v>
      </c>
      <c r="E46" s="5" t="e">
        <f>IF((COUNTIFS(#REF!,$C46,#REF!,E$1))&gt;=1,"SIM","")</f>
        <v>#REF!</v>
      </c>
      <c r="F46" s="5" t="e">
        <f>IF((COUNTIFS(#REF!,$C46,#REF!,F$1))&gt;=1,"SIM","")</f>
        <v>#REF!</v>
      </c>
      <c r="G46" s="5" t="e">
        <f>IF((COUNTIFS(#REF!,$C46,#REF!,"*606*"))&gt;=1,"SIM","")</f>
        <v>#REF!</v>
      </c>
      <c r="H46" s="5" t="e">
        <f>IF((COUNTIFS(#REF!,$C46,#REF!,"*605*"))&gt;=1,"SIM","")</f>
        <v>#REF!</v>
      </c>
      <c r="I46" s="5" t="e">
        <f>IF((COUNTIFS(#REF!,$C46,#REF!,I$1))&gt;=1,"SIM","")</f>
        <v>#REF!</v>
      </c>
      <c r="J46" s="5" t="e">
        <f>IF((COUNTIFS(#REF!,$C46,#REF!,J$1))&gt;=1,"SIM","")</f>
        <v>#REF!</v>
      </c>
      <c r="K46" s="5" t="e">
        <f>IF((COUNTIFS(#REF!,$C46,#REF!,K$1))&gt;=1,"SIM","")</f>
        <v>#REF!</v>
      </c>
      <c r="L46" s="5" t="e">
        <f>IF((COUNTIFS(#REF!,$C46,#REF!,L$1))&gt;=1,"SIM","")</f>
        <v>#REF!</v>
      </c>
      <c r="M46" s="5" t="e">
        <f>IF((COUNTIFS(#REF!,$C46,#REF!,M$1))&gt;=1,"SIM","")</f>
        <v>#REF!</v>
      </c>
      <c r="N46" s="5" t="e">
        <f>IF((COUNTIFS(#REF!,$C46,#REF!,N$1))&gt;=1,"SIM","")</f>
        <v>#REF!</v>
      </c>
      <c r="O46" s="5"/>
      <c r="P46" s="5" t="e">
        <f>IF((COUNTIFS(#REF!,$C46,#REF!,P$1))&gt;=1,"SIM","")</f>
        <v>#REF!</v>
      </c>
      <c r="Q46" s="5" t="e">
        <f>IF((COUNTIFS(#REF!,$C46,#REF!,Q$1))&gt;=1,"SIM","")</f>
        <v>#REF!</v>
      </c>
      <c r="R46" s="5" t="e">
        <f>IF((COUNTIFS(#REF!,$C46,#REF!,"*CARTA*"))&gt;=1,"SIM","")</f>
        <v>#REF!</v>
      </c>
      <c r="S46" s="5" t="e">
        <f>IF((COUNTIFS(#REF!,$C46,#REF!,"*CARTA NOTIFICAÇÃO/DEVOL*"))&gt;=1,"SIM","")</f>
        <v>#REF!</v>
      </c>
      <c r="T46" s="5" t="e">
        <f>IF((COUNTIFS(#REF!,$C46,#REF!,"*LIGAÇÃO ATIVA DEV PRIN/LOC*"))&gt;=1,"SIM","")</f>
        <v>#REF!</v>
      </c>
    </row>
    <row r="47" spans="1:20">
      <c r="A47" s="24" t="s">
        <v>2159</v>
      </c>
      <c r="B47" s="24" t="s">
        <v>1570</v>
      </c>
      <c r="C47" s="24" t="s">
        <v>1571</v>
      </c>
      <c r="D47" s="5" t="e">
        <f>IF((COUNTIFS(#REF!,$C47,#REF!,"*163*"))&gt;=1,"SIM","")</f>
        <v>#REF!</v>
      </c>
      <c r="E47" s="5" t="e">
        <f>IF((COUNTIFS(#REF!,$C47,#REF!,E$1))&gt;=1,"SIM","")</f>
        <v>#REF!</v>
      </c>
      <c r="F47" s="5" t="e">
        <f>IF((COUNTIFS(#REF!,$C47,#REF!,F$1))&gt;=1,"SIM","")</f>
        <v>#REF!</v>
      </c>
      <c r="G47" s="5" t="e">
        <f>IF((COUNTIFS(#REF!,$C47,#REF!,"*606*"))&gt;=1,"SIM","")</f>
        <v>#REF!</v>
      </c>
      <c r="H47" s="5" t="e">
        <f>IF((COUNTIFS(#REF!,$C47,#REF!,"*605*"))&gt;=1,"SIM","")</f>
        <v>#REF!</v>
      </c>
      <c r="I47" s="5" t="e">
        <f>IF((COUNTIFS(#REF!,$C47,#REF!,I$1))&gt;=1,"SIM","")</f>
        <v>#REF!</v>
      </c>
      <c r="J47" s="5" t="e">
        <f>IF((COUNTIFS(#REF!,$C47,#REF!,J$1))&gt;=1,"SIM","")</f>
        <v>#REF!</v>
      </c>
      <c r="K47" s="5" t="e">
        <f>IF((COUNTIFS(#REF!,$C47,#REF!,K$1))&gt;=1,"SIM","")</f>
        <v>#REF!</v>
      </c>
      <c r="L47" s="5" t="e">
        <f>IF((COUNTIFS(#REF!,$C47,#REF!,L$1))&gt;=1,"SIM","")</f>
        <v>#REF!</v>
      </c>
      <c r="M47" s="5" t="e">
        <f>IF((COUNTIFS(#REF!,$C47,#REF!,M$1))&gt;=1,"SIM","")</f>
        <v>#REF!</v>
      </c>
      <c r="N47" s="5" t="e">
        <f>IF((COUNTIFS(#REF!,$C47,#REF!,N$1))&gt;=1,"SIM","")</f>
        <v>#REF!</v>
      </c>
      <c r="O47" s="5"/>
      <c r="P47" s="5" t="e">
        <f>IF((COUNTIFS(#REF!,$C47,#REF!,P$1))&gt;=1,"SIM","")</f>
        <v>#REF!</v>
      </c>
      <c r="Q47" s="5" t="e">
        <f>IF((COUNTIFS(#REF!,$C47,#REF!,Q$1))&gt;=1,"SIM","")</f>
        <v>#REF!</v>
      </c>
      <c r="R47" s="5" t="e">
        <f>IF((COUNTIFS(#REF!,$C47,#REF!,"*CARTA*"))&gt;=1,"SIM","")</f>
        <v>#REF!</v>
      </c>
      <c r="S47" s="5" t="e">
        <f>IF((COUNTIFS(#REF!,$C47,#REF!,"*CARTA NOTIFICAÇÃO/DEVOL*"))&gt;=1,"SIM","")</f>
        <v>#REF!</v>
      </c>
      <c r="T47" s="5" t="e">
        <f>IF((COUNTIFS(#REF!,$C47,#REF!,"*LIGAÇÃO ATIVA DEV PRIN/LOC*"))&gt;=1,"SIM","")</f>
        <v>#REF!</v>
      </c>
    </row>
    <row r="48" spans="1:20">
      <c r="A48" s="24" t="s">
        <v>2155</v>
      </c>
      <c r="B48" s="24" t="s">
        <v>17</v>
      </c>
      <c r="C48" s="24" t="s">
        <v>18</v>
      </c>
      <c r="D48" s="5" t="e">
        <f>IF((COUNTIFS(#REF!,$C48,#REF!,"*163*"))&gt;=1,"SIM","")</f>
        <v>#REF!</v>
      </c>
      <c r="E48" s="5" t="e">
        <f>IF((COUNTIFS(#REF!,$C48,#REF!,E$1))&gt;=1,"SIM","")</f>
        <v>#REF!</v>
      </c>
      <c r="F48" s="5" t="e">
        <f>IF((COUNTIFS(#REF!,$C48,#REF!,F$1))&gt;=1,"SIM","")</f>
        <v>#REF!</v>
      </c>
      <c r="G48" s="5" t="e">
        <f>IF((COUNTIFS(#REF!,$C48,#REF!,"*606*"))&gt;=1,"SIM","")</f>
        <v>#REF!</v>
      </c>
      <c r="H48" s="5" t="e">
        <f>IF((COUNTIFS(#REF!,$C48,#REF!,"*605*"))&gt;=1,"SIM","")</f>
        <v>#REF!</v>
      </c>
      <c r="I48" s="5" t="e">
        <f>IF((COUNTIFS(#REF!,$C48,#REF!,I$1))&gt;=1,"SIM","")</f>
        <v>#REF!</v>
      </c>
      <c r="J48" s="5" t="e">
        <f>IF((COUNTIFS(#REF!,$C48,#REF!,J$1))&gt;=1,"SIM","")</f>
        <v>#REF!</v>
      </c>
      <c r="K48" s="5" t="e">
        <f>IF((COUNTIFS(#REF!,$C48,#REF!,K$1))&gt;=1,"SIM","")</f>
        <v>#REF!</v>
      </c>
      <c r="L48" s="5" t="e">
        <f>IF((COUNTIFS(#REF!,$C48,#REF!,L$1))&gt;=1,"SIM","")</f>
        <v>#REF!</v>
      </c>
      <c r="M48" s="5" t="e">
        <f>IF((COUNTIFS(#REF!,$C48,#REF!,M$1))&gt;=1,"SIM","")</f>
        <v>#REF!</v>
      </c>
      <c r="N48" s="5" t="e">
        <f>IF((COUNTIFS(#REF!,$C48,#REF!,N$1))&gt;=1,"SIM","")</f>
        <v>#REF!</v>
      </c>
      <c r="O48" s="5"/>
      <c r="P48" s="5" t="e">
        <f>IF((COUNTIFS(#REF!,$C48,#REF!,P$1))&gt;=1,"SIM","")</f>
        <v>#REF!</v>
      </c>
      <c r="Q48" s="5" t="e">
        <f>IF((COUNTIFS(#REF!,$C48,#REF!,Q$1))&gt;=1,"SIM","")</f>
        <v>#REF!</v>
      </c>
      <c r="R48" s="5" t="e">
        <f>IF((COUNTIFS(#REF!,$C48,#REF!,"*CARTA*"))&gt;=1,"SIM","")</f>
        <v>#REF!</v>
      </c>
      <c r="S48" s="5" t="e">
        <f>IF((COUNTIFS(#REF!,$C48,#REF!,"*CARTA NOTIFICAÇÃO/DEVOL*"))&gt;=1,"SIM","")</f>
        <v>#REF!</v>
      </c>
      <c r="T48" s="5" t="e">
        <f>IF((COUNTIFS(#REF!,$C48,#REF!,"*LIGAÇÃO ATIVA DEV PRIN/LOC*"))&gt;=1,"SIM","")</f>
        <v>#REF!</v>
      </c>
    </row>
    <row r="49" spans="1:20">
      <c r="A49" s="24" t="s">
        <v>2153</v>
      </c>
      <c r="B49" s="24" t="s">
        <v>704</v>
      </c>
      <c r="C49" s="24" t="s">
        <v>705</v>
      </c>
      <c r="D49" s="5" t="e">
        <f>IF((COUNTIFS(#REF!,$C49,#REF!,"*163*"))&gt;=1,"SIM","")</f>
        <v>#REF!</v>
      </c>
      <c r="E49" s="5" t="e">
        <f>IF((COUNTIFS(#REF!,$C49,#REF!,E$1))&gt;=1,"SIM","")</f>
        <v>#REF!</v>
      </c>
      <c r="F49" s="5" t="e">
        <f>IF((COUNTIFS(#REF!,$C49,#REF!,F$1))&gt;=1,"SIM","")</f>
        <v>#REF!</v>
      </c>
      <c r="G49" s="5" t="e">
        <f>IF((COUNTIFS(#REF!,$C49,#REF!,"*606*"))&gt;=1,"SIM","")</f>
        <v>#REF!</v>
      </c>
      <c r="H49" s="5" t="e">
        <f>IF((COUNTIFS(#REF!,$C49,#REF!,"*605*"))&gt;=1,"SIM","")</f>
        <v>#REF!</v>
      </c>
      <c r="I49" s="5" t="e">
        <f>IF((COUNTIFS(#REF!,$C49,#REF!,I$1))&gt;=1,"SIM","")</f>
        <v>#REF!</v>
      </c>
      <c r="J49" s="5" t="e">
        <f>IF((COUNTIFS(#REF!,$C49,#REF!,J$1))&gt;=1,"SIM","")</f>
        <v>#REF!</v>
      </c>
      <c r="K49" s="5" t="e">
        <f>IF((COUNTIFS(#REF!,$C49,#REF!,K$1))&gt;=1,"SIM","")</f>
        <v>#REF!</v>
      </c>
      <c r="L49" s="5" t="e">
        <f>IF((COUNTIFS(#REF!,$C49,#REF!,L$1))&gt;=1,"SIM","")</f>
        <v>#REF!</v>
      </c>
      <c r="M49" s="5" t="e">
        <f>IF((COUNTIFS(#REF!,$C49,#REF!,M$1))&gt;=1,"SIM","")</f>
        <v>#REF!</v>
      </c>
      <c r="N49" s="5" t="e">
        <f>IF((COUNTIFS(#REF!,$C49,#REF!,N$1))&gt;=1,"SIM","")</f>
        <v>#REF!</v>
      </c>
      <c r="O49" s="5"/>
      <c r="P49" s="5" t="e">
        <f>IF((COUNTIFS(#REF!,$C49,#REF!,P$1))&gt;=1,"SIM","")</f>
        <v>#REF!</v>
      </c>
      <c r="Q49" s="5" t="e">
        <f>IF((COUNTIFS(#REF!,$C49,#REF!,Q$1))&gt;=1,"SIM","")</f>
        <v>#REF!</v>
      </c>
      <c r="R49" s="5" t="e">
        <f>IF((COUNTIFS(#REF!,$C49,#REF!,"*CARTA*"))&gt;=1,"SIM","")</f>
        <v>#REF!</v>
      </c>
      <c r="S49" s="5" t="e">
        <f>IF((COUNTIFS(#REF!,$C49,#REF!,"*CARTA NOTIFICAÇÃO/DEVOL*"))&gt;=1,"SIM","")</f>
        <v>#REF!</v>
      </c>
      <c r="T49" s="5" t="e">
        <f>IF((COUNTIFS(#REF!,$C49,#REF!,"*LIGAÇÃO ATIVA DEV PRIN/LOC*"))&gt;=1,"SIM","")</f>
        <v>#REF!</v>
      </c>
    </row>
    <row r="50" spans="1:20">
      <c r="A50" s="24" t="s">
        <v>2153</v>
      </c>
      <c r="B50" s="24" t="s">
        <v>1096</v>
      </c>
      <c r="C50" s="24" t="s">
        <v>1097</v>
      </c>
      <c r="D50" s="5" t="e">
        <f>IF((COUNTIFS(#REF!,$C50,#REF!,"*163*"))&gt;=1,"SIM","")</f>
        <v>#REF!</v>
      </c>
      <c r="E50" s="5" t="e">
        <f>IF((COUNTIFS(#REF!,$C50,#REF!,E$1))&gt;=1,"SIM","")</f>
        <v>#REF!</v>
      </c>
      <c r="F50" s="5" t="e">
        <f>IF((COUNTIFS(#REF!,$C50,#REF!,F$1))&gt;=1,"SIM","")</f>
        <v>#REF!</v>
      </c>
      <c r="G50" s="5" t="e">
        <f>IF((COUNTIFS(#REF!,$C50,#REF!,"*606*"))&gt;=1,"SIM","")</f>
        <v>#REF!</v>
      </c>
      <c r="H50" s="5" t="e">
        <f>IF((COUNTIFS(#REF!,$C50,#REF!,"*605*"))&gt;=1,"SIM","")</f>
        <v>#REF!</v>
      </c>
      <c r="I50" s="5" t="e">
        <f>IF((COUNTIFS(#REF!,$C50,#REF!,I$1))&gt;=1,"SIM","")</f>
        <v>#REF!</v>
      </c>
      <c r="J50" s="5" t="e">
        <f>IF((COUNTIFS(#REF!,$C50,#REF!,J$1))&gt;=1,"SIM","")</f>
        <v>#REF!</v>
      </c>
      <c r="K50" s="5" t="e">
        <f>IF((COUNTIFS(#REF!,$C50,#REF!,K$1))&gt;=1,"SIM","")</f>
        <v>#REF!</v>
      </c>
      <c r="L50" s="5" t="e">
        <f>IF((COUNTIFS(#REF!,$C50,#REF!,L$1))&gt;=1,"SIM","")</f>
        <v>#REF!</v>
      </c>
      <c r="M50" s="5" t="e">
        <f>IF((COUNTIFS(#REF!,$C50,#REF!,M$1))&gt;=1,"SIM","")</f>
        <v>#REF!</v>
      </c>
      <c r="N50" s="5" t="e">
        <f>IF((COUNTIFS(#REF!,$C50,#REF!,N$1))&gt;=1,"SIM","")</f>
        <v>#REF!</v>
      </c>
      <c r="O50" s="5"/>
      <c r="P50" s="5" t="e">
        <f>IF((COUNTIFS(#REF!,$C50,#REF!,P$1))&gt;=1,"SIM","")</f>
        <v>#REF!</v>
      </c>
      <c r="Q50" s="5" t="e">
        <f>IF((COUNTIFS(#REF!,$C50,#REF!,Q$1))&gt;=1,"SIM","")</f>
        <v>#REF!</v>
      </c>
      <c r="R50" s="5" t="e">
        <f>IF((COUNTIFS(#REF!,$C50,#REF!,"*CARTA*"))&gt;=1,"SIM","")</f>
        <v>#REF!</v>
      </c>
      <c r="S50" s="5" t="e">
        <f>IF((COUNTIFS(#REF!,$C50,#REF!,"*CARTA NOTIFICAÇÃO/DEVOL*"))&gt;=1,"SIM","")</f>
        <v>#REF!</v>
      </c>
      <c r="T50" s="5" t="e">
        <f>IF((COUNTIFS(#REF!,$C50,#REF!,"*LIGAÇÃO ATIVA DEV PRIN/LOC*"))&gt;=1,"SIM","")</f>
        <v>#REF!</v>
      </c>
    </row>
    <row r="51" spans="1:20">
      <c r="A51" s="24" t="s">
        <v>2155</v>
      </c>
      <c r="B51" s="24" t="s">
        <v>2349</v>
      </c>
      <c r="C51" s="24" t="s">
        <v>2350</v>
      </c>
      <c r="D51" s="5" t="e">
        <f>IF((COUNTIFS(#REF!,$C51,#REF!,"*163*"))&gt;=1,"SIM","")</f>
        <v>#REF!</v>
      </c>
      <c r="E51" s="5" t="e">
        <f>IF((COUNTIFS(#REF!,$C51,#REF!,E$1))&gt;=1,"SIM","")</f>
        <v>#REF!</v>
      </c>
      <c r="F51" s="5" t="e">
        <f>IF((COUNTIFS(#REF!,$C51,#REF!,F$1))&gt;=1,"SIM","")</f>
        <v>#REF!</v>
      </c>
      <c r="G51" s="5" t="e">
        <f>IF((COUNTIFS(#REF!,$C51,#REF!,"*606*"))&gt;=1,"SIM","")</f>
        <v>#REF!</v>
      </c>
      <c r="H51" s="5" t="e">
        <f>IF((COUNTIFS(#REF!,$C51,#REF!,"*605*"))&gt;=1,"SIM","")</f>
        <v>#REF!</v>
      </c>
      <c r="I51" s="5" t="e">
        <f>IF((COUNTIFS(#REF!,$C51,#REF!,I$1))&gt;=1,"SIM","")</f>
        <v>#REF!</v>
      </c>
      <c r="J51" s="5" t="e">
        <f>IF((COUNTIFS(#REF!,$C51,#REF!,J$1))&gt;=1,"SIM","")</f>
        <v>#REF!</v>
      </c>
      <c r="K51" s="5" t="e">
        <f>IF((COUNTIFS(#REF!,$C51,#REF!,K$1))&gt;=1,"SIM","")</f>
        <v>#REF!</v>
      </c>
      <c r="L51" s="5" t="e">
        <f>IF((COUNTIFS(#REF!,$C51,#REF!,L$1))&gt;=1,"SIM","")</f>
        <v>#REF!</v>
      </c>
      <c r="M51" s="5" t="e">
        <f>IF((COUNTIFS(#REF!,$C51,#REF!,M$1))&gt;=1,"SIM","")</f>
        <v>#REF!</v>
      </c>
      <c r="N51" s="5" t="e">
        <f>IF((COUNTIFS(#REF!,$C51,#REF!,N$1))&gt;=1,"SIM","")</f>
        <v>#REF!</v>
      </c>
      <c r="O51" s="5"/>
      <c r="P51" s="5" t="e">
        <f>IF((COUNTIFS(#REF!,$C51,#REF!,P$1))&gt;=1,"SIM","")</f>
        <v>#REF!</v>
      </c>
      <c r="Q51" s="5" t="e">
        <f>IF((COUNTIFS(#REF!,$C51,#REF!,Q$1))&gt;=1,"SIM","")</f>
        <v>#REF!</v>
      </c>
      <c r="R51" s="5" t="e">
        <f>IF((COUNTIFS(#REF!,$C51,#REF!,"*CARTA*"))&gt;=1,"SIM","")</f>
        <v>#REF!</v>
      </c>
      <c r="S51" s="5" t="e">
        <f>IF((COUNTIFS(#REF!,$C51,#REF!,"*CARTA NOTIFICAÇÃO/DEVOL*"))&gt;=1,"SIM","")</f>
        <v>#REF!</v>
      </c>
      <c r="T51" s="5" t="e">
        <f>IF((COUNTIFS(#REF!,$C51,#REF!,"*LIGAÇÃO ATIVA DEV PRIN/LOC*"))&gt;=1,"SIM","")</f>
        <v>#REF!</v>
      </c>
    </row>
    <row r="52" spans="1:20">
      <c r="A52" s="24" t="s">
        <v>2153</v>
      </c>
      <c r="B52" s="24" t="s">
        <v>23</v>
      </c>
      <c r="C52" s="24" t="s">
        <v>24</v>
      </c>
      <c r="D52" s="5" t="e">
        <f>IF((COUNTIFS(#REF!,$C52,#REF!,"*163*"))&gt;=1,"SIM","")</f>
        <v>#REF!</v>
      </c>
      <c r="E52" s="5" t="e">
        <f>IF((COUNTIFS(#REF!,$C52,#REF!,E$1))&gt;=1,"SIM","")</f>
        <v>#REF!</v>
      </c>
      <c r="F52" s="5" t="e">
        <f>IF((COUNTIFS(#REF!,$C52,#REF!,F$1))&gt;=1,"SIM","")</f>
        <v>#REF!</v>
      </c>
      <c r="G52" s="5" t="e">
        <f>IF((COUNTIFS(#REF!,$C52,#REF!,"*606*"))&gt;=1,"SIM","")</f>
        <v>#REF!</v>
      </c>
      <c r="H52" s="5" t="e">
        <f>IF((COUNTIFS(#REF!,$C52,#REF!,"*605*"))&gt;=1,"SIM","")</f>
        <v>#REF!</v>
      </c>
      <c r="I52" s="5" t="e">
        <f>IF((COUNTIFS(#REF!,$C52,#REF!,I$1))&gt;=1,"SIM","")</f>
        <v>#REF!</v>
      </c>
      <c r="J52" s="5" t="e">
        <f>IF((COUNTIFS(#REF!,$C52,#REF!,J$1))&gt;=1,"SIM","")</f>
        <v>#REF!</v>
      </c>
      <c r="K52" s="5" t="e">
        <f>IF((COUNTIFS(#REF!,$C52,#REF!,K$1))&gt;=1,"SIM","")</f>
        <v>#REF!</v>
      </c>
      <c r="L52" s="5" t="e">
        <f>IF((COUNTIFS(#REF!,$C52,#REF!,L$1))&gt;=1,"SIM","")</f>
        <v>#REF!</v>
      </c>
      <c r="M52" s="5" t="e">
        <f>IF((COUNTIFS(#REF!,$C52,#REF!,M$1))&gt;=1,"SIM","")</f>
        <v>#REF!</v>
      </c>
      <c r="N52" s="5" t="e">
        <f>IF((COUNTIFS(#REF!,$C52,#REF!,N$1))&gt;=1,"SIM","")</f>
        <v>#REF!</v>
      </c>
      <c r="O52" s="5"/>
      <c r="P52" s="5" t="e">
        <f>IF((COUNTIFS(#REF!,$C52,#REF!,P$1))&gt;=1,"SIM","")</f>
        <v>#REF!</v>
      </c>
      <c r="Q52" s="5" t="e">
        <f>IF((COUNTIFS(#REF!,$C52,#REF!,Q$1))&gt;=1,"SIM","")</f>
        <v>#REF!</v>
      </c>
      <c r="R52" s="5" t="e">
        <f>IF((COUNTIFS(#REF!,$C52,#REF!,"*CARTA*"))&gt;=1,"SIM","")</f>
        <v>#REF!</v>
      </c>
      <c r="S52" s="5" t="e">
        <f>IF((COUNTIFS(#REF!,$C52,#REF!,"*CARTA NOTIFICAÇÃO/DEVOL*"))&gt;=1,"SIM","")</f>
        <v>#REF!</v>
      </c>
      <c r="T52" s="5" t="e">
        <f>IF((COUNTIFS(#REF!,$C52,#REF!,"*LIGAÇÃO ATIVA DEV PRIN/LOC*"))&gt;=1,"SIM","")</f>
        <v>#REF!</v>
      </c>
    </row>
    <row r="53" spans="1:20">
      <c r="A53" s="24" t="s">
        <v>2157</v>
      </c>
      <c r="B53" s="24" t="s">
        <v>859</v>
      </c>
      <c r="C53" s="24" t="s">
        <v>860</v>
      </c>
      <c r="D53" s="5" t="e">
        <f>IF((COUNTIFS(#REF!,$C53,#REF!,"*163*"))&gt;=1,"SIM","")</f>
        <v>#REF!</v>
      </c>
      <c r="E53" s="5" t="e">
        <f>IF((COUNTIFS(#REF!,$C53,#REF!,E$1))&gt;=1,"SIM","")</f>
        <v>#REF!</v>
      </c>
      <c r="F53" s="5" t="e">
        <f>IF((COUNTIFS(#REF!,$C53,#REF!,F$1))&gt;=1,"SIM","")</f>
        <v>#REF!</v>
      </c>
      <c r="G53" s="5" t="e">
        <f>IF((COUNTIFS(#REF!,$C53,#REF!,"*606*"))&gt;=1,"SIM","")</f>
        <v>#REF!</v>
      </c>
      <c r="H53" s="5" t="e">
        <f>IF((COUNTIFS(#REF!,$C53,#REF!,"*605*"))&gt;=1,"SIM","")</f>
        <v>#REF!</v>
      </c>
      <c r="I53" s="5" t="e">
        <f>IF((COUNTIFS(#REF!,$C53,#REF!,I$1))&gt;=1,"SIM","")</f>
        <v>#REF!</v>
      </c>
      <c r="J53" s="5" t="e">
        <f>IF((COUNTIFS(#REF!,$C53,#REF!,J$1))&gt;=1,"SIM","")</f>
        <v>#REF!</v>
      </c>
      <c r="K53" s="5" t="e">
        <f>IF((COUNTIFS(#REF!,$C53,#REF!,K$1))&gt;=1,"SIM","")</f>
        <v>#REF!</v>
      </c>
      <c r="L53" s="5" t="e">
        <f>IF((COUNTIFS(#REF!,$C53,#REF!,L$1))&gt;=1,"SIM","")</f>
        <v>#REF!</v>
      </c>
      <c r="M53" s="5" t="e">
        <f>IF((COUNTIFS(#REF!,$C53,#REF!,M$1))&gt;=1,"SIM","")</f>
        <v>#REF!</v>
      </c>
      <c r="N53" s="5" t="e">
        <f>IF((COUNTIFS(#REF!,$C53,#REF!,N$1))&gt;=1,"SIM","")</f>
        <v>#REF!</v>
      </c>
      <c r="O53" s="5"/>
      <c r="P53" s="5" t="e">
        <f>IF((COUNTIFS(#REF!,$C53,#REF!,P$1))&gt;=1,"SIM","")</f>
        <v>#REF!</v>
      </c>
      <c r="Q53" s="5" t="e">
        <f>IF((COUNTIFS(#REF!,$C53,#REF!,Q$1))&gt;=1,"SIM","")</f>
        <v>#REF!</v>
      </c>
      <c r="R53" s="5" t="e">
        <f>IF((COUNTIFS(#REF!,$C53,#REF!,"*CARTA*"))&gt;=1,"SIM","")</f>
        <v>#REF!</v>
      </c>
      <c r="S53" s="5" t="e">
        <f>IF((COUNTIFS(#REF!,$C53,#REF!,"*CARTA NOTIFICAÇÃO/DEVOL*"))&gt;=1,"SIM","")</f>
        <v>#REF!</v>
      </c>
      <c r="T53" s="5" t="e">
        <f>IF((COUNTIFS(#REF!,$C53,#REF!,"*LIGAÇÃO ATIVA DEV PRIN/LOC*"))&gt;=1,"SIM","")</f>
        <v>#REF!</v>
      </c>
    </row>
    <row r="54" spans="1:20">
      <c r="A54" s="24" t="s">
        <v>2157</v>
      </c>
      <c r="B54" s="24" t="s">
        <v>920</v>
      </c>
      <c r="C54" s="24" t="s">
        <v>921</v>
      </c>
      <c r="D54" s="5" t="e">
        <f>IF((COUNTIFS(#REF!,$C54,#REF!,"*163*"))&gt;=1,"SIM","")</f>
        <v>#REF!</v>
      </c>
      <c r="E54" s="5" t="e">
        <f>IF((COUNTIFS(#REF!,$C54,#REF!,E$1))&gt;=1,"SIM","")</f>
        <v>#REF!</v>
      </c>
      <c r="F54" s="5" t="e">
        <f>IF((COUNTIFS(#REF!,$C54,#REF!,F$1))&gt;=1,"SIM","")</f>
        <v>#REF!</v>
      </c>
      <c r="G54" s="5" t="e">
        <f>IF((COUNTIFS(#REF!,$C54,#REF!,"*606*"))&gt;=1,"SIM","")</f>
        <v>#REF!</v>
      </c>
      <c r="H54" s="5" t="e">
        <f>IF((COUNTIFS(#REF!,$C54,#REF!,"*605*"))&gt;=1,"SIM","")</f>
        <v>#REF!</v>
      </c>
      <c r="I54" s="5" t="e">
        <f>IF((COUNTIFS(#REF!,$C54,#REF!,I$1))&gt;=1,"SIM","")</f>
        <v>#REF!</v>
      </c>
      <c r="J54" s="5" t="e">
        <f>IF((COUNTIFS(#REF!,$C54,#REF!,J$1))&gt;=1,"SIM","")</f>
        <v>#REF!</v>
      </c>
      <c r="K54" s="5" t="e">
        <f>IF((COUNTIFS(#REF!,$C54,#REF!,K$1))&gt;=1,"SIM","")</f>
        <v>#REF!</v>
      </c>
      <c r="L54" s="5" t="e">
        <f>IF((COUNTIFS(#REF!,$C54,#REF!,L$1))&gt;=1,"SIM","")</f>
        <v>#REF!</v>
      </c>
      <c r="M54" s="5" t="e">
        <f>IF((COUNTIFS(#REF!,$C54,#REF!,M$1))&gt;=1,"SIM","")</f>
        <v>#REF!</v>
      </c>
      <c r="N54" s="5" t="e">
        <f>IF((COUNTIFS(#REF!,$C54,#REF!,N$1))&gt;=1,"SIM","")</f>
        <v>#REF!</v>
      </c>
      <c r="O54" s="5"/>
      <c r="P54" s="5" t="e">
        <f>IF((COUNTIFS(#REF!,$C54,#REF!,P$1))&gt;=1,"SIM","")</f>
        <v>#REF!</v>
      </c>
      <c r="Q54" s="5" t="e">
        <f>IF((COUNTIFS(#REF!,$C54,#REF!,Q$1))&gt;=1,"SIM","")</f>
        <v>#REF!</v>
      </c>
      <c r="R54" s="5" t="e">
        <f>IF((COUNTIFS(#REF!,$C54,#REF!,"*CARTA*"))&gt;=1,"SIM","")</f>
        <v>#REF!</v>
      </c>
      <c r="S54" s="5" t="e">
        <f>IF((COUNTIFS(#REF!,$C54,#REF!,"*CARTA NOTIFICAÇÃO/DEVOL*"))&gt;=1,"SIM","")</f>
        <v>#REF!</v>
      </c>
      <c r="T54" s="5" t="e">
        <f>IF((COUNTIFS(#REF!,$C54,#REF!,"*LIGAÇÃO ATIVA DEV PRIN/LOC*"))&gt;=1,"SIM","")</f>
        <v>#REF!</v>
      </c>
    </row>
    <row r="55" spans="1:20">
      <c r="A55" s="24" t="s">
        <v>2153</v>
      </c>
      <c r="B55" s="24" t="s">
        <v>702</v>
      </c>
      <c r="C55" s="24" t="s">
        <v>703</v>
      </c>
      <c r="D55" s="5" t="e">
        <f>IF((COUNTIFS(#REF!,$C55,#REF!,"*163*"))&gt;=1,"SIM","")</f>
        <v>#REF!</v>
      </c>
      <c r="E55" s="5" t="e">
        <f>IF((COUNTIFS(#REF!,$C55,#REF!,E$1))&gt;=1,"SIM","")</f>
        <v>#REF!</v>
      </c>
      <c r="F55" s="5" t="e">
        <f>IF((COUNTIFS(#REF!,$C55,#REF!,F$1))&gt;=1,"SIM","")</f>
        <v>#REF!</v>
      </c>
      <c r="G55" s="5" t="e">
        <f>IF((COUNTIFS(#REF!,$C55,#REF!,"*606*"))&gt;=1,"SIM","")</f>
        <v>#REF!</v>
      </c>
      <c r="H55" s="5" t="e">
        <f>IF((COUNTIFS(#REF!,$C55,#REF!,"*605*"))&gt;=1,"SIM","")</f>
        <v>#REF!</v>
      </c>
      <c r="I55" s="5" t="e">
        <f>IF((COUNTIFS(#REF!,$C55,#REF!,I$1))&gt;=1,"SIM","")</f>
        <v>#REF!</v>
      </c>
      <c r="J55" s="5" t="e">
        <f>IF((COUNTIFS(#REF!,$C55,#REF!,J$1))&gt;=1,"SIM","")</f>
        <v>#REF!</v>
      </c>
      <c r="K55" s="5" t="e">
        <f>IF((COUNTIFS(#REF!,$C55,#REF!,K$1))&gt;=1,"SIM","")</f>
        <v>#REF!</v>
      </c>
      <c r="L55" s="5" t="e">
        <f>IF((COUNTIFS(#REF!,$C55,#REF!,L$1))&gt;=1,"SIM","")</f>
        <v>#REF!</v>
      </c>
      <c r="M55" s="5" t="e">
        <f>IF((COUNTIFS(#REF!,$C55,#REF!,M$1))&gt;=1,"SIM","")</f>
        <v>#REF!</v>
      </c>
      <c r="N55" s="5" t="e">
        <f>IF((COUNTIFS(#REF!,$C55,#REF!,N$1))&gt;=1,"SIM","")</f>
        <v>#REF!</v>
      </c>
      <c r="O55" s="5"/>
      <c r="P55" s="5" t="e">
        <f>IF((COUNTIFS(#REF!,$C55,#REF!,P$1))&gt;=1,"SIM","")</f>
        <v>#REF!</v>
      </c>
      <c r="Q55" s="5" t="e">
        <f>IF((COUNTIFS(#REF!,$C55,#REF!,Q$1))&gt;=1,"SIM","")</f>
        <v>#REF!</v>
      </c>
      <c r="R55" s="5" t="e">
        <f>IF((COUNTIFS(#REF!,$C55,#REF!,"*CARTA*"))&gt;=1,"SIM","")</f>
        <v>#REF!</v>
      </c>
      <c r="S55" s="5" t="e">
        <f>IF((COUNTIFS(#REF!,$C55,#REF!,"*CARTA NOTIFICAÇÃO/DEVOL*"))&gt;=1,"SIM","")</f>
        <v>#REF!</v>
      </c>
      <c r="T55" s="5" t="e">
        <f>IF((COUNTIFS(#REF!,$C55,#REF!,"*LIGAÇÃO ATIVA DEV PRIN/LOC*"))&gt;=1,"SIM","")</f>
        <v>#REF!</v>
      </c>
    </row>
    <row r="56" spans="1:20">
      <c r="A56" s="24" t="s">
        <v>2153</v>
      </c>
      <c r="B56" s="24" t="s">
        <v>553</v>
      </c>
      <c r="C56" s="24" t="s">
        <v>554</v>
      </c>
      <c r="D56" s="5" t="e">
        <f>IF((COUNTIFS(#REF!,$C56,#REF!,"*163*"))&gt;=1,"SIM","")</f>
        <v>#REF!</v>
      </c>
      <c r="E56" s="5" t="e">
        <f>IF((COUNTIFS(#REF!,$C56,#REF!,E$1))&gt;=1,"SIM","")</f>
        <v>#REF!</v>
      </c>
      <c r="F56" s="5" t="e">
        <f>IF((COUNTIFS(#REF!,$C56,#REF!,F$1))&gt;=1,"SIM","")</f>
        <v>#REF!</v>
      </c>
      <c r="G56" s="5" t="e">
        <f>IF((COUNTIFS(#REF!,$C56,#REF!,"*606*"))&gt;=1,"SIM","")</f>
        <v>#REF!</v>
      </c>
      <c r="H56" s="5" t="e">
        <f>IF((COUNTIFS(#REF!,$C56,#REF!,"*605*"))&gt;=1,"SIM","")</f>
        <v>#REF!</v>
      </c>
      <c r="I56" s="5" t="e">
        <f>IF((COUNTIFS(#REF!,$C56,#REF!,I$1))&gt;=1,"SIM","")</f>
        <v>#REF!</v>
      </c>
      <c r="J56" s="5" t="e">
        <f>IF((COUNTIFS(#REF!,$C56,#REF!,J$1))&gt;=1,"SIM","")</f>
        <v>#REF!</v>
      </c>
      <c r="K56" s="5" t="e">
        <f>IF((COUNTIFS(#REF!,$C56,#REF!,K$1))&gt;=1,"SIM","")</f>
        <v>#REF!</v>
      </c>
      <c r="L56" s="5" t="e">
        <f>IF((COUNTIFS(#REF!,$C56,#REF!,L$1))&gt;=1,"SIM","")</f>
        <v>#REF!</v>
      </c>
      <c r="M56" s="5" t="e">
        <f>IF((COUNTIFS(#REF!,$C56,#REF!,M$1))&gt;=1,"SIM","")</f>
        <v>#REF!</v>
      </c>
      <c r="N56" s="5" t="e">
        <f>IF((COUNTIFS(#REF!,$C56,#REF!,N$1))&gt;=1,"SIM","")</f>
        <v>#REF!</v>
      </c>
      <c r="O56" s="5"/>
      <c r="P56" s="5" t="e">
        <f>IF((COUNTIFS(#REF!,$C56,#REF!,P$1))&gt;=1,"SIM","")</f>
        <v>#REF!</v>
      </c>
      <c r="Q56" s="5" t="e">
        <f>IF((COUNTIFS(#REF!,$C56,#REF!,Q$1))&gt;=1,"SIM","")</f>
        <v>#REF!</v>
      </c>
      <c r="R56" s="5" t="e">
        <f>IF((COUNTIFS(#REF!,$C56,#REF!,"*CARTA*"))&gt;=1,"SIM","")</f>
        <v>#REF!</v>
      </c>
      <c r="S56" s="5" t="e">
        <f>IF((COUNTIFS(#REF!,$C56,#REF!,"*CARTA NOTIFICAÇÃO/DEVOL*"))&gt;=1,"SIM","")</f>
        <v>#REF!</v>
      </c>
      <c r="T56" s="5" t="e">
        <f>IF((COUNTIFS(#REF!,$C56,#REF!,"*LIGAÇÃO ATIVA DEV PRIN/LOC*"))&gt;=1,"SIM","")</f>
        <v>#REF!</v>
      </c>
    </row>
    <row r="57" spans="1:20">
      <c r="A57" s="24" t="s">
        <v>2159</v>
      </c>
      <c r="B57" s="24" t="s">
        <v>1346</v>
      </c>
      <c r="C57" s="24" t="s">
        <v>1347</v>
      </c>
      <c r="D57" s="5" t="e">
        <f>IF((COUNTIFS(#REF!,$C57,#REF!,"*163*"))&gt;=1,"SIM","")</f>
        <v>#REF!</v>
      </c>
      <c r="E57" s="5" t="e">
        <f>IF((COUNTIFS(#REF!,$C57,#REF!,E$1))&gt;=1,"SIM","")</f>
        <v>#REF!</v>
      </c>
      <c r="F57" s="5" t="e">
        <f>IF((COUNTIFS(#REF!,$C57,#REF!,F$1))&gt;=1,"SIM","")</f>
        <v>#REF!</v>
      </c>
      <c r="G57" s="5" t="e">
        <f>IF((COUNTIFS(#REF!,$C57,#REF!,"*606*"))&gt;=1,"SIM","")</f>
        <v>#REF!</v>
      </c>
      <c r="H57" s="5" t="e">
        <f>IF((COUNTIFS(#REF!,$C57,#REF!,"*605*"))&gt;=1,"SIM","")</f>
        <v>#REF!</v>
      </c>
      <c r="I57" s="5" t="e">
        <f>IF((COUNTIFS(#REF!,$C57,#REF!,I$1))&gt;=1,"SIM","")</f>
        <v>#REF!</v>
      </c>
      <c r="J57" s="5" t="e">
        <f>IF((COUNTIFS(#REF!,$C57,#REF!,J$1))&gt;=1,"SIM","")</f>
        <v>#REF!</v>
      </c>
      <c r="K57" s="5" t="e">
        <f>IF((COUNTIFS(#REF!,$C57,#REF!,K$1))&gt;=1,"SIM","")</f>
        <v>#REF!</v>
      </c>
      <c r="L57" s="5" t="e">
        <f>IF((COUNTIFS(#REF!,$C57,#REF!,L$1))&gt;=1,"SIM","")</f>
        <v>#REF!</v>
      </c>
      <c r="M57" s="5" t="e">
        <f>IF((COUNTIFS(#REF!,$C57,#REF!,M$1))&gt;=1,"SIM","")</f>
        <v>#REF!</v>
      </c>
      <c r="N57" s="5" t="e">
        <f>IF((COUNTIFS(#REF!,$C57,#REF!,N$1))&gt;=1,"SIM","")</f>
        <v>#REF!</v>
      </c>
      <c r="O57" s="5"/>
      <c r="P57" s="5" t="e">
        <f>IF((COUNTIFS(#REF!,$C57,#REF!,P$1))&gt;=1,"SIM","")</f>
        <v>#REF!</v>
      </c>
      <c r="Q57" s="5" t="e">
        <f>IF((COUNTIFS(#REF!,$C57,#REF!,Q$1))&gt;=1,"SIM","")</f>
        <v>#REF!</v>
      </c>
      <c r="R57" s="5" t="e">
        <f>IF((COUNTIFS(#REF!,$C57,#REF!,"*CARTA*"))&gt;=1,"SIM","")</f>
        <v>#REF!</v>
      </c>
      <c r="S57" s="5" t="e">
        <f>IF((COUNTIFS(#REF!,$C57,#REF!,"*CARTA NOTIFICAÇÃO/DEVOL*"))&gt;=1,"SIM","")</f>
        <v>#REF!</v>
      </c>
      <c r="T57" s="5" t="e">
        <f>IF((COUNTIFS(#REF!,$C57,#REF!,"*LIGAÇÃO ATIVA DEV PRIN/LOC*"))&gt;=1,"SIM","")</f>
        <v>#REF!</v>
      </c>
    </row>
    <row r="58" spans="1:20">
      <c r="A58" s="24" t="s">
        <v>2153</v>
      </c>
      <c r="B58" s="24" t="s">
        <v>16</v>
      </c>
      <c r="C58" s="24" t="s">
        <v>2429</v>
      </c>
      <c r="D58" s="5" t="e">
        <f>IF((COUNTIFS(#REF!,$C58,#REF!,"*163*"))&gt;=1,"SIM","")</f>
        <v>#REF!</v>
      </c>
      <c r="E58" s="5" t="e">
        <f>IF((COUNTIFS(#REF!,$C58,#REF!,E$1))&gt;=1,"SIM","")</f>
        <v>#REF!</v>
      </c>
      <c r="F58" s="5" t="e">
        <f>IF((COUNTIFS(#REF!,$C58,#REF!,F$1))&gt;=1,"SIM","")</f>
        <v>#REF!</v>
      </c>
      <c r="G58" s="5" t="e">
        <f>IF((COUNTIFS(#REF!,$C58,#REF!,"*606*"))&gt;=1,"SIM","")</f>
        <v>#REF!</v>
      </c>
      <c r="H58" s="5" t="e">
        <f>IF((COUNTIFS(#REF!,$C58,#REF!,"*605*"))&gt;=1,"SIM","")</f>
        <v>#REF!</v>
      </c>
      <c r="I58" s="5" t="e">
        <f>IF((COUNTIFS(#REF!,$C58,#REF!,I$1))&gt;=1,"SIM","")</f>
        <v>#REF!</v>
      </c>
      <c r="J58" s="5" t="e">
        <f>IF((COUNTIFS(#REF!,$C58,#REF!,J$1))&gt;=1,"SIM","")</f>
        <v>#REF!</v>
      </c>
      <c r="K58" s="5" t="e">
        <f>IF((COUNTIFS(#REF!,$C58,#REF!,K$1))&gt;=1,"SIM","")</f>
        <v>#REF!</v>
      </c>
      <c r="L58" s="5" t="e">
        <f>IF((COUNTIFS(#REF!,$C58,#REF!,L$1))&gt;=1,"SIM","")</f>
        <v>#REF!</v>
      </c>
      <c r="M58" s="5" t="e">
        <f>IF((COUNTIFS(#REF!,$C58,#REF!,M$1))&gt;=1,"SIM","")</f>
        <v>#REF!</v>
      </c>
      <c r="N58" s="5" t="e">
        <f>IF((COUNTIFS(#REF!,$C58,#REF!,N$1))&gt;=1,"SIM","")</f>
        <v>#REF!</v>
      </c>
      <c r="O58" s="5"/>
      <c r="P58" s="5" t="e">
        <f>IF((COUNTIFS(#REF!,$C58,#REF!,P$1))&gt;=1,"SIM","")</f>
        <v>#REF!</v>
      </c>
      <c r="Q58" s="5" t="e">
        <f>IF((COUNTIFS(#REF!,$C58,#REF!,Q$1))&gt;=1,"SIM","")</f>
        <v>#REF!</v>
      </c>
      <c r="R58" s="5" t="e">
        <f>IF((COUNTIFS(#REF!,$C58,#REF!,"*CARTA*"))&gt;=1,"SIM","")</f>
        <v>#REF!</v>
      </c>
      <c r="S58" s="5" t="e">
        <f>IF((COUNTIFS(#REF!,$C58,#REF!,"*CARTA NOTIFICAÇÃO/DEVOL*"))&gt;=1,"SIM","")</f>
        <v>#REF!</v>
      </c>
      <c r="T58" s="5" t="e">
        <f>IF((COUNTIFS(#REF!,$C58,#REF!,"*LIGAÇÃO ATIVA DEV PRIN/LOC*"))&gt;=1,"SIM","")</f>
        <v>#REF!</v>
      </c>
    </row>
    <row r="59" spans="1:20">
      <c r="A59" s="24" t="s">
        <v>2155</v>
      </c>
      <c r="B59" s="24" t="s">
        <v>559</v>
      </c>
      <c r="C59" s="24" t="s">
        <v>560</v>
      </c>
      <c r="D59" s="5" t="e">
        <f>IF((COUNTIFS(#REF!,$C59,#REF!,"*163*"))&gt;=1,"SIM","")</f>
        <v>#REF!</v>
      </c>
      <c r="E59" s="5" t="e">
        <f>IF((COUNTIFS(#REF!,$C59,#REF!,E$1))&gt;=1,"SIM","")</f>
        <v>#REF!</v>
      </c>
      <c r="F59" s="5" t="e">
        <f>IF((COUNTIFS(#REF!,$C59,#REF!,F$1))&gt;=1,"SIM","")</f>
        <v>#REF!</v>
      </c>
      <c r="G59" s="5" t="e">
        <f>IF((COUNTIFS(#REF!,$C59,#REF!,"*606*"))&gt;=1,"SIM","")</f>
        <v>#REF!</v>
      </c>
      <c r="H59" s="5" t="e">
        <f>IF((COUNTIFS(#REF!,$C59,#REF!,"*605*"))&gt;=1,"SIM","")</f>
        <v>#REF!</v>
      </c>
      <c r="I59" s="5" t="e">
        <f>IF((COUNTIFS(#REF!,$C59,#REF!,I$1))&gt;=1,"SIM","")</f>
        <v>#REF!</v>
      </c>
      <c r="J59" s="5" t="e">
        <f>IF((COUNTIFS(#REF!,$C59,#REF!,J$1))&gt;=1,"SIM","")</f>
        <v>#REF!</v>
      </c>
      <c r="K59" s="5" t="e">
        <f>IF((COUNTIFS(#REF!,$C59,#REF!,K$1))&gt;=1,"SIM","")</f>
        <v>#REF!</v>
      </c>
      <c r="L59" s="5" t="e">
        <f>IF((COUNTIFS(#REF!,$C59,#REF!,L$1))&gt;=1,"SIM","")</f>
        <v>#REF!</v>
      </c>
      <c r="M59" s="5" t="e">
        <f>IF((COUNTIFS(#REF!,$C59,#REF!,M$1))&gt;=1,"SIM","")</f>
        <v>#REF!</v>
      </c>
      <c r="N59" s="5" t="e">
        <f>IF((COUNTIFS(#REF!,$C59,#REF!,N$1))&gt;=1,"SIM","")</f>
        <v>#REF!</v>
      </c>
      <c r="O59" s="5"/>
      <c r="P59" s="5" t="e">
        <f>IF((COUNTIFS(#REF!,$C59,#REF!,P$1))&gt;=1,"SIM","")</f>
        <v>#REF!</v>
      </c>
      <c r="Q59" s="5" t="e">
        <f>IF((COUNTIFS(#REF!,$C59,#REF!,Q$1))&gt;=1,"SIM","")</f>
        <v>#REF!</v>
      </c>
      <c r="R59" s="5" t="e">
        <f>IF((COUNTIFS(#REF!,$C59,#REF!,"*CARTA*"))&gt;=1,"SIM","")</f>
        <v>#REF!</v>
      </c>
      <c r="S59" s="5" t="e">
        <f>IF((COUNTIFS(#REF!,$C59,#REF!,"*CARTA NOTIFICAÇÃO/DEVOL*"))&gt;=1,"SIM","")</f>
        <v>#REF!</v>
      </c>
      <c r="T59" s="5" t="e">
        <f>IF((COUNTIFS(#REF!,$C59,#REF!,"*LIGAÇÃO ATIVA DEV PRIN/LOC*"))&gt;=1,"SIM","")</f>
        <v>#REF!</v>
      </c>
    </row>
    <row r="60" spans="1:20">
      <c r="A60" s="24" t="s">
        <v>2153</v>
      </c>
      <c r="B60" s="24" t="s">
        <v>836</v>
      </c>
      <c r="C60" s="24" t="s">
        <v>837</v>
      </c>
      <c r="D60" s="5" t="e">
        <f>IF((COUNTIFS(#REF!,$C60,#REF!,"*163*"))&gt;=1,"SIM","")</f>
        <v>#REF!</v>
      </c>
      <c r="E60" s="5" t="e">
        <f>IF((COUNTIFS(#REF!,$C60,#REF!,E$1))&gt;=1,"SIM","")</f>
        <v>#REF!</v>
      </c>
      <c r="F60" s="5" t="e">
        <f>IF((COUNTIFS(#REF!,$C60,#REF!,F$1))&gt;=1,"SIM","")</f>
        <v>#REF!</v>
      </c>
      <c r="G60" s="5" t="e">
        <f>IF((COUNTIFS(#REF!,$C60,#REF!,"*606*"))&gt;=1,"SIM","")</f>
        <v>#REF!</v>
      </c>
      <c r="H60" s="5" t="e">
        <f>IF((COUNTIFS(#REF!,$C60,#REF!,"*605*"))&gt;=1,"SIM","")</f>
        <v>#REF!</v>
      </c>
      <c r="I60" s="5" t="e">
        <f>IF((COUNTIFS(#REF!,$C60,#REF!,I$1))&gt;=1,"SIM","")</f>
        <v>#REF!</v>
      </c>
      <c r="J60" s="5" t="e">
        <f>IF((COUNTIFS(#REF!,$C60,#REF!,J$1))&gt;=1,"SIM","")</f>
        <v>#REF!</v>
      </c>
      <c r="K60" s="5" t="e">
        <f>IF((COUNTIFS(#REF!,$C60,#REF!,K$1))&gt;=1,"SIM","")</f>
        <v>#REF!</v>
      </c>
      <c r="L60" s="5" t="e">
        <f>IF((COUNTIFS(#REF!,$C60,#REF!,L$1))&gt;=1,"SIM","")</f>
        <v>#REF!</v>
      </c>
      <c r="M60" s="5" t="e">
        <f>IF((COUNTIFS(#REF!,$C60,#REF!,M$1))&gt;=1,"SIM","")</f>
        <v>#REF!</v>
      </c>
      <c r="N60" s="5" t="e">
        <f>IF((COUNTIFS(#REF!,$C60,#REF!,N$1))&gt;=1,"SIM","")</f>
        <v>#REF!</v>
      </c>
      <c r="O60" s="5"/>
      <c r="P60" s="5" t="e">
        <f>IF((COUNTIFS(#REF!,$C60,#REF!,P$1))&gt;=1,"SIM","")</f>
        <v>#REF!</v>
      </c>
      <c r="Q60" s="5" t="e">
        <f>IF((COUNTIFS(#REF!,$C60,#REF!,Q$1))&gt;=1,"SIM","")</f>
        <v>#REF!</v>
      </c>
      <c r="R60" s="5" t="e">
        <f>IF((COUNTIFS(#REF!,$C60,#REF!,"*CARTA*"))&gt;=1,"SIM","")</f>
        <v>#REF!</v>
      </c>
      <c r="S60" s="5" t="e">
        <f>IF((COUNTIFS(#REF!,$C60,#REF!,"*CARTA NOTIFICAÇÃO/DEVOL*"))&gt;=1,"SIM","")</f>
        <v>#REF!</v>
      </c>
      <c r="T60" s="5" t="e">
        <f>IF((COUNTIFS(#REF!,$C60,#REF!,"*LIGAÇÃO ATIVA DEV PRIN/LOC*"))&gt;=1,"SIM","")</f>
        <v>#REF!</v>
      </c>
    </row>
    <row r="61" spans="1:20">
      <c r="A61" s="24" t="s">
        <v>2153</v>
      </c>
      <c r="B61" s="24" t="s">
        <v>592</v>
      </c>
      <c r="C61" s="24" t="s">
        <v>593</v>
      </c>
      <c r="D61" s="5" t="e">
        <f>IF((COUNTIFS(#REF!,$C61,#REF!,"*163*"))&gt;=1,"SIM","")</f>
        <v>#REF!</v>
      </c>
      <c r="E61" s="5" t="e">
        <f>IF((COUNTIFS(#REF!,$C61,#REF!,E$1))&gt;=1,"SIM","")</f>
        <v>#REF!</v>
      </c>
      <c r="F61" s="5" t="e">
        <f>IF((COUNTIFS(#REF!,$C61,#REF!,F$1))&gt;=1,"SIM","")</f>
        <v>#REF!</v>
      </c>
      <c r="G61" s="5" t="e">
        <f>IF((COUNTIFS(#REF!,$C61,#REF!,"*606*"))&gt;=1,"SIM","")</f>
        <v>#REF!</v>
      </c>
      <c r="H61" s="5" t="e">
        <f>IF((COUNTIFS(#REF!,$C61,#REF!,"*605*"))&gt;=1,"SIM","")</f>
        <v>#REF!</v>
      </c>
      <c r="I61" s="5" t="e">
        <f>IF((COUNTIFS(#REF!,$C61,#REF!,I$1))&gt;=1,"SIM","")</f>
        <v>#REF!</v>
      </c>
      <c r="J61" s="5" t="e">
        <f>IF((COUNTIFS(#REF!,$C61,#REF!,J$1))&gt;=1,"SIM","")</f>
        <v>#REF!</v>
      </c>
      <c r="K61" s="5" t="e">
        <f>IF((COUNTIFS(#REF!,$C61,#REF!,K$1))&gt;=1,"SIM","")</f>
        <v>#REF!</v>
      </c>
      <c r="L61" s="5" t="e">
        <f>IF((COUNTIFS(#REF!,$C61,#REF!,L$1))&gt;=1,"SIM","")</f>
        <v>#REF!</v>
      </c>
      <c r="M61" s="5" t="e">
        <f>IF((COUNTIFS(#REF!,$C61,#REF!,M$1))&gt;=1,"SIM","")</f>
        <v>#REF!</v>
      </c>
      <c r="N61" s="5" t="e">
        <f>IF((COUNTIFS(#REF!,$C61,#REF!,N$1))&gt;=1,"SIM","")</f>
        <v>#REF!</v>
      </c>
      <c r="O61" s="5"/>
      <c r="P61" s="5" t="e">
        <f>IF((COUNTIFS(#REF!,$C61,#REF!,P$1))&gt;=1,"SIM","")</f>
        <v>#REF!</v>
      </c>
      <c r="Q61" s="5" t="e">
        <f>IF((COUNTIFS(#REF!,$C61,#REF!,Q$1))&gt;=1,"SIM","")</f>
        <v>#REF!</v>
      </c>
      <c r="R61" s="5" t="e">
        <f>IF((COUNTIFS(#REF!,$C61,#REF!,"*CARTA*"))&gt;=1,"SIM","")</f>
        <v>#REF!</v>
      </c>
      <c r="S61" s="5" t="e">
        <f>IF((COUNTIFS(#REF!,$C61,#REF!,"*CARTA NOTIFICAÇÃO/DEVOL*"))&gt;=1,"SIM","")</f>
        <v>#REF!</v>
      </c>
      <c r="T61" s="5" t="e">
        <f>IF((COUNTIFS(#REF!,$C61,#REF!,"*LIGAÇÃO ATIVA DEV PRIN/LOC*"))&gt;=1,"SIM","")</f>
        <v>#REF!</v>
      </c>
    </row>
    <row r="62" spans="1:20">
      <c r="A62" s="24" t="s">
        <v>2153</v>
      </c>
      <c r="B62" s="24" t="s">
        <v>578</v>
      </c>
      <c r="C62" s="24" t="s">
        <v>579</v>
      </c>
      <c r="D62" s="5" t="e">
        <f>IF((COUNTIFS(#REF!,$C62,#REF!,"*163*"))&gt;=1,"SIM","")</f>
        <v>#REF!</v>
      </c>
      <c r="E62" s="5" t="e">
        <f>IF((COUNTIFS(#REF!,$C62,#REF!,E$1))&gt;=1,"SIM","")</f>
        <v>#REF!</v>
      </c>
      <c r="F62" s="5" t="e">
        <f>IF((COUNTIFS(#REF!,$C62,#REF!,F$1))&gt;=1,"SIM","")</f>
        <v>#REF!</v>
      </c>
      <c r="G62" s="5" t="e">
        <f>IF((COUNTIFS(#REF!,$C62,#REF!,"*606*"))&gt;=1,"SIM","")</f>
        <v>#REF!</v>
      </c>
      <c r="H62" s="5" t="e">
        <f>IF((COUNTIFS(#REF!,$C62,#REF!,"*605*"))&gt;=1,"SIM","")</f>
        <v>#REF!</v>
      </c>
      <c r="I62" s="5" t="e">
        <f>IF((COUNTIFS(#REF!,$C62,#REF!,I$1))&gt;=1,"SIM","")</f>
        <v>#REF!</v>
      </c>
      <c r="J62" s="5" t="e">
        <f>IF((COUNTIFS(#REF!,$C62,#REF!,J$1))&gt;=1,"SIM","")</f>
        <v>#REF!</v>
      </c>
      <c r="K62" s="5" t="e">
        <f>IF((COUNTIFS(#REF!,$C62,#REF!,K$1))&gt;=1,"SIM","")</f>
        <v>#REF!</v>
      </c>
      <c r="L62" s="5" t="e">
        <f>IF((COUNTIFS(#REF!,$C62,#REF!,L$1))&gt;=1,"SIM","")</f>
        <v>#REF!</v>
      </c>
      <c r="M62" s="5" t="e">
        <f>IF((COUNTIFS(#REF!,$C62,#REF!,M$1))&gt;=1,"SIM","")</f>
        <v>#REF!</v>
      </c>
      <c r="N62" s="5" t="e">
        <f>IF((COUNTIFS(#REF!,$C62,#REF!,N$1))&gt;=1,"SIM","")</f>
        <v>#REF!</v>
      </c>
      <c r="O62" s="5"/>
      <c r="P62" s="5" t="e">
        <f>IF((COUNTIFS(#REF!,$C62,#REF!,P$1))&gt;=1,"SIM","")</f>
        <v>#REF!</v>
      </c>
      <c r="Q62" s="5" t="e">
        <f>IF((COUNTIFS(#REF!,$C62,#REF!,Q$1))&gt;=1,"SIM","")</f>
        <v>#REF!</v>
      </c>
      <c r="R62" s="5" t="e">
        <f>IF((COUNTIFS(#REF!,$C62,#REF!,"*CARTA*"))&gt;=1,"SIM","")</f>
        <v>#REF!</v>
      </c>
      <c r="S62" s="5" t="e">
        <f>IF((COUNTIFS(#REF!,$C62,#REF!,"*CARTA NOTIFICAÇÃO/DEVOL*"))&gt;=1,"SIM","")</f>
        <v>#REF!</v>
      </c>
      <c r="T62" s="5" t="e">
        <f>IF((COUNTIFS(#REF!,$C62,#REF!,"*LIGAÇÃO ATIVA DEV PRIN/LOC*"))&gt;=1,"SIM","")</f>
        <v>#REF!</v>
      </c>
    </row>
    <row r="63" spans="1:20">
      <c r="A63" s="24" t="s">
        <v>2157</v>
      </c>
      <c r="B63" s="24" t="s">
        <v>2059</v>
      </c>
      <c r="C63" s="24" t="s">
        <v>2060</v>
      </c>
      <c r="D63" s="5" t="e">
        <f>IF((COUNTIFS(#REF!,$C63,#REF!,"*163*"))&gt;=1,"SIM","")</f>
        <v>#REF!</v>
      </c>
      <c r="E63" s="5" t="e">
        <f>IF((COUNTIFS(#REF!,$C63,#REF!,E$1))&gt;=1,"SIM","")</f>
        <v>#REF!</v>
      </c>
      <c r="F63" s="5" t="e">
        <f>IF((COUNTIFS(#REF!,$C63,#REF!,F$1))&gt;=1,"SIM","")</f>
        <v>#REF!</v>
      </c>
      <c r="G63" s="5" t="e">
        <f>IF((COUNTIFS(#REF!,$C63,#REF!,"*606*"))&gt;=1,"SIM","")</f>
        <v>#REF!</v>
      </c>
      <c r="H63" s="5" t="e">
        <f>IF((COUNTIFS(#REF!,$C63,#REF!,"*605*"))&gt;=1,"SIM","")</f>
        <v>#REF!</v>
      </c>
      <c r="I63" s="5" t="e">
        <f>IF((COUNTIFS(#REF!,$C63,#REF!,I$1))&gt;=1,"SIM","")</f>
        <v>#REF!</v>
      </c>
      <c r="J63" s="5" t="e">
        <f>IF((COUNTIFS(#REF!,$C63,#REF!,J$1))&gt;=1,"SIM","")</f>
        <v>#REF!</v>
      </c>
      <c r="K63" s="5" t="e">
        <f>IF((COUNTIFS(#REF!,$C63,#REF!,K$1))&gt;=1,"SIM","")</f>
        <v>#REF!</v>
      </c>
      <c r="L63" s="5" t="e">
        <f>IF((COUNTIFS(#REF!,$C63,#REF!,L$1))&gt;=1,"SIM","")</f>
        <v>#REF!</v>
      </c>
      <c r="M63" s="5" t="e">
        <f>IF((COUNTIFS(#REF!,$C63,#REF!,M$1))&gt;=1,"SIM","")</f>
        <v>#REF!</v>
      </c>
      <c r="N63" s="5" t="e">
        <f>IF((COUNTIFS(#REF!,$C63,#REF!,N$1))&gt;=1,"SIM","")</f>
        <v>#REF!</v>
      </c>
      <c r="O63" s="5"/>
      <c r="P63" s="5" t="e">
        <f>IF((COUNTIFS(#REF!,$C63,#REF!,P$1))&gt;=1,"SIM","")</f>
        <v>#REF!</v>
      </c>
      <c r="Q63" s="5" t="e">
        <f>IF((COUNTIFS(#REF!,$C63,#REF!,Q$1))&gt;=1,"SIM","")</f>
        <v>#REF!</v>
      </c>
      <c r="R63" s="5" t="e">
        <f>IF((COUNTIFS(#REF!,$C63,#REF!,"*CARTA*"))&gt;=1,"SIM","")</f>
        <v>#REF!</v>
      </c>
      <c r="S63" s="5" t="e">
        <f>IF((COUNTIFS(#REF!,$C63,#REF!,"*CARTA NOTIFICAÇÃO/DEVOL*"))&gt;=1,"SIM","")</f>
        <v>#REF!</v>
      </c>
      <c r="T63" s="5" t="e">
        <f>IF((COUNTIFS(#REF!,$C63,#REF!,"*LIGAÇÃO ATIVA DEV PRIN/LOC*"))&gt;=1,"SIM","")</f>
        <v>#REF!</v>
      </c>
    </row>
    <row r="64" spans="1:20">
      <c r="A64" s="24" t="s">
        <v>2153</v>
      </c>
      <c r="B64" s="24" t="s">
        <v>342</v>
      </c>
      <c r="C64" s="24" t="s">
        <v>343</v>
      </c>
      <c r="D64" s="5" t="e">
        <f>IF((COUNTIFS(#REF!,$C64,#REF!,"*163*"))&gt;=1,"SIM","")</f>
        <v>#REF!</v>
      </c>
      <c r="E64" s="5" t="e">
        <f>IF((COUNTIFS(#REF!,$C64,#REF!,E$1))&gt;=1,"SIM","")</f>
        <v>#REF!</v>
      </c>
      <c r="F64" s="5" t="e">
        <f>IF((COUNTIFS(#REF!,$C64,#REF!,F$1))&gt;=1,"SIM","")</f>
        <v>#REF!</v>
      </c>
      <c r="G64" s="5" t="e">
        <f>IF((COUNTIFS(#REF!,$C64,#REF!,"*606*"))&gt;=1,"SIM","")</f>
        <v>#REF!</v>
      </c>
      <c r="H64" s="5" t="e">
        <f>IF((COUNTIFS(#REF!,$C64,#REF!,"*605*"))&gt;=1,"SIM","")</f>
        <v>#REF!</v>
      </c>
      <c r="I64" s="5" t="e">
        <f>IF((COUNTIFS(#REF!,$C64,#REF!,I$1))&gt;=1,"SIM","")</f>
        <v>#REF!</v>
      </c>
      <c r="J64" s="5" t="e">
        <f>IF((COUNTIFS(#REF!,$C64,#REF!,J$1))&gt;=1,"SIM","")</f>
        <v>#REF!</v>
      </c>
      <c r="K64" s="5" t="e">
        <f>IF((COUNTIFS(#REF!,$C64,#REF!,K$1))&gt;=1,"SIM","")</f>
        <v>#REF!</v>
      </c>
      <c r="L64" s="5" t="e">
        <f>IF((COUNTIFS(#REF!,$C64,#REF!,L$1))&gt;=1,"SIM","")</f>
        <v>#REF!</v>
      </c>
      <c r="M64" s="5" t="e">
        <f>IF((COUNTIFS(#REF!,$C64,#REF!,M$1))&gt;=1,"SIM","")</f>
        <v>#REF!</v>
      </c>
      <c r="N64" s="5" t="e">
        <f>IF((COUNTIFS(#REF!,$C64,#REF!,N$1))&gt;=1,"SIM","")</f>
        <v>#REF!</v>
      </c>
      <c r="O64" s="5"/>
      <c r="P64" s="5" t="e">
        <f>IF((COUNTIFS(#REF!,$C64,#REF!,P$1))&gt;=1,"SIM","")</f>
        <v>#REF!</v>
      </c>
      <c r="Q64" s="5" t="e">
        <f>IF((COUNTIFS(#REF!,$C64,#REF!,Q$1))&gt;=1,"SIM","")</f>
        <v>#REF!</v>
      </c>
      <c r="R64" s="5" t="e">
        <f>IF((COUNTIFS(#REF!,$C64,#REF!,"*CARTA*"))&gt;=1,"SIM","")</f>
        <v>#REF!</v>
      </c>
      <c r="S64" s="5" t="e">
        <f>IF((COUNTIFS(#REF!,$C64,#REF!,"*CARTA NOTIFICAÇÃO/DEVOL*"))&gt;=1,"SIM","")</f>
        <v>#REF!</v>
      </c>
      <c r="T64" s="5" t="e">
        <f>IF((COUNTIFS(#REF!,$C64,#REF!,"*LIGAÇÃO ATIVA DEV PRIN/LOC*"))&gt;=1,"SIM","")</f>
        <v>#REF!</v>
      </c>
    </row>
    <row r="65" spans="1:20">
      <c r="A65" s="24" t="s">
        <v>2158</v>
      </c>
      <c r="B65" s="24" t="s">
        <v>1348</v>
      </c>
      <c r="C65" s="24" t="s">
        <v>1349</v>
      </c>
      <c r="D65" s="5" t="e">
        <f>IF((COUNTIFS(#REF!,$C65,#REF!,"*163*"))&gt;=1,"SIM","")</f>
        <v>#REF!</v>
      </c>
      <c r="E65" s="5" t="e">
        <f>IF((COUNTIFS(#REF!,$C65,#REF!,E$1))&gt;=1,"SIM","")</f>
        <v>#REF!</v>
      </c>
      <c r="F65" s="5" t="e">
        <f>IF((COUNTIFS(#REF!,$C65,#REF!,F$1))&gt;=1,"SIM","")</f>
        <v>#REF!</v>
      </c>
      <c r="G65" s="5" t="e">
        <f>IF((COUNTIFS(#REF!,$C65,#REF!,"*606*"))&gt;=1,"SIM","")</f>
        <v>#REF!</v>
      </c>
      <c r="H65" s="5" t="e">
        <f>IF((COUNTIFS(#REF!,$C65,#REF!,"*605*"))&gt;=1,"SIM","")</f>
        <v>#REF!</v>
      </c>
      <c r="I65" s="5" t="e">
        <f>IF((COUNTIFS(#REF!,$C65,#REF!,I$1))&gt;=1,"SIM","")</f>
        <v>#REF!</v>
      </c>
      <c r="J65" s="5" t="e">
        <f>IF((COUNTIFS(#REF!,$C65,#REF!,J$1))&gt;=1,"SIM","")</f>
        <v>#REF!</v>
      </c>
      <c r="K65" s="5" t="e">
        <f>IF((COUNTIFS(#REF!,$C65,#REF!,K$1))&gt;=1,"SIM","")</f>
        <v>#REF!</v>
      </c>
      <c r="L65" s="5" t="e">
        <f>IF((COUNTIFS(#REF!,$C65,#REF!,L$1))&gt;=1,"SIM","")</f>
        <v>#REF!</v>
      </c>
      <c r="M65" s="5" t="e">
        <f>IF((COUNTIFS(#REF!,$C65,#REF!,M$1))&gt;=1,"SIM","")</f>
        <v>#REF!</v>
      </c>
      <c r="N65" s="5" t="e">
        <f>IF((COUNTIFS(#REF!,$C65,#REF!,N$1))&gt;=1,"SIM","")</f>
        <v>#REF!</v>
      </c>
      <c r="O65" s="5"/>
      <c r="P65" s="5" t="e">
        <f>IF((COUNTIFS(#REF!,$C65,#REF!,P$1))&gt;=1,"SIM","")</f>
        <v>#REF!</v>
      </c>
      <c r="Q65" s="5" t="e">
        <f>IF((COUNTIFS(#REF!,$C65,#REF!,Q$1))&gt;=1,"SIM","")</f>
        <v>#REF!</v>
      </c>
      <c r="R65" s="5" t="e">
        <f>IF((COUNTIFS(#REF!,$C65,#REF!,"*CARTA*"))&gt;=1,"SIM","")</f>
        <v>#REF!</v>
      </c>
      <c r="S65" s="5" t="e">
        <f>IF((COUNTIFS(#REF!,$C65,#REF!,"*CARTA NOTIFICAÇÃO/DEVOL*"))&gt;=1,"SIM","")</f>
        <v>#REF!</v>
      </c>
      <c r="T65" s="5" t="e">
        <f>IF((COUNTIFS(#REF!,$C65,#REF!,"*LIGAÇÃO ATIVA DEV PRIN/LOC*"))&gt;=1,"SIM","")</f>
        <v>#REF!</v>
      </c>
    </row>
    <row r="66" spans="1:20">
      <c r="A66" s="24" t="s">
        <v>2153</v>
      </c>
      <c r="B66" s="24" t="s">
        <v>880</v>
      </c>
      <c r="C66" s="24" t="s">
        <v>881</v>
      </c>
      <c r="D66" s="5" t="e">
        <f>IF((COUNTIFS(#REF!,$C66,#REF!,"*163*"))&gt;=1,"SIM","")</f>
        <v>#REF!</v>
      </c>
      <c r="E66" s="5" t="e">
        <f>IF((COUNTIFS(#REF!,$C66,#REF!,E$1))&gt;=1,"SIM","")</f>
        <v>#REF!</v>
      </c>
      <c r="F66" s="5" t="e">
        <f>IF((COUNTIFS(#REF!,$C66,#REF!,F$1))&gt;=1,"SIM","")</f>
        <v>#REF!</v>
      </c>
      <c r="G66" s="5" t="e">
        <f>IF((COUNTIFS(#REF!,$C66,#REF!,"*606*"))&gt;=1,"SIM","")</f>
        <v>#REF!</v>
      </c>
      <c r="H66" s="5" t="e">
        <f>IF((COUNTIFS(#REF!,$C66,#REF!,"*605*"))&gt;=1,"SIM","")</f>
        <v>#REF!</v>
      </c>
      <c r="I66" s="5" t="e">
        <f>IF((COUNTIFS(#REF!,$C66,#REF!,I$1))&gt;=1,"SIM","")</f>
        <v>#REF!</v>
      </c>
      <c r="J66" s="5" t="e">
        <f>IF((COUNTIFS(#REF!,$C66,#REF!,J$1))&gt;=1,"SIM","")</f>
        <v>#REF!</v>
      </c>
      <c r="K66" s="5" t="e">
        <f>IF((COUNTIFS(#REF!,$C66,#REF!,K$1))&gt;=1,"SIM","")</f>
        <v>#REF!</v>
      </c>
      <c r="L66" s="5" t="e">
        <f>IF((COUNTIFS(#REF!,$C66,#REF!,L$1))&gt;=1,"SIM","")</f>
        <v>#REF!</v>
      </c>
      <c r="M66" s="5" t="e">
        <f>IF((COUNTIFS(#REF!,$C66,#REF!,M$1))&gt;=1,"SIM","")</f>
        <v>#REF!</v>
      </c>
      <c r="N66" s="5" t="e">
        <f>IF((COUNTIFS(#REF!,$C66,#REF!,N$1))&gt;=1,"SIM","")</f>
        <v>#REF!</v>
      </c>
      <c r="O66" s="5"/>
      <c r="P66" s="5" t="e">
        <f>IF((COUNTIFS(#REF!,$C66,#REF!,P$1))&gt;=1,"SIM","")</f>
        <v>#REF!</v>
      </c>
      <c r="Q66" s="5" t="e">
        <f>IF((COUNTIFS(#REF!,$C66,#REF!,Q$1))&gt;=1,"SIM","")</f>
        <v>#REF!</v>
      </c>
      <c r="R66" s="5" t="e">
        <f>IF((COUNTIFS(#REF!,$C66,#REF!,"*CARTA*"))&gt;=1,"SIM","")</f>
        <v>#REF!</v>
      </c>
      <c r="S66" s="5" t="e">
        <f>IF((COUNTIFS(#REF!,$C66,#REF!,"*CARTA NOTIFICAÇÃO/DEVOL*"))&gt;=1,"SIM","")</f>
        <v>#REF!</v>
      </c>
      <c r="T66" s="5" t="e">
        <f>IF((COUNTIFS(#REF!,$C66,#REF!,"*LIGAÇÃO ATIVA DEV PRIN/LOC*"))&gt;=1,"SIM","")</f>
        <v>#REF!</v>
      </c>
    </row>
    <row r="67" spans="1:20">
      <c r="A67" s="24" t="s">
        <v>2153</v>
      </c>
      <c r="B67" s="24" t="s">
        <v>718</v>
      </c>
      <c r="C67" s="24" t="s">
        <v>719</v>
      </c>
      <c r="D67" s="5" t="e">
        <f>IF((COUNTIFS(#REF!,$C67,#REF!,"*163*"))&gt;=1,"SIM","")</f>
        <v>#REF!</v>
      </c>
      <c r="E67" s="5" t="e">
        <f>IF((COUNTIFS(#REF!,$C67,#REF!,E$1))&gt;=1,"SIM","")</f>
        <v>#REF!</v>
      </c>
      <c r="F67" s="5" t="e">
        <f>IF((COUNTIFS(#REF!,$C67,#REF!,F$1))&gt;=1,"SIM","")</f>
        <v>#REF!</v>
      </c>
      <c r="G67" s="5" t="e">
        <f>IF((COUNTIFS(#REF!,$C67,#REF!,"*606*"))&gt;=1,"SIM","")</f>
        <v>#REF!</v>
      </c>
      <c r="H67" s="5" t="e">
        <f>IF((COUNTIFS(#REF!,$C67,#REF!,"*605*"))&gt;=1,"SIM","")</f>
        <v>#REF!</v>
      </c>
      <c r="I67" s="5" t="e">
        <f>IF((COUNTIFS(#REF!,$C67,#REF!,I$1))&gt;=1,"SIM","")</f>
        <v>#REF!</v>
      </c>
      <c r="J67" s="5" t="e">
        <f>IF((COUNTIFS(#REF!,$C67,#REF!,J$1))&gt;=1,"SIM","")</f>
        <v>#REF!</v>
      </c>
      <c r="K67" s="5" t="e">
        <f>IF((COUNTIFS(#REF!,$C67,#REF!,K$1))&gt;=1,"SIM","")</f>
        <v>#REF!</v>
      </c>
      <c r="L67" s="5" t="e">
        <f>IF((COUNTIFS(#REF!,$C67,#REF!,L$1))&gt;=1,"SIM","")</f>
        <v>#REF!</v>
      </c>
      <c r="M67" s="5" t="e">
        <f>IF((COUNTIFS(#REF!,$C67,#REF!,M$1))&gt;=1,"SIM","")</f>
        <v>#REF!</v>
      </c>
      <c r="N67" s="5" t="e">
        <f>IF((COUNTIFS(#REF!,$C67,#REF!,N$1))&gt;=1,"SIM","")</f>
        <v>#REF!</v>
      </c>
      <c r="O67" s="5"/>
      <c r="P67" s="5" t="e">
        <f>IF((COUNTIFS(#REF!,$C67,#REF!,P$1))&gt;=1,"SIM","")</f>
        <v>#REF!</v>
      </c>
      <c r="Q67" s="5" t="e">
        <f>IF((COUNTIFS(#REF!,$C67,#REF!,Q$1))&gt;=1,"SIM","")</f>
        <v>#REF!</v>
      </c>
      <c r="R67" s="5" t="e">
        <f>IF((COUNTIFS(#REF!,$C67,#REF!,"*CARTA*"))&gt;=1,"SIM","")</f>
        <v>#REF!</v>
      </c>
      <c r="S67" s="5" t="e">
        <f>IF((COUNTIFS(#REF!,$C67,#REF!,"*CARTA NOTIFICAÇÃO/DEVOL*"))&gt;=1,"SIM","")</f>
        <v>#REF!</v>
      </c>
      <c r="T67" s="5" t="e">
        <f>IF((COUNTIFS(#REF!,$C67,#REF!,"*LIGAÇÃO ATIVA DEV PRIN/LOC*"))&gt;=1,"SIM","")</f>
        <v>#REF!</v>
      </c>
    </row>
    <row r="68" spans="1:20">
      <c r="A68" s="24" t="s">
        <v>2153</v>
      </c>
      <c r="B68" s="24" t="s">
        <v>276</v>
      </c>
      <c r="C68" s="24" t="s">
        <v>277</v>
      </c>
      <c r="D68" s="5" t="e">
        <f>IF((COUNTIFS(#REF!,$C68,#REF!,"*163*"))&gt;=1,"SIM","")</f>
        <v>#REF!</v>
      </c>
      <c r="E68" s="5" t="e">
        <f>IF((COUNTIFS(#REF!,$C68,#REF!,E$1))&gt;=1,"SIM","")</f>
        <v>#REF!</v>
      </c>
      <c r="F68" s="5" t="e">
        <f>IF((COUNTIFS(#REF!,$C68,#REF!,F$1))&gt;=1,"SIM","")</f>
        <v>#REF!</v>
      </c>
      <c r="G68" s="5" t="e">
        <f>IF((COUNTIFS(#REF!,$C68,#REF!,"*606*"))&gt;=1,"SIM","")</f>
        <v>#REF!</v>
      </c>
      <c r="H68" s="5" t="e">
        <f>IF((COUNTIFS(#REF!,$C68,#REF!,"*605*"))&gt;=1,"SIM","")</f>
        <v>#REF!</v>
      </c>
      <c r="I68" s="5" t="e">
        <f>IF((COUNTIFS(#REF!,$C68,#REF!,I$1))&gt;=1,"SIM","")</f>
        <v>#REF!</v>
      </c>
      <c r="J68" s="5" t="e">
        <f>IF((COUNTIFS(#REF!,$C68,#REF!,J$1))&gt;=1,"SIM","")</f>
        <v>#REF!</v>
      </c>
      <c r="K68" s="5" t="e">
        <f>IF((COUNTIFS(#REF!,$C68,#REF!,K$1))&gt;=1,"SIM","")</f>
        <v>#REF!</v>
      </c>
      <c r="L68" s="5" t="e">
        <f>IF((COUNTIFS(#REF!,$C68,#REF!,L$1))&gt;=1,"SIM","")</f>
        <v>#REF!</v>
      </c>
      <c r="M68" s="5" t="e">
        <f>IF((COUNTIFS(#REF!,$C68,#REF!,M$1))&gt;=1,"SIM","")</f>
        <v>#REF!</v>
      </c>
      <c r="N68" s="5" t="e">
        <f>IF((COUNTIFS(#REF!,$C68,#REF!,N$1))&gt;=1,"SIM","")</f>
        <v>#REF!</v>
      </c>
      <c r="O68" s="5"/>
      <c r="P68" s="5" t="e">
        <f>IF((COUNTIFS(#REF!,$C68,#REF!,P$1))&gt;=1,"SIM","")</f>
        <v>#REF!</v>
      </c>
      <c r="Q68" s="5" t="e">
        <f>IF((COUNTIFS(#REF!,$C68,#REF!,Q$1))&gt;=1,"SIM","")</f>
        <v>#REF!</v>
      </c>
      <c r="R68" s="5" t="e">
        <f>IF((COUNTIFS(#REF!,$C68,#REF!,"*CARTA*"))&gt;=1,"SIM","")</f>
        <v>#REF!</v>
      </c>
      <c r="S68" s="5" t="e">
        <f>IF((COUNTIFS(#REF!,$C68,#REF!,"*CARTA NOTIFICAÇÃO/DEVOL*"))&gt;=1,"SIM","")</f>
        <v>#REF!</v>
      </c>
      <c r="T68" s="5" t="e">
        <f>IF((COUNTIFS(#REF!,$C68,#REF!,"*LIGAÇÃO ATIVA DEV PRIN/LOC*"))&gt;=1,"SIM","")</f>
        <v>#REF!</v>
      </c>
    </row>
    <row r="69" spans="1:20">
      <c r="A69" s="24" t="s">
        <v>2153</v>
      </c>
      <c r="B69" s="24" t="s">
        <v>964</v>
      </c>
      <c r="C69" s="24" t="s">
        <v>965</v>
      </c>
      <c r="D69" s="5" t="e">
        <f>IF((COUNTIFS(#REF!,$C69,#REF!,"*163*"))&gt;=1,"SIM","")</f>
        <v>#REF!</v>
      </c>
      <c r="E69" s="5" t="e">
        <f>IF((COUNTIFS(#REF!,$C69,#REF!,E$1))&gt;=1,"SIM","")</f>
        <v>#REF!</v>
      </c>
      <c r="F69" s="5" t="e">
        <f>IF((COUNTIFS(#REF!,$C69,#REF!,F$1))&gt;=1,"SIM","")</f>
        <v>#REF!</v>
      </c>
      <c r="G69" s="5" t="e">
        <f>IF((COUNTIFS(#REF!,$C69,#REF!,"*606*"))&gt;=1,"SIM","")</f>
        <v>#REF!</v>
      </c>
      <c r="H69" s="5" t="e">
        <f>IF((COUNTIFS(#REF!,$C69,#REF!,"*605*"))&gt;=1,"SIM","")</f>
        <v>#REF!</v>
      </c>
      <c r="I69" s="5" t="e">
        <f>IF((COUNTIFS(#REF!,$C69,#REF!,I$1))&gt;=1,"SIM","")</f>
        <v>#REF!</v>
      </c>
      <c r="J69" s="5" t="e">
        <f>IF((COUNTIFS(#REF!,$C69,#REF!,J$1))&gt;=1,"SIM","")</f>
        <v>#REF!</v>
      </c>
      <c r="K69" s="5" t="e">
        <f>IF((COUNTIFS(#REF!,$C69,#REF!,K$1))&gt;=1,"SIM","")</f>
        <v>#REF!</v>
      </c>
      <c r="L69" s="5" t="e">
        <f>IF((COUNTIFS(#REF!,$C69,#REF!,L$1))&gt;=1,"SIM","")</f>
        <v>#REF!</v>
      </c>
      <c r="M69" s="5" t="e">
        <f>IF((COUNTIFS(#REF!,$C69,#REF!,M$1))&gt;=1,"SIM","")</f>
        <v>#REF!</v>
      </c>
      <c r="N69" s="5" t="e">
        <f>IF((COUNTIFS(#REF!,$C69,#REF!,N$1))&gt;=1,"SIM","")</f>
        <v>#REF!</v>
      </c>
      <c r="O69" s="5"/>
      <c r="P69" s="5" t="e">
        <f>IF((COUNTIFS(#REF!,$C69,#REF!,P$1))&gt;=1,"SIM","")</f>
        <v>#REF!</v>
      </c>
      <c r="Q69" s="5" t="e">
        <f>IF((COUNTIFS(#REF!,$C69,#REF!,Q$1))&gt;=1,"SIM","")</f>
        <v>#REF!</v>
      </c>
      <c r="R69" s="5" t="e">
        <f>IF((COUNTIFS(#REF!,$C69,#REF!,"*CARTA*"))&gt;=1,"SIM","")</f>
        <v>#REF!</v>
      </c>
      <c r="S69" s="5" t="e">
        <f>IF((COUNTIFS(#REF!,$C69,#REF!,"*CARTA NOTIFICAÇÃO/DEVOL*"))&gt;=1,"SIM","")</f>
        <v>#REF!</v>
      </c>
      <c r="T69" s="5" t="e">
        <f>IF((COUNTIFS(#REF!,$C69,#REF!,"*LIGAÇÃO ATIVA DEV PRIN/LOC*"))&gt;=1,"SIM","")</f>
        <v>#REF!</v>
      </c>
    </row>
    <row r="70" spans="1:20">
      <c r="A70" s="24" t="s">
        <v>2153</v>
      </c>
      <c r="B70" s="24" t="s">
        <v>734</v>
      </c>
      <c r="C70" s="24" t="s">
        <v>735</v>
      </c>
      <c r="D70" s="5" t="e">
        <f>IF((COUNTIFS(#REF!,$C70,#REF!,"*163*"))&gt;=1,"SIM","")</f>
        <v>#REF!</v>
      </c>
      <c r="E70" s="5" t="e">
        <f>IF((COUNTIFS(#REF!,$C70,#REF!,E$1))&gt;=1,"SIM","")</f>
        <v>#REF!</v>
      </c>
      <c r="F70" s="5" t="e">
        <f>IF((COUNTIFS(#REF!,$C70,#REF!,F$1))&gt;=1,"SIM","")</f>
        <v>#REF!</v>
      </c>
      <c r="G70" s="5" t="e">
        <f>IF((COUNTIFS(#REF!,$C70,#REF!,"*606*"))&gt;=1,"SIM","")</f>
        <v>#REF!</v>
      </c>
      <c r="H70" s="5" t="e">
        <f>IF((COUNTIFS(#REF!,$C70,#REF!,"*605*"))&gt;=1,"SIM","")</f>
        <v>#REF!</v>
      </c>
      <c r="I70" s="5" t="e">
        <f>IF((COUNTIFS(#REF!,$C70,#REF!,I$1))&gt;=1,"SIM","")</f>
        <v>#REF!</v>
      </c>
      <c r="J70" s="5" t="e">
        <f>IF((COUNTIFS(#REF!,$C70,#REF!,J$1))&gt;=1,"SIM","")</f>
        <v>#REF!</v>
      </c>
      <c r="K70" s="5" t="e">
        <f>IF((COUNTIFS(#REF!,$C70,#REF!,K$1))&gt;=1,"SIM","")</f>
        <v>#REF!</v>
      </c>
      <c r="L70" s="5" t="e">
        <f>IF((COUNTIFS(#REF!,$C70,#REF!,L$1))&gt;=1,"SIM","")</f>
        <v>#REF!</v>
      </c>
      <c r="M70" s="5" t="e">
        <f>IF((COUNTIFS(#REF!,$C70,#REF!,M$1))&gt;=1,"SIM","")</f>
        <v>#REF!</v>
      </c>
      <c r="N70" s="5" t="e">
        <f>IF((COUNTIFS(#REF!,$C70,#REF!,N$1))&gt;=1,"SIM","")</f>
        <v>#REF!</v>
      </c>
      <c r="O70" s="5"/>
      <c r="P70" s="5" t="e">
        <f>IF((COUNTIFS(#REF!,$C70,#REF!,P$1))&gt;=1,"SIM","")</f>
        <v>#REF!</v>
      </c>
      <c r="Q70" s="5" t="e">
        <f>IF((COUNTIFS(#REF!,$C70,#REF!,Q$1))&gt;=1,"SIM","")</f>
        <v>#REF!</v>
      </c>
      <c r="R70" s="5" t="e">
        <f>IF((COUNTIFS(#REF!,$C70,#REF!,"*CARTA*"))&gt;=1,"SIM","")</f>
        <v>#REF!</v>
      </c>
      <c r="S70" s="5" t="e">
        <f>IF((COUNTIFS(#REF!,$C70,#REF!,"*CARTA NOTIFICAÇÃO/DEVOL*"))&gt;=1,"SIM","")</f>
        <v>#REF!</v>
      </c>
      <c r="T70" s="5" t="e">
        <f>IF((COUNTIFS(#REF!,$C70,#REF!,"*LIGAÇÃO ATIVA DEV PRIN/LOC*"))&gt;=1,"SIM","")</f>
        <v>#REF!</v>
      </c>
    </row>
    <row r="71" spans="1:20">
      <c r="A71" s="24" t="s">
        <v>2153</v>
      </c>
      <c r="B71" s="24" t="s">
        <v>960</v>
      </c>
      <c r="C71" s="24" t="s">
        <v>961</v>
      </c>
      <c r="D71" s="5" t="e">
        <f>IF((COUNTIFS(#REF!,$C71,#REF!,"*163*"))&gt;=1,"SIM","")</f>
        <v>#REF!</v>
      </c>
      <c r="E71" s="5" t="e">
        <f>IF((COUNTIFS(#REF!,$C71,#REF!,E$1))&gt;=1,"SIM","")</f>
        <v>#REF!</v>
      </c>
      <c r="F71" s="5" t="e">
        <f>IF((COUNTIFS(#REF!,$C71,#REF!,F$1))&gt;=1,"SIM","")</f>
        <v>#REF!</v>
      </c>
      <c r="G71" s="5" t="e">
        <f>IF((COUNTIFS(#REF!,$C71,#REF!,"*606*"))&gt;=1,"SIM","")</f>
        <v>#REF!</v>
      </c>
      <c r="H71" s="5" t="e">
        <f>IF((COUNTIFS(#REF!,$C71,#REF!,"*605*"))&gt;=1,"SIM","")</f>
        <v>#REF!</v>
      </c>
      <c r="I71" s="5" t="e">
        <f>IF((COUNTIFS(#REF!,$C71,#REF!,I$1))&gt;=1,"SIM","")</f>
        <v>#REF!</v>
      </c>
      <c r="J71" s="5" t="e">
        <f>IF((COUNTIFS(#REF!,$C71,#REF!,J$1))&gt;=1,"SIM","")</f>
        <v>#REF!</v>
      </c>
      <c r="K71" s="5" t="e">
        <f>IF((COUNTIFS(#REF!,$C71,#REF!,K$1))&gt;=1,"SIM","")</f>
        <v>#REF!</v>
      </c>
      <c r="L71" s="5" t="e">
        <f>IF((COUNTIFS(#REF!,$C71,#REF!,L$1))&gt;=1,"SIM","")</f>
        <v>#REF!</v>
      </c>
      <c r="M71" s="5" t="e">
        <f>IF((COUNTIFS(#REF!,$C71,#REF!,M$1))&gt;=1,"SIM","")</f>
        <v>#REF!</v>
      </c>
      <c r="N71" s="5" t="e">
        <f>IF((COUNTIFS(#REF!,$C71,#REF!,N$1))&gt;=1,"SIM","")</f>
        <v>#REF!</v>
      </c>
      <c r="O71" s="5"/>
      <c r="P71" s="5" t="e">
        <f>IF((COUNTIFS(#REF!,$C71,#REF!,P$1))&gt;=1,"SIM","")</f>
        <v>#REF!</v>
      </c>
      <c r="Q71" s="5" t="e">
        <f>IF((COUNTIFS(#REF!,$C71,#REF!,Q$1))&gt;=1,"SIM","")</f>
        <v>#REF!</v>
      </c>
      <c r="R71" s="5" t="e">
        <f>IF((COUNTIFS(#REF!,$C71,#REF!,"*CARTA*"))&gt;=1,"SIM","")</f>
        <v>#REF!</v>
      </c>
      <c r="S71" s="5" t="e">
        <f>IF((COUNTIFS(#REF!,$C71,#REF!,"*CARTA NOTIFICAÇÃO/DEVOL*"))&gt;=1,"SIM","")</f>
        <v>#REF!</v>
      </c>
      <c r="T71" s="5" t="e">
        <f>IF((COUNTIFS(#REF!,$C71,#REF!,"*LIGAÇÃO ATIVA DEV PRIN/LOC*"))&gt;=1,"SIM","")</f>
        <v>#REF!</v>
      </c>
    </row>
    <row r="72" spans="1:20">
      <c r="A72" s="24" t="s">
        <v>2159</v>
      </c>
      <c r="B72" s="24" t="s">
        <v>1948</v>
      </c>
      <c r="C72" s="24" t="s">
        <v>1949</v>
      </c>
      <c r="D72" s="5" t="e">
        <f>IF((COUNTIFS(#REF!,$C72,#REF!,"*163*"))&gt;=1,"SIM","")</f>
        <v>#REF!</v>
      </c>
      <c r="E72" s="5" t="e">
        <f>IF((COUNTIFS(#REF!,$C72,#REF!,E$1))&gt;=1,"SIM","")</f>
        <v>#REF!</v>
      </c>
      <c r="F72" s="5" t="e">
        <f>IF((COUNTIFS(#REF!,$C72,#REF!,F$1))&gt;=1,"SIM","")</f>
        <v>#REF!</v>
      </c>
      <c r="G72" s="5" t="e">
        <f>IF((COUNTIFS(#REF!,$C72,#REF!,"*606*"))&gt;=1,"SIM","")</f>
        <v>#REF!</v>
      </c>
      <c r="H72" s="5" t="e">
        <f>IF((COUNTIFS(#REF!,$C72,#REF!,"*605*"))&gt;=1,"SIM","")</f>
        <v>#REF!</v>
      </c>
      <c r="I72" s="5" t="e">
        <f>IF((COUNTIFS(#REF!,$C72,#REF!,I$1))&gt;=1,"SIM","")</f>
        <v>#REF!</v>
      </c>
      <c r="J72" s="5" t="e">
        <f>IF((COUNTIFS(#REF!,$C72,#REF!,J$1))&gt;=1,"SIM","")</f>
        <v>#REF!</v>
      </c>
      <c r="K72" s="5" t="e">
        <f>IF((COUNTIFS(#REF!,$C72,#REF!,K$1))&gt;=1,"SIM","")</f>
        <v>#REF!</v>
      </c>
      <c r="L72" s="5" t="e">
        <f>IF((COUNTIFS(#REF!,$C72,#REF!,L$1))&gt;=1,"SIM","")</f>
        <v>#REF!</v>
      </c>
      <c r="M72" s="5" t="e">
        <f>IF((COUNTIFS(#REF!,$C72,#REF!,M$1))&gt;=1,"SIM","")</f>
        <v>#REF!</v>
      </c>
      <c r="N72" s="5" t="e">
        <f>IF((COUNTIFS(#REF!,$C72,#REF!,N$1))&gt;=1,"SIM","")</f>
        <v>#REF!</v>
      </c>
      <c r="O72" s="5"/>
      <c r="P72" s="5" t="e">
        <f>IF((COUNTIFS(#REF!,$C72,#REF!,P$1))&gt;=1,"SIM","")</f>
        <v>#REF!</v>
      </c>
      <c r="Q72" s="5" t="e">
        <f>IF((COUNTIFS(#REF!,$C72,#REF!,Q$1))&gt;=1,"SIM","")</f>
        <v>#REF!</v>
      </c>
      <c r="R72" s="5" t="e">
        <f>IF((COUNTIFS(#REF!,$C72,#REF!,"*CARTA*"))&gt;=1,"SIM","")</f>
        <v>#REF!</v>
      </c>
      <c r="S72" s="5" t="e">
        <f>IF((COUNTIFS(#REF!,$C72,#REF!,"*CARTA NOTIFICAÇÃO/DEVOL*"))&gt;=1,"SIM","")</f>
        <v>#REF!</v>
      </c>
      <c r="T72" s="5" t="e">
        <f>IF((COUNTIFS(#REF!,$C72,#REF!,"*LIGAÇÃO ATIVA DEV PRIN/LOC*"))&gt;=1,"SIM","")</f>
        <v>#REF!</v>
      </c>
    </row>
    <row r="73" spans="1:20">
      <c r="A73" s="24" t="s">
        <v>2157</v>
      </c>
      <c r="B73" s="24" t="s">
        <v>1791</v>
      </c>
      <c r="C73" s="24" t="s">
        <v>1792</v>
      </c>
      <c r="D73" s="5" t="e">
        <f>IF((COUNTIFS(#REF!,$C73,#REF!,"*163*"))&gt;=1,"SIM","")</f>
        <v>#REF!</v>
      </c>
      <c r="E73" s="5" t="e">
        <f>IF((COUNTIFS(#REF!,$C73,#REF!,E$1))&gt;=1,"SIM","")</f>
        <v>#REF!</v>
      </c>
      <c r="F73" s="5" t="e">
        <f>IF((COUNTIFS(#REF!,$C73,#REF!,F$1))&gt;=1,"SIM","")</f>
        <v>#REF!</v>
      </c>
      <c r="G73" s="5" t="e">
        <f>IF((COUNTIFS(#REF!,$C73,#REF!,"*606*"))&gt;=1,"SIM","")</f>
        <v>#REF!</v>
      </c>
      <c r="H73" s="5" t="e">
        <f>IF((COUNTIFS(#REF!,$C73,#REF!,"*605*"))&gt;=1,"SIM","")</f>
        <v>#REF!</v>
      </c>
      <c r="I73" s="5" t="e">
        <f>IF((COUNTIFS(#REF!,$C73,#REF!,I$1))&gt;=1,"SIM","")</f>
        <v>#REF!</v>
      </c>
      <c r="J73" s="5" t="e">
        <f>IF((COUNTIFS(#REF!,$C73,#REF!,J$1))&gt;=1,"SIM","")</f>
        <v>#REF!</v>
      </c>
      <c r="K73" s="5" t="e">
        <f>IF((COUNTIFS(#REF!,$C73,#REF!,K$1))&gt;=1,"SIM","")</f>
        <v>#REF!</v>
      </c>
      <c r="L73" s="5" t="e">
        <f>IF((COUNTIFS(#REF!,$C73,#REF!,L$1))&gt;=1,"SIM","")</f>
        <v>#REF!</v>
      </c>
      <c r="M73" s="5" t="e">
        <f>IF((COUNTIFS(#REF!,$C73,#REF!,M$1))&gt;=1,"SIM","")</f>
        <v>#REF!</v>
      </c>
      <c r="N73" s="5" t="e">
        <f>IF((COUNTIFS(#REF!,$C73,#REF!,N$1))&gt;=1,"SIM","")</f>
        <v>#REF!</v>
      </c>
      <c r="O73" s="5"/>
      <c r="P73" s="5" t="e">
        <f>IF((COUNTIFS(#REF!,$C73,#REF!,P$1))&gt;=1,"SIM","")</f>
        <v>#REF!</v>
      </c>
      <c r="Q73" s="5" t="e">
        <f>IF((COUNTIFS(#REF!,$C73,#REF!,Q$1))&gt;=1,"SIM","")</f>
        <v>#REF!</v>
      </c>
      <c r="R73" s="5" t="e">
        <f>IF((COUNTIFS(#REF!,$C73,#REF!,"*CARTA*"))&gt;=1,"SIM","")</f>
        <v>#REF!</v>
      </c>
      <c r="S73" s="5" t="e">
        <f>IF((COUNTIFS(#REF!,$C73,#REF!,"*CARTA NOTIFICAÇÃO/DEVOL*"))&gt;=1,"SIM","")</f>
        <v>#REF!</v>
      </c>
      <c r="T73" s="5" t="e">
        <f>IF((COUNTIFS(#REF!,$C73,#REF!,"*LIGAÇÃO ATIVA DEV PRIN/LOC*"))&gt;=1,"SIM","")</f>
        <v>#REF!</v>
      </c>
    </row>
    <row r="74" spans="1:20">
      <c r="A74" s="24" t="s">
        <v>2159</v>
      </c>
      <c r="B74" s="24" t="s">
        <v>1076</v>
      </c>
      <c r="C74" s="24" t="s">
        <v>1077</v>
      </c>
      <c r="D74" s="5" t="e">
        <f>IF((COUNTIFS(#REF!,$C74,#REF!,"*163*"))&gt;=1,"SIM","")</f>
        <v>#REF!</v>
      </c>
      <c r="E74" s="5" t="e">
        <f>IF((COUNTIFS(#REF!,$C74,#REF!,E$1))&gt;=1,"SIM","")</f>
        <v>#REF!</v>
      </c>
      <c r="F74" s="5" t="e">
        <f>IF((COUNTIFS(#REF!,$C74,#REF!,F$1))&gt;=1,"SIM","")</f>
        <v>#REF!</v>
      </c>
      <c r="G74" s="5" t="e">
        <f>IF((COUNTIFS(#REF!,$C74,#REF!,"*606*"))&gt;=1,"SIM","")</f>
        <v>#REF!</v>
      </c>
      <c r="H74" s="5" t="e">
        <f>IF((COUNTIFS(#REF!,$C74,#REF!,"*605*"))&gt;=1,"SIM","")</f>
        <v>#REF!</v>
      </c>
      <c r="I74" s="5" t="e">
        <f>IF((COUNTIFS(#REF!,$C74,#REF!,I$1))&gt;=1,"SIM","")</f>
        <v>#REF!</v>
      </c>
      <c r="J74" s="5" t="e">
        <f>IF((COUNTIFS(#REF!,$C74,#REF!,J$1))&gt;=1,"SIM","")</f>
        <v>#REF!</v>
      </c>
      <c r="K74" s="5" t="e">
        <f>IF((COUNTIFS(#REF!,$C74,#REF!,K$1))&gt;=1,"SIM","")</f>
        <v>#REF!</v>
      </c>
      <c r="L74" s="5" t="e">
        <f>IF((COUNTIFS(#REF!,$C74,#REF!,L$1))&gt;=1,"SIM","")</f>
        <v>#REF!</v>
      </c>
      <c r="M74" s="5" t="e">
        <f>IF((COUNTIFS(#REF!,$C74,#REF!,M$1))&gt;=1,"SIM","")</f>
        <v>#REF!</v>
      </c>
      <c r="N74" s="5" t="e">
        <f>IF((COUNTIFS(#REF!,$C74,#REF!,N$1))&gt;=1,"SIM","")</f>
        <v>#REF!</v>
      </c>
      <c r="O74" s="5"/>
      <c r="P74" s="5" t="e">
        <f>IF((COUNTIFS(#REF!,$C74,#REF!,P$1))&gt;=1,"SIM","")</f>
        <v>#REF!</v>
      </c>
      <c r="Q74" s="5" t="e">
        <f>IF((COUNTIFS(#REF!,$C74,#REF!,Q$1))&gt;=1,"SIM","")</f>
        <v>#REF!</v>
      </c>
      <c r="R74" s="5" t="e">
        <f>IF((COUNTIFS(#REF!,$C74,#REF!,"*CARTA*"))&gt;=1,"SIM","")</f>
        <v>#REF!</v>
      </c>
      <c r="S74" s="5" t="e">
        <f>IF((COUNTIFS(#REF!,$C74,#REF!,"*CARTA NOTIFICAÇÃO/DEVOL*"))&gt;=1,"SIM","")</f>
        <v>#REF!</v>
      </c>
      <c r="T74" s="5" t="e">
        <f>IF((COUNTIFS(#REF!,$C74,#REF!,"*LIGAÇÃO ATIVA DEV PRIN/LOC*"))&gt;=1,"SIM","")</f>
        <v>#REF!</v>
      </c>
    </row>
    <row r="75" spans="1:20">
      <c r="A75" s="24" t="s">
        <v>2159</v>
      </c>
      <c r="B75" s="24" t="s">
        <v>1175</v>
      </c>
      <c r="C75" s="24" t="s">
        <v>1176</v>
      </c>
      <c r="D75" s="5" t="e">
        <f>IF((COUNTIFS(#REF!,$C75,#REF!,"*163*"))&gt;=1,"SIM","")</f>
        <v>#REF!</v>
      </c>
      <c r="E75" s="5" t="e">
        <f>IF((COUNTIFS(#REF!,$C75,#REF!,E$1))&gt;=1,"SIM","")</f>
        <v>#REF!</v>
      </c>
      <c r="F75" s="5" t="e">
        <f>IF((COUNTIFS(#REF!,$C75,#REF!,F$1))&gt;=1,"SIM","")</f>
        <v>#REF!</v>
      </c>
      <c r="G75" s="5" t="e">
        <f>IF((COUNTIFS(#REF!,$C75,#REF!,"*606*"))&gt;=1,"SIM","")</f>
        <v>#REF!</v>
      </c>
      <c r="H75" s="5" t="e">
        <f>IF((COUNTIFS(#REF!,$C75,#REF!,"*605*"))&gt;=1,"SIM","")</f>
        <v>#REF!</v>
      </c>
      <c r="I75" s="5" t="e">
        <f>IF((COUNTIFS(#REF!,$C75,#REF!,I$1))&gt;=1,"SIM","")</f>
        <v>#REF!</v>
      </c>
      <c r="J75" s="5" t="e">
        <f>IF((COUNTIFS(#REF!,$C75,#REF!,J$1))&gt;=1,"SIM","")</f>
        <v>#REF!</v>
      </c>
      <c r="K75" s="5" t="e">
        <f>IF((COUNTIFS(#REF!,$C75,#REF!,K$1))&gt;=1,"SIM","")</f>
        <v>#REF!</v>
      </c>
      <c r="L75" s="5" t="e">
        <f>IF((COUNTIFS(#REF!,$C75,#REF!,L$1))&gt;=1,"SIM","")</f>
        <v>#REF!</v>
      </c>
      <c r="M75" s="5" t="e">
        <f>IF((COUNTIFS(#REF!,$C75,#REF!,M$1))&gt;=1,"SIM","")</f>
        <v>#REF!</v>
      </c>
      <c r="N75" s="5" t="e">
        <f>IF((COUNTIFS(#REF!,$C75,#REF!,N$1))&gt;=1,"SIM","")</f>
        <v>#REF!</v>
      </c>
      <c r="O75" s="5"/>
      <c r="P75" s="5" t="e">
        <f>IF((COUNTIFS(#REF!,$C75,#REF!,P$1))&gt;=1,"SIM","")</f>
        <v>#REF!</v>
      </c>
      <c r="Q75" s="5" t="e">
        <f>IF((COUNTIFS(#REF!,$C75,#REF!,Q$1))&gt;=1,"SIM","")</f>
        <v>#REF!</v>
      </c>
      <c r="R75" s="5" t="e">
        <f>IF((COUNTIFS(#REF!,$C75,#REF!,"*CARTA*"))&gt;=1,"SIM","")</f>
        <v>#REF!</v>
      </c>
      <c r="S75" s="5" t="e">
        <f>IF((COUNTIFS(#REF!,$C75,#REF!,"*CARTA NOTIFICAÇÃO/DEVOL*"))&gt;=1,"SIM","")</f>
        <v>#REF!</v>
      </c>
      <c r="T75" s="5" t="e">
        <f>IF((COUNTIFS(#REF!,$C75,#REF!,"*LIGAÇÃO ATIVA DEV PRIN/LOC*"))&gt;=1,"SIM","")</f>
        <v>#REF!</v>
      </c>
    </row>
    <row r="76" spans="1:20">
      <c r="A76" s="24" t="s">
        <v>2153</v>
      </c>
      <c r="B76" s="24" t="s">
        <v>596</v>
      </c>
      <c r="C76" s="24" t="s">
        <v>597</v>
      </c>
      <c r="D76" s="5" t="e">
        <f>IF((COUNTIFS(#REF!,$C76,#REF!,"*163*"))&gt;=1,"SIM","")</f>
        <v>#REF!</v>
      </c>
      <c r="E76" s="5" t="e">
        <f>IF((COUNTIFS(#REF!,$C76,#REF!,E$1))&gt;=1,"SIM","")</f>
        <v>#REF!</v>
      </c>
      <c r="F76" s="5" t="e">
        <f>IF((COUNTIFS(#REF!,$C76,#REF!,F$1))&gt;=1,"SIM","")</f>
        <v>#REF!</v>
      </c>
      <c r="G76" s="5" t="e">
        <f>IF((COUNTIFS(#REF!,$C76,#REF!,"*606*"))&gt;=1,"SIM","")</f>
        <v>#REF!</v>
      </c>
      <c r="H76" s="5" t="e">
        <f>IF((COUNTIFS(#REF!,$C76,#REF!,"*605*"))&gt;=1,"SIM","")</f>
        <v>#REF!</v>
      </c>
      <c r="I76" s="5" t="e">
        <f>IF((COUNTIFS(#REF!,$C76,#REF!,I$1))&gt;=1,"SIM","")</f>
        <v>#REF!</v>
      </c>
      <c r="J76" s="5" t="e">
        <f>IF((COUNTIFS(#REF!,$C76,#REF!,J$1))&gt;=1,"SIM","")</f>
        <v>#REF!</v>
      </c>
      <c r="K76" s="5" t="e">
        <f>IF((COUNTIFS(#REF!,$C76,#REF!,K$1))&gt;=1,"SIM","")</f>
        <v>#REF!</v>
      </c>
      <c r="L76" s="5" t="e">
        <f>IF((COUNTIFS(#REF!,$C76,#REF!,L$1))&gt;=1,"SIM","")</f>
        <v>#REF!</v>
      </c>
      <c r="M76" s="5" t="e">
        <f>IF((COUNTIFS(#REF!,$C76,#REF!,M$1))&gt;=1,"SIM","")</f>
        <v>#REF!</v>
      </c>
      <c r="N76" s="5" t="e">
        <f>IF((COUNTIFS(#REF!,$C76,#REF!,N$1))&gt;=1,"SIM","")</f>
        <v>#REF!</v>
      </c>
      <c r="O76" s="5"/>
      <c r="P76" s="5" t="e">
        <f>IF((COUNTIFS(#REF!,$C76,#REF!,P$1))&gt;=1,"SIM","")</f>
        <v>#REF!</v>
      </c>
      <c r="Q76" s="5" t="e">
        <f>IF((COUNTIFS(#REF!,$C76,#REF!,Q$1))&gt;=1,"SIM","")</f>
        <v>#REF!</v>
      </c>
      <c r="R76" s="5" t="e">
        <f>IF((COUNTIFS(#REF!,$C76,#REF!,"*CARTA*"))&gt;=1,"SIM","")</f>
        <v>#REF!</v>
      </c>
      <c r="S76" s="5" t="e">
        <f>IF((COUNTIFS(#REF!,$C76,#REF!,"*CARTA NOTIFICAÇÃO/DEVOL*"))&gt;=1,"SIM","")</f>
        <v>#REF!</v>
      </c>
      <c r="T76" s="5" t="e">
        <f>IF((COUNTIFS(#REF!,$C76,#REF!,"*LIGAÇÃO ATIVA DEV PRIN/LOC*"))&gt;=1,"SIM","")</f>
        <v>#REF!</v>
      </c>
    </row>
    <row r="77" spans="1:20">
      <c r="A77" s="24" t="s">
        <v>2153</v>
      </c>
      <c r="B77" s="24" t="s">
        <v>728</v>
      </c>
      <c r="C77" s="24" t="s">
        <v>729</v>
      </c>
      <c r="D77" s="5" t="e">
        <f>IF((COUNTIFS(#REF!,$C77,#REF!,"*163*"))&gt;=1,"SIM","")</f>
        <v>#REF!</v>
      </c>
      <c r="E77" s="5" t="e">
        <f>IF((COUNTIFS(#REF!,$C77,#REF!,E$1))&gt;=1,"SIM","")</f>
        <v>#REF!</v>
      </c>
      <c r="F77" s="5" t="e">
        <f>IF((COUNTIFS(#REF!,$C77,#REF!,F$1))&gt;=1,"SIM","")</f>
        <v>#REF!</v>
      </c>
      <c r="G77" s="5" t="e">
        <f>IF((COUNTIFS(#REF!,$C77,#REF!,"*606*"))&gt;=1,"SIM","")</f>
        <v>#REF!</v>
      </c>
      <c r="H77" s="5" t="e">
        <f>IF((COUNTIFS(#REF!,$C77,#REF!,"*605*"))&gt;=1,"SIM","")</f>
        <v>#REF!</v>
      </c>
      <c r="I77" s="5" t="e">
        <f>IF((COUNTIFS(#REF!,$C77,#REF!,I$1))&gt;=1,"SIM","")</f>
        <v>#REF!</v>
      </c>
      <c r="J77" s="5" t="e">
        <f>IF((COUNTIFS(#REF!,$C77,#REF!,J$1))&gt;=1,"SIM","")</f>
        <v>#REF!</v>
      </c>
      <c r="K77" s="5" t="e">
        <f>IF((COUNTIFS(#REF!,$C77,#REF!,K$1))&gt;=1,"SIM","")</f>
        <v>#REF!</v>
      </c>
      <c r="L77" s="5" t="e">
        <f>IF((COUNTIFS(#REF!,$C77,#REF!,L$1))&gt;=1,"SIM","")</f>
        <v>#REF!</v>
      </c>
      <c r="M77" s="5" t="e">
        <f>IF((COUNTIFS(#REF!,$C77,#REF!,M$1))&gt;=1,"SIM","")</f>
        <v>#REF!</v>
      </c>
      <c r="N77" s="5" t="e">
        <f>IF((COUNTIFS(#REF!,$C77,#REF!,N$1))&gt;=1,"SIM","")</f>
        <v>#REF!</v>
      </c>
      <c r="O77" s="5"/>
      <c r="P77" s="5" t="e">
        <f>IF((COUNTIFS(#REF!,$C77,#REF!,P$1))&gt;=1,"SIM","")</f>
        <v>#REF!</v>
      </c>
      <c r="Q77" s="5" t="e">
        <f>IF((COUNTIFS(#REF!,$C77,#REF!,Q$1))&gt;=1,"SIM","")</f>
        <v>#REF!</v>
      </c>
      <c r="R77" s="5" t="e">
        <f>IF((COUNTIFS(#REF!,$C77,#REF!,"*CARTA*"))&gt;=1,"SIM","")</f>
        <v>#REF!</v>
      </c>
      <c r="S77" s="5" t="e">
        <f>IF((COUNTIFS(#REF!,$C77,#REF!,"*CARTA NOTIFICAÇÃO/DEVOL*"))&gt;=1,"SIM","")</f>
        <v>#REF!</v>
      </c>
      <c r="T77" s="5" t="e">
        <f>IF((COUNTIFS(#REF!,$C77,#REF!,"*LIGAÇÃO ATIVA DEV PRIN/LOC*"))&gt;=1,"SIM","")</f>
        <v>#REF!</v>
      </c>
    </row>
    <row r="78" spans="1:20">
      <c r="A78" s="24" t="s">
        <v>2157</v>
      </c>
      <c r="B78" s="24" t="s">
        <v>1892</v>
      </c>
      <c r="C78" s="24" t="s">
        <v>1893</v>
      </c>
      <c r="D78" s="5" t="e">
        <f>IF((COUNTIFS(#REF!,$C78,#REF!,"*163*"))&gt;=1,"SIM","")</f>
        <v>#REF!</v>
      </c>
      <c r="E78" s="5" t="e">
        <f>IF((COUNTIFS(#REF!,$C78,#REF!,E$1))&gt;=1,"SIM","")</f>
        <v>#REF!</v>
      </c>
      <c r="F78" s="5" t="e">
        <f>IF((COUNTIFS(#REF!,$C78,#REF!,F$1))&gt;=1,"SIM","")</f>
        <v>#REF!</v>
      </c>
      <c r="G78" s="5" t="e">
        <f>IF((COUNTIFS(#REF!,$C78,#REF!,"*606*"))&gt;=1,"SIM","")</f>
        <v>#REF!</v>
      </c>
      <c r="H78" s="5" t="e">
        <f>IF((COUNTIFS(#REF!,$C78,#REF!,"*605*"))&gt;=1,"SIM","")</f>
        <v>#REF!</v>
      </c>
      <c r="I78" s="5" t="e">
        <f>IF((COUNTIFS(#REF!,$C78,#REF!,I$1))&gt;=1,"SIM","")</f>
        <v>#REF!</v>
      </c>
      <c r="J78" s="5" t="e">
        <f>IF((COUNTIFS(#REF!,$C78,#REF!,J$1))&gt;=1,"SIM","")</f>
        <v>#REF!</v>
      </c>
      <c r="K78" s="5" t="e">
        <f>IF((COUNTIFS(#REF!,$C78,#REF!,K$1))&gt;=1,"SIM","")</f>
        <v>#REF!</v>
      </c>
      <c r="L78" s="5" t="e">
        <f>IF((COUNTIFS(#REF!,$C78,#REF!,L$1))&gt;=1,"SIM","")</f>
        <v>#REF!</v>
      </c>
      <c r="M78" s="5" t="e">
        <f>IF((COUNTIFS(#REF!,$C78,#REF!,M$1))&gt;=1,"SIM","")</f>
        <v>#REF!</v>
      </c>
      <c r="N78" s="5" t="e">
        <f>IF((COUNTIFS(#REF!,$C78,#REF!,N$1))&gt;=1,"SIM","")</f>
        <v>#REF!</v>
      </c>
      <c r="O78" s="5"/>
      <c r="P78" s="5" t="e">
        <f>IF((COUNTIFS(#REF!,$C78,#REF!,P$1))&gt;=1,"SIM","")</f>
        <v>#REF!</v>
      </c>
      <c r="Q78" s="5" t="e">
        <f>IF((COUNTIFS(#REF!,$C78,#REF!,Q$1))&gt;=1,"SIM","")</f>
        <v>#REF!</v>
      </c>
      <c r="R78" s="5" t="e">
        <f>IF((COUNTIFS(#REF!,$C78,#REF!,"*CARTA*"))&gt;=1,"SIM","")</f>
        <v>#REF!</v>
      </c>
      <c r="S78" s="5" t="e">
        <f>IF((COUNTIFS(#REF!,$C78,#REF!,"*CARTA NOTIFICAÇÃO/DEVOL*"))&gt;=1,"SIM","")</f>
        <v>#REF!</v>
      </c>
      <c r="T78" s="5" t="e">
        <f>IF((COUNTIFS(#REF!,$C78,#REF!,"*LIGAÇÃO ATIVA DEV PRIN/LOC*"))&gt;=1,"SIM","")</f>
        <v>#REF!</v>
      </c>
    </row>
    <row r="79" spans="1:20">
      <c r="A79" s="24" t="s">
        <v>2158</v>
      </c>
      <c r="B79" s="24" t="s">
        <v>1510</v>
      </c>
      <c r="C79" s="24" t="s">
        <v>1511</v>
      </c>
      <c r="D79" s="5" t="e">
        <f>IF((COUNTIFS(#REF!,$C79,#REF!,"*163*"))&gt;=1,"SIM","")</f>
        <v>#REF!</v>
      </c>
      <c r="E79" s="5" t="e">
        <f>IF((COUNTIFS(#REF!,$C79,#REF!,E$1))&gt;=1,"SIM","")</f>
        <v>#REF!</v>
      </c>
      <c r="F79" s="5" t="e">
        <f>IF((COUNTIFS(#REF!,$C79,#REF!,F$1))&gt;=1,"SIM","")</f>
        <v>#REF!</v>
      </c>
      <c r="G79" s="5" t="e">
        <f>IF((COUNTIFS(#REF!,$C79,#REF!,"*606*"))&gt;=1,"SIM","")</f>
        <v>#REF!</v>
      </c>
      <c r="H79" s="5" t="e">
        <f>IF((COUNTIFS(#REF!,$C79,#REF!,"*605*"))&gt;=1,"SIM","")</f>
        <v>#REF!</v>
      </c>
      <c r="I79" s="5" t="e">
        <f>IF((COUNTIFS(#REF!,$C79,#REF!,I$1))&gt;=1,"SIM","")</f>
        <v>#REF!</v>
      </c>
      <c r="J79" s="5" t="e">
        <f>IF((COUNTIFS(#REF!,$C79,#REF!,J$1))&gt;=1,"SIM","")</f>
        <v>#REF!</v>
      </c>
      <c r="K79" s="5" t="e">
        <f>IF((COUNTIFS(#REF!,$C79,#REF!,K$1))&gt;=1,"SIM","")</f>
        <v>#REF!</v>
      </c>
      <c r="L79" s="5" t="e">
        <f>IF((COUNTIFS(#REF!,$C79,#REF!,L$1))&gt;=1,"SIM","")</f>
        <v>#REF!</v>
      </c>
      <c r="M79" s="5" t="e">
        <f>IF((COUNTIFS(#REF!,$C79,#REF!,M$1))&gt;=1,"SIM","")</f>
        <v>#REF!</v>
      </c>
      <c r="N79" s="5" t="e">
        <f>IF((COUNTIFS(#REF!,$C79,#REF!,N$1))&gt;=1,"SIM","")</f>
        <v>#REF!</v>
      </c>
      <c r="O79" s="5"/>
      <c r="P79" s="5" t="e">
        <f>IF((COUNTIFS(#REF!,$C79,#REF!,P$1))&gt;=1,"SIM","")</f>
        <v>#REF!</v>
      </c>
      <c r="Q79" s="5" t="e">
        <f>IF((COUNTIFS(#REF!,$C79,#REF!,Q$1))&gt;=1,"SIM","")</f>
        <v>#REF!</v>
      </c>
      <c r="R79" s="5" t="e">
        <f>IF((COUNTIFS(#REF!,$C79,#REF!,"*CARTA*"))&gt;=1,"SIM","")</f>
        <v>#REF!</v>
      </c>
      <c r="S79" s="5" t="e">
        <f>IF((COUNTIFS(#REF!,$C79,#REF!,"*CARTA NOTIFICAÇÃO/DEVOL*"))&gt;=1,"SIM","")</f>
        <v>#REF!</v>
      </c>
      <c r="T79" s="5" t="e">
        <f>IF((COUNTIFS(#REF!,$C79,#REF!,"*LIGAÇÃO ATIVA DEV PRIN/LOC*"))&gt;=1,"SIM","")</f>
        <v>#REF!</v>
      </c>
    </row>
    <row r="80" spans="1:20">
      <c r="A80" s="24" t="s">
        <v>2153</v>
      </c>
      <c r="B80" s="24" t="s">
        <v>606</v>
      </c>
      <c r="C80" s="24" t="s">
        <v>607</v>
      </c>
      <c r="D80" s="5" t="e">
        <f>IF((COUNTIFS(#REF!,$C80,#REF!,"*163*"))&gt;=1,"SIM","")</f>
        <v>#REF!</v>
      </c>
      <c r="E80" s="5" t="e">
        <f>IF((COUNTIFS(#REF!,$C80,#REF!,E$1))&gt;=1,"SIM","")</f>
        <v>#REF!</v>
      </c>
      <c r="F80" s="5" t="e">
        <f>IF((COUNTIFS(#REF!,$C80,#REF!,F$1))&gt;=1,"SIM","")</f>
        <v>#REF!</v>
      </c>
      <c r="G80" s="5" t="e">
        <f>IF((COUNTIFS(#REF!,$C80,#REF!,"*606*"))&gt;=1,"SIM","")</f>
        <v>#REF!</v>
      </c>
      <c r="H80" s="5" t="e">
        <f>IF((COUNTIFS(#REF!,$C80,#REF!,"*605*"))&gt;=1,"SIM","")</f>
        <v>#REF!</v>
      </c>
      <c r="I80" s="5" t="e">
        <f>IF((COUNTIFS(#REF!,$C80,#REF!,I$1))&gt;=1,"SIM","")</f>
        <v>#REF!</v>
      </c>
      <c r="J80" s="5" t="e">
        <f>IF((COUNTIFS(#REF!,$C80,#REF!,J$1))&gt;=1,"SIM","")</f>
        <v>#REF!</v>
      </c>
      <c r="K80" s="5" t="e">
        <f>IF((COUNTIFS(#REF!,$C80,#REF!,K$1))&gt;=1,"SIM","")</f>
        <v>#REF!</v>
      </c>
      <c r="L80" s="5" t="e">
        <f>IF((COUNTIFS(#REF!,$C80,#REF!,L$1))&gt;=1,"SIM","")</f>
        <v>#REF!</v>
      </c>
      <c r="M80" s="5" t="e">
        <f>IF((COUNTIFS(#REF!,$C80,#REF!,M$1))&gt;=1,"SIM","")</f>
        <v>#REF!</v>
      </c>
      <c r="N80" s="5" t="e">
        <f>IF((COUNTIFS(#REF!,$C80,#REF!,N$1))&gt;=1,"SIM","")</f>
        <v>#REF!</v>
      </c>
      <c r="O80" s="5"/>
      <c r="P80" s="5" t="e">
        <f>IF((COUNTIFS(#REF!,$C80,#REF!,P$1))&gt;=1,"SIM","")</f>
        <v>#REF!</v>
      </c>
      <c r="Q80" s="5" t="e">
        <f>IF((COUNTIFS(#REF!,$C80,#REF!,Q$1))&gt;=1,"SIM","")</f>
        <v>#REF!</v>
      </c>
      <c r="R80" s="5" t="e">
        <f>IF((COUNTIFS(#REF!,$C80,#REF!,"*CARTA*"))&gt;=1,"SIM","")</f>
        <v>#REF!</v>
      </c>
      <c r="S80" s="5" t="e">
        <f>IF((COUNTIFS(#REF!,$C80,#REF!,"*CARTA NOTIFICAÇÃO/DEVOL*"))&gt;=1,"SIM","")</f>
        <v>#REF!</v>
      </c>
      <c r="T80" s="5" t="e">
        <f>IF((COUNTIFS(#REF!,$C80,#REF!,"*LIGAÇÃO ATIVA DEV PRIN/LOC*"))&gt;=1,"SIM","")</f>
        <v>#REF!</v>
      </c>
    </row>
    <row r="81" spans="1:20">
      <c r="A81" s="24" t="s">
        <v>2159</v>
      </c>
      <c r="B81" s="24" t="s">
        <v>1573</v>
      </c>
      <c r="C81" s="24" t="s">
        <v>1574</v>
      </c>
      <c r="D81" s="5" t="e">
        <f>IF((COUNTIFS(#REF!,$C81,#REF!,"*163*"))&gt;=1,"SIM","")</f>
        <v>#REF!</v>
      </c>
      <c r="E81" s="5" t="e">
        <f>IF((COUNTIFS(#REF!,$C81,#REF!,E$1))&gt;=1,"SIM","")</f>
        <v>#REF!</v>
      </c>
      <c r="F81" s="5" t="e">
        <f>IF((COUNTIFS(#REF!,$C81,#REF!,F$1))&gt;=1,"SIM","")</f>
        <v>#REF!</v>
      </c>
      <c r="G81" s="5" t="e">
        <f>IF((COUNTIFS(#REF!,$C81,#REF!,"*606*"))&gt;=1,"SIM","")</f>
        <v>#REF!</v>
      </c>
      <c r="H81" s="5" t="e">
        <f>IF((COUNTIFS(#REF!,$C81,#REF!,"*605*"))&gt;=1,"SIM","")</f>
        <v>#REF!</v>
      </c>
      <c r="I81" s="5" t="e">
        <f>IF((COUNTIFS(#REF!,$C81,#REF!,I$1))&gt;=1,"SIM","")</f>
        <v>#REF!</v>
      </c>
      <c r="J81" s="5" t="e">
        <f>IF((COUNTIFS(#REF!,$C81,#REF!,J$1))&gt;=1,"SIM","")</f>
        <v>#REF!</v>
      </c>
      <c r="K81" s="5" t="e">
        <f>IF((COUNTIFS(#REF!,$C81,#REF!,K$1))&gt;=1,"SIM","")</f>
        <v>#REF!</v>
      </c>
      <c r="L81" s="5" t="e">
        <f>IF((COUNTIFS(#REF!,$C81,#REF!,L$1))&gt;=1,"SIM","")</f>
        <v>#REF!</v>
      </c>
      <c r="M81" s="5" t="e">
        <f>IF((COUNTIFS(#REF!,$C81,#REF!,M$1))&gt;=1,"SIM","")</f>
        <v>#REF!</v>
      </c>
      <c r="N81" s="5" t="e">
        <f>IF((COUNTIFS(#REF!,$C81,#REF!,N$1))&gt;=1,"SIM","")</f>
        <v>#REF!</v>
      </c>
      <c r="O81" s="5"/>
      <c r="P81" s="5" t="e">
        <f>IF((COUNTIFS(#REF!,$C81,#REF!,P$1))&gt;=1,"SIM","")</f>
        <v>#REF!</v>
      </c>
      <c r="Q81" s="5" t="e">
        <f>IF((COUNTIFS(#REF!,$C81,#REF!,Q$1))&gt;=1,"SIM","")</f>
        <v>#REF!</v>
      </c>
      <c r="R81" s="5" t="e">
        <f>IF((COUNTIFS(#REF!,$C81,#REF!,"*CARTA*"))&gt;=1,"SIM","")</f>
        <v>#REF!</v>
      </c>
      <c r="S81" s="5" t="e">
        <f>IF((COUNTIFS(#REF!,$C81,#REF!,"*CARTA NOTIFICAÇÃO/DEVOL*"))&gt;=1,"SIM","")</f>
        <v>#REF!</v>
      </c>
      <c r="T81" s="5" t="e">
        <f>IF((COUNTIFS(#REF!,$C81,#REF!,"*LIGAÇÃO ATIVA DEV PRIN/LOC*"))&gt;=1,"SIM","")</f>
        <v>#REF!</v>
      </c>
    </row>
    <row r="82" spans="1:20">
      <c r="A82" s="24" t="s">
        <v>2153</v>
      </c>
      <c r="B82" s="24" t="s">
        <v>542</v>
      </c>
      <c r="C82" s="24" t="s">
        <v>543</v>
      </c>
      <c r="D82" s="5" t="e">
        <f>IF((COUNTIFS(#REF!,$C82,#REF!,"*163*"))&gt;=1,"SIM","")</f>
        <v>#REF!</v>
      </c>
      <c r="E82" s="5" t="e">
        <f>IF((COUNTIFS(#REF!,$C82,#REF!,E$1))&gt;=1,"SIM","")</f>
        <v>#REF!</v>
      </c>
      <c r="F82" s="5" t="e">
        <f>IF((COUNTIFS(#REF!,$C82,#REF!,F$1))&gt;=1,"SIM","")</f>
        <v>#REF!</v>
      </c>
      <c r="G82" s="5" t="e">
        <f>IF((COUNTIFS(#REF!,$C82,#REF!,"*606*"))&gt;=1,"SIM","")</f>
        <v>#REF!</v>
      </c>
      <c r="H82" s="5" t="e">
        <f>IF((COUNTIFS(#REF!,$C82,#REF!,"*605*"))&gt;=1,"SIM","")</f>
        <v>#REF!</v>
      </c>
      <c r="I82" s="5" t="e">
        <f>IF((COUNTIFS(#REF!,$C82,#REF!,I$1))&gt;=1,"SIM","")</f>
        <v>#REF!</v>
      </c>
      <c r="J82" s="5" t="e">
        <f>IF((COUNTIFS(#REF!,$C82,#REF!,J$1))&gt;=1,"SIM","")</f>
        <v>#REF!</v>
      </c>
      <c r="K82" s="5" t="e">
        <f>IF((COUNTIFS(#REF!,$C82,#REF!,K$1))&gt;=1,"SIM","")</f>
        <v>#REF!</v>
      </c>
      <c r="L82" s="5" t="e">
        <f>IF((COUNTIFS(#REF!,$C82,#REF!,L$1))&gt;=1,"SIM","")</f>
        <v>#REF!</v>
      </c>
      <c r="M82" s="5" t="e">
        <f>IF((COUNTIFS(#REF!,$C82,#REF!,M$1))&gt;=1,"SIM","")</f>
        <v>#REF!</v>
      </c>
      <c r="N82" s="5" t="e">
        <f>IF((COUNTIFS(#REF!,$C82,#REF!,N$1))&gt;=1,"SIM","")</f>
        <v>#REF!</v>
      </c>
      <c r="O82" s="5"/>
      <c r="P82" s="5" t="e">
        <f>IF((COUNTIFS(#REF!,$C82,#REF!,P$1))&gt;=1,"SIM","")</f>
        <v>#REF!</v>
      </c>
      <c r="Q82" s="5" t="e">
        <f>IF((COUNTIFS(#REF!,$C82,#REF!,Q$1))&gt;=1,"SIM","")</f>
        <v>#REF!</v>
      </c>
      <c r="R82" s="5" t="e">
        <f>IF((COUNTIFS(#REF!,$C82,#REF!,"*CARTA*"))&gt;=1,"SIM","")</f>
        <v>#REF!</v>
      </c>
      <c r="S82" s="5" t="e">
        <f>IF((COUNTIFS(#REF!,$C82,#REF!,"*CARTA NOTIFICAÇÃO/DEVOL*"))&gt;=1,"SIM","")</f>
        <v>#REF!</v>
      </c>
      <c r="T82" s="5" t="e">
        <f>IF((COUNTIFS(#REF!,$C82,#REF!,"*LIGAÇÃO ATIVA DEV PRIN/LOC*"))&gt;=1,"SIM","")</f>
        <v>#REF!</v>
      </c>
    </row>
    <row r="83" spans="1:20">
      <c r="A83" s="24" t="s">
        <v>2157</v>
      </c>
      <c r="B83" s="24" t="s">
        <v>1764</v>
      </c>
      <c r="C83" s="24" t="s">
        <v>1765</v>
      </c>
      <c r="D83" s="5" t="e">
        <f>IF((COUNTIFS(#REF!,$C83,#REF!,"*163*"))&gt;=1,"SIM","")</f>
        <v>#REF!</v>
      </c>
      <c r="E83" s="5" t="e">
        <f>IF((COUNTIFS(#REF!,$C83,#REF!,E$1))&gt;=1,"SIM","")</f>
        <v>#REF!</v>
      </c>
      <c r="F83" s="5" t="e">
        <f>IF((COUNTIFS(#REF!,$C83,#REF!,F$1))&gt;=1,"SIM","")</f>
        <v>#REF!</v>
      </c>
      <c r="G83" s="5" t="e">
        <f>IF((COUNTIFS(#REF!,$C83,#REF!,"*606*"))&gt;=1,"SIM","")</f>
        <v>#REF!</v>
      </c>
      <c r="H83" s="5" t="e">
        <f>IF((COUNTIFS(#REF!,$C83,#REF!,"*605*"))&gt;=1,"SIM","")</f>
        <v>#REF!</v>
      </c>
      <c r="I83" s="5" t="e">
        <f>IF((COUNTIFS(#REF!,$C83,#REF!,I$1))&gt;=1,"SIM","")</f>
        <v>#REF!</v>
      </c>
      <c r="J83" s="5" t="e">
        <f>IF((COUNTIFS(#REF!,$C83,#REF!,J$1))&gt;=1,"SIM","")</f>
        <v>#REF!</v>
      </c>
      <c r="K83" s="5" t="e">
        <f>IF((COUNTIFS(#REF!,$C83,#REF!,K$1))&gt;=1,"SIM","")</f>
        <v>#REF!</v>
      </c>
      <c r="L83" s="5" t="e">
        <f>IF((COUNTIFS(#REF!,$C83,#REF!,L$1))&gt;=1,"SIM","")</f>
        <v>#REF!</v>
      </c>
      <c r="M83" s="5" t="e">
        <f>IF((COUNTIFS(#REF!,$C83,#REF!,M$1))&gt;=1,"SIM","")</f>
        <v>#REF!</v>
      </c>
      <c r="N83" s="5" t="e">
        <f>IF((COUNTIFS(#REF!,$C83,#REF!,N$1))&gt;=1,"SIM","")</f>
        <v>#REF!</v>
      </c>
      <c r="O83" s="5"/>
      <c r="P83" s="5" t="e">
        <f>IF((COUNTIFS(#REF!,$C83,#REF!,P$1))&gt;=1,"SIM","")</f>
        <v>#REF!</v>
      </c>
      <c r="Q83" s="5" t="e">
        <f>IF((COUNTIFS(#REF!,$C83,#REF!,Q$1))&gt;=1,"SIM","")</f>
        <v>#REF!</v>
      </c>
      <c r="R83" s="5" t="e">
        <f>IF((COUNTIFS(#REF!,$C83,#REF!,"*CARTA*"))&gt;=1,"SIM","")</f>
        <v>#REF!</v>
      </c>
      <c r="S83" s="5" t="e">
        <f>IF((COUNTIFS(#REF!,$C83,#REF!,"*CARTA NOTIFICAÇÃO/DEVOL*"))&gt;=1,"SIM","")</f>
        <v>#REF!</v>
      </c>
      <c r="T83" s="5" t="e">
        <f>IF((COUNTIFS(#REF!,$C83,#REF!,"*LIGAÇÃO ATIVA DEV PRIN/LOC*"))&gt;=1,"SIM","")</f>
        <v>#REF!</v>
      </c>
    </row>
    <row r="84" spans="1:20">
      <c r="A84" s="24" t="s">
        <v>2159</v>
      </c>
      <c r="B84" s="24" t="s">
        <v>2024</v>
      </c>
      <c r="C84" s="24" t="s">
        <v>2025</v>
      </c>
      <c r="D84" s="5" t="e">
        <f>IF((COUNTIFS(#REF!,$C84,#REF!,"*163*"))&gt;=1,"SIM","")</f>
        <v>#REF!</v>
      </c>
      <c r="E84" s="5" t="e">
        <f>IF((COUNTIFS(#REF!,$C84,#REF!,E$1))&gt;=1,"SIM","")</f>
        <v>#REF!</v>
      </c>
      <c r="F84" s="5" t="e">
        <f>IF((COUNTIFS(#REF!,$C84,#REF!,F$1))&gt;=1,"SIM","")</f>
        <v>#REF!</v>
      </c>
      <c r="G84" s="5" t="e">
        <f>IF((COUNTIFS(#REF!,$C84,#REF!,"*606*"))&gt;=1,"SIM","")</f>
        <v>#REF!</v>
      </c>
      <c r="H84" s="5" t="e">
        <f>IF((COUNTIFS(#REF!,$C84,#REF!,"*605*"))&gt;=1,"SIM","")</f>
        <v>#REF!</v>
      </c>
      <c r="I84" s="5" t="e">
        <f>IF((COUNTIFS(#REF!,$C84,#REF!,I$1))&gt;=1,"SIM","")</f>
        <v>#REF!</v>
      </c>
      <c r="J84" s="5" t="e">
        <f>IF((COUNTIFS(#REF!,$C84,#REF!,J$1))&gt;=1,"SIM","")</f>
        <v>#REF!</v>
      </c>
      <c r="K84" s="5" t="e">
        <f>IF((COUNTIFS(#REF!,$C84,#REF!,K$1))&gt;=1,"SIM","")</f>
        <v>#REF!</v>
      </c>
      <c r="L84" s="5" t="e">
        <f>IF((COUNTIFS(#REF!,$C84,#REF!,L$1))&gt;=1,"SIM","")</f>
        <v>#REF!</v>
      </c>
      <c r="M84" s="5" t="e">
        <f>IF((COUNTIFS(#REF!,$C84,#REF!,M$1))&gt;=1,"SIM","")</f>
        <v>#REF!</v>
      </c>
      <c r="N84" s="5" t="e">
        <f>IF((COUNTIFS(#REF!,$C84,#REF!,N$1))&gt;=1,"SIM","")</f>
        <v>#REF!</v>
      </c>
      <c r="O84" s="5"/>
      <c r="P84" s="5" t="e">
        <f>IF((COUNTIFS(#REF!,$C84,#REF!,P$1))&gt;=1,"SIM","")</f>
        <v>#REF!</v>
      </c>
      <c r="Q84" s="5" t="e">
        <f>IF((COUNTIFS(#REF!,$C84,#REF!,Q$1))&gt;=1,"SIM","")</f>
        <v>#REF!</v>
      </c>
      <c r="R84" s="5" t="e">
        <f>IF((COUNTIFS(#REF!,$C84,#REF!,"*CARTA*"))&gt;=1,"SIM","")</f>
        <v>#REF!</v>
      </c>
      <c r="S84" s="5" t="e">
        <f>IF((COUNTIFS(#REF!,$C84,#REF!,"*CARTA NOTIFICAÇÃO/DEVOL*"))&gt;=1,"SIM","")</f>
        <v>#REF!</v>
      </c>
      <c r="T84" s="5" t="e">
        <f>IF((COUNTIFS(#REF!,$C84,#REF!,"*LIGAÇÃO ATIVA DEV PRIN/LOC*"))&gt;=1,"SIM","")</f>
        <v>#REF!</v>
      </c>
    </row>
    <row r="85" spans="1:20">
      <c r="A85" s="24" t="s">
        <v>2153</v>
      </c>
      <c r="B85" s="24" t="s">
        <v>412</v>
      </c>
      <c r="C85" s="24" t="s">
        <v>413</v>
      </c>
      <c r="D85" s="5" t="e">
        <f>IF((COUNTIFS(#REF!,$C85,#REF!,"*163*"))&gt;=1,"SIM","")</f>
        <v>#REF!</v>
      </c>
      <c r="E85" s="5" t="e">
        <f>IF((COUNTIFS(#REF!,$C85,#REF!,E$1))&gt;=1,"SIM","")</f>
        <v>#REF!</v>
      </c>
      <c r="F85" s="5" t="e">
        <f>IF((COUNTIFS(#REF!,$C85,#REF!,F$1))&gt;=1,"SIM","")</f>
        <v>#REF!</v>
      </c>
      <c r="G85" s="5" t="e">
        <f>IF((COUNTIFS(#REF!,$C85,#REF!,"*606*"))&gt;=1,"SIM","")</f>
        <v>#REF!</v>
      </c>
      <c r="H85" s="5" t="e">
        <f>IF((COUNTIFS(#REF!,$C85,#REF!,"*605*"))&gt;=1,"SIM","")</f>
        <v>#REF!</v>
      </c>
      <c r="I85" s="5" t="e">
        <f>IF((COUNTIFS(#REF!,$C85,#REF!,I$1))&gt;=1,"SIM","")</f>
        <v>#REF!</v>
      </c>
      <c r="J85" s="5" t="e">
        <f>IF((COUNTIFS(#REF!,$C85,#REF!,J$1))&gt;=1,"SIM","")</f>
        <v>#REF!</v>
      </c>
      <c r="K85" s="5" t="e">
        <f>IF((COUNTIFS(#REF!,$C85,#REF!,K$1))&gt;=1,"SIM","")</f>
        <v>#REF!</v>
      </c>
      <c r="L85" s="5" t="e">
        <f>IF((COUNTIFS(#REF!,$C85,#REF!,L$1))&gt;=1,"SIM","")</f>
        <v>#REF!</v>
      </c>
      <c r="M85" s="5" t="e">
        <f>IF((COUNTIFS(#REF!,$C85,#REF!,M$1))&gt;=1,"SIM","")</f>
        <v>#REF!</v>
      </c>
      <c r="N85" s="5" t="e">
        <f>IF((COUNTIFS(#REF!,$C85,#REF!,N$1))&gt;=1,"SIM","")</f>
        <v>#REF!</v>
      </c>
      <c r="O85" s="5"/>
      <c r="P85" s="5" t="e">
        <f>IF((COUNTIFS(#REF!,$C85,#REF!,P$1))&gt;=1,"SIM","")</f>
        <v>#REF!</v>
      </c>
      <c r="Q85" s="5" t="e">
        <f>IF((COUNTIFS(#REF!,$C85,#REF!,Q$1))&gt;=1,"SIM","")</f>
        <v>#REF!</v>
      </c>
      <c r="R85" s="5" t="e">
        <f>IF((COUNTIFS(#REF!,$C85,#REF!,"*CARTA*"))&gt;=1,"SIM","")</f>
        <v>#REF!</v>
      </c>
      <c r="S85" s="5" t="e">
        <f>IF((COUNTIFS(#REF!,$C85,#REF!,"*CARTA NOTIFICAÇÃO/DEVOL*"))&gt;=1,"SIM","")</f>
        <v>#REF!</v>
      </c>
      <c r="T85" s="5" t="e">
        <f>IF((COUNTIFS(#REF!,$C85,#REF!,"*LIGAÇÃO ATIVA DEV PRIN/LOC*"))&gt;=1,"SIM","")</f>
        <v>#REF!</v>
      </c>
    </row>
    <row r="86" spans="1:20">
      <c r="A86" s="24" t="s">
        <v>2159</v>
      </c>
      <c r="B86" s="24" t="s">
        <v>1575</v>
      </c>
      <c r="C86" s="24" t="s">
        <v>1576</v>
      </c>
      <c r="D86" s="5" t="e">
        <f>IF((COUNTIFS(#REF!,$C86,#REF!,"*163*"))&gt;=1,"SIM","")</f>
        <v>#REF!</v>
      </c>
      <c r="E86" s="5" t="e">
        <f>IF((COUNTIFS(#REF!,$C86,#REF!,E$1))&gt;=1,"SIM","")</f>
        <v>#REF!</v>
      </c>
      <c r="F86" s="5" t="e">
        <f>IF((COUNTIFS(#REF!,$C86,#REF!,F$1))&gt;=1,"SIM","")</f>
        <v>#REF!</v>
      </c>
      <c r="G86" s="5" t="e">
        <f>IF((COUNTIFS(#REF!,$C86,#REF!,"*606*"))&gt;=1,"SIM","")</f>
        <v>#REF!</v>
      </c>
      <c r="H86" s="5" t="e">
        <f>IF((COUNTIFS(#REF!,$C86,#REF!,"*605*"))&gt;=1,"SIM","")</f>
        <v>#REF!</v>
      </c>
      <c r="I86" s="5" t="e">
        <f>IF((COUNTIFS(#REF!,$C86,#REF!,I$1))&gt;=1,"SIM","")</f>
        <v>#REF!</v>
      </c>
      <c r="J86" s="5" t="e">
        <f>IF((COUNTIFS(#REF!,$C86,#REF!,J$1))&gt;=1,"SIM","")</f>
        <v>#REF!</v>
      </c>
      <c r="K86" s="5" t="e">
        <f>IF((COUNTIFS(#REF!,$C86,#REF!,K$1))&gt;=1,"SIM","")</f>
        <v>#REF!</v>
      </c>
      <c r="L86" s="5" t="e">
        <f>IF((COUNTIFS(#REF!,$C86,#REF!,L$1))&gt;=1,"SIM","")</f>
        <v>#REF!</v>
      </c>
      <c r="M86" s="5" t="e">
        <f>IF((COUNTIFS(#REF!,$C86,#REF!,M$1))&gt;=1,"SIM","")</f>
        <v>#REF!</v>
      </c>
      <c r="N86" s="5" t="e">
        <f>IF((COUNTIFS(#REF!,$C86,#REF!,N$1))&gt;=1,"SIM","")</f>
        <v>#REF!</v>
      </c>
      <c r="O86" s="5"/>
      <c r="P86" s="5" t="e">
        <f>IF((COUNTIFS(#REF!,$C86,#REF!,P$1))&gt;=1,"SIM","")</f>
        <v>#REF!</v>
      </c>
      <c r="Q86" s="5" t="e">
        <f>IF((COUNTIFS(#REF!,$C86,#REF!,Q$1))&gt;=1,"SIM","")</f>
        <v>#REF!</v>
      </c>
      <c r="R86" s="5" t="e">
        <f>IF((COUNTIFS(#REF!,$C86,#REF!,"*CARTA*"))&gt;=1,"SIM","")</f>
        <v>#REF!</v>
      </c>
      <c r="S86" s="5" t="e">
        <f>IF((COUNTIFS(#REF!,$C86,#REF!,"*CARTA NOTIFICAÇÃO/DEVOL*"))&gt;=1,"SIM","")</f>
        <v>#REF!</v>
      </c>
      <c r="T86" s="5" t="e">
        <f>IF((COUNTIFS(#REF!,$C86,#REF!,"*LIGAÇÃO ATIVA DEV PRIN/LOC*"))&gt;=1,"SIM","")</f>
        <v>#REF!</v>
      </c>
    </row>
    <row r="87" spans="1:20">
      <c r="A87" s="24" t="s">
        <v>2153</v>
      </c>
      <c r="B87" s="24" t="s">
        <v>344</v>
      </c>
      <c r="C87" s="24" t="s">
        <v>345</v>
      </c>
      <c r="D87" s="5" t="e">
        <f>IF((COUNTIFS(#REF!,$C87,#REF!,"*163*"))&gt;=1,"SIM","")</f>
        <v>#REF!</v>
      </c>
      <c r="E87" s="5" t="e">
        <f>IF((COUNTIFS(#REF!,$C87,#REF!,E$1))&gt;=1,"SIM","")</f>
        <v>#REF!</v>
      </c>
      <c r="F87" s="5" t="e">
        <f>IF((COUNTIFS(#REF!,$C87,#REF!,F$1))&gt;=1,"SIM","")</f>
        <v>#REF!</v>
      </c>
      <c r="G87" s="5" t="e">
        <f>IF((COUNTIFS(#REF!,$C87,#REF!,"*606*"))&gt;=1,"SIM","")</f>
        <v>#REF!</v>
      </c>
      <c r="H87" s="5" t="e">
        <f>IF((COUNTIFS(#REF!,$C87,#REF!,"*605*"))&gt;=1,"SIM","")</f>
        <v>#REF!</v>
      </c>
      <c r="I87" s="5" t="e">
        <f>IF((COUNTIFS(#REF!,$C87,#REF!,I$1))&gt;=1,"SIM","")</f>
        <v>#REF!</v>
      </c>
      <c r="J87" s="5" t="e">
        <f>IF((COUNTIFS(#REF!,$C87,#REF!,J$1))&gt;=1,"SIM","")</f>
        <v>#REF!</v>
      </c>
      <c r="K87" s="5" t="e">
        <f>IF((COUNTIFS(#REF!,$C87,#REF!,K$1))&gt;=1,"SIM","")</f>
        <v>#REF!</v>
      </c>
      <c r="L87" s="5" t="e">
        <f>IF((COUNTIFS(#REF!,$C87,#REF!,L$1))&gt;=1,"SIM","")</f>
        <v>#REF!</v>
      </c>
      <c r="M87" s="5" t="e">
        <f>IF((COUNTIFS(#REF!,$C87,#REF!,M$1))&gt;=1,"SIM","")</f>
        <v>#REF!</v>
      </c>
      <c r="N87" s="5" t="e">
        <f>IF((COUNTIFS(#REF!,$C87,#REF!,N$1))&gt;=1,"SIM","")</f>
        <v>#REF!</v>
      </c>
      <c r="O87" s="5"/>
      <c r="P87" s="5" t="e">
        <f>IF((COUNTIFS(#REF!,$C87,#REF!,P$1))&gt;=1,"SIM","")</f>
        <v>#REF!</v>
      </c>
      <c r="Q87" s="5" t="e">
        <f>IF((COUNTIFS(#REF!,$C87,#REF!,Q$1))&gt;=1,"SIM","")</f>
        <v>#REF!</v>
      </c>
      <c r="R87" s="5" t="e">
        <f>IF((COUNTIFS(#REF!,$C87,#REF!,"*CARTA*"))&gt;=1,"SIM","")</f>
        <v>#REF!</v>
      </c>
      <c r="S87" s="5" t="e">
        <f>IF((COUNTIFS(#REF!,$C87,#REF!,"*CARTA NOTIFICAÇÃO/DEVOL*"))&gt;=1,"SIM","")</f>
        <v>#REF!</v>
      </c>
      <c r="T87" s="5" t="e">
        <f>IF((COUNTIFS(#REF!,$C87,#REF!,"*LIGAÇÃO ATIVA DEV PRIN/LOC*"))&gt;=1,"SIM","")</f>
        <v>#REF!</v>
      </c>
    </row>
    <row r="88" spans="1:20">
      <c r="A88" s="24" t="s">
        <v>2153</v>
      </c>
      <c r="B88" s="24" t="s">
        <v>972</v>
      </c>
      <c r="C88" s="24" t="s">
        <v>973</v>
      </c>
      <c r="D88" s="5" t="e">
        <f>IF((COUNTIFS(#REF!,$C88,#REF!,"*163*"))&gt;=1,"SIM","")</f>
        <v>#REF!</v>
      </c>
      <c r="E88" s="5" t="e">
        <f>IF((COUNTIFS(#REF!,$C88,#REF!,E$1))&gt;=1,"SIM","")</f>
        <v>#REF!</v>
      </c>
      <c r="F88" s="5" t="e">
        <f>IF((COUNTIFS(#REF!,$C88,#REF!,F$1))&gt;=1,"SIM","")</f>
        <v>#REF!</v>
      </c>
      <c r="G88" s="5" t="e">
        <f>IF((COUNTIFS(#REF!,$C88,#REF!,"*606*"))&gt;=1,"SIM","")</f>
        <v>#REF!</v>
      </c>
      <c r="H88" s="5" t="e">
        <f>IF((COUNTIFS(#REF!,$C88,#REF!,"*605*"))&gt;=1,"SIM","")</f>
        <v>#REF!</v>
      </c>
      <c r="I88" s="5" t="e">
        <f>IF((COUNTIFS(#REF!,$C88,#REF!,I$1))&gt;=1,"SIM","")</f>
        <v>#REF!</v>
      </c>
      <c r="J88" s="5" t="e">
        <f>IF((COUNTIFS(#REF!,$C88,#REF!,J$1))&gt;=1,"SIM","")</f>
        <v>#REF!</v>
      </c>
      <c r="K88" s="5" t="e">
        <f>IF((COUNTIFS(#REF!,$C88,#REF!,K$1))&gt;=1,"SIM","")</f>
        <v>#REF!</v>
      </c>
      <c r="L88" s="5" t="e">
        <f>IF((COUNTIFS(#REF!,$C88,#REF!,L$1))&gt;=1,"SIM","")</f>
        <v>#REF!</v>
      </c>
      <c r="M88" s="5" t="e">
        <f>IF((COUNTIFS(#REF!,$C88,#REF!,M$1))&gt;=1,"SIM","")</f>
        <v>#REF!</v>
      </c>
      <c r="N88" s="5" t="e">
        <f>IF((COUNTIFS(#REF!,$C88,#REF!,N$1))&gt;=1,"SIM","")</f>
        <v>#REF!</v>
      </c>
      <c r="O88" s="5"/>
      <c r="P88" s="5" t="e">
        <f>IF((COUNTIFS(#REF!,$C88,#REF!,P$1))&gt;=1,"SIM","")</f>
        <v>#REF!</v>
      </c>
      <c r="Q88" s="5" t="e">
        <f>IF((COUNTIFS(#REF!,$C88,#REF!,Q$1))&gt;=1,"SIM","")</f>
        <v>#REF!</v>
      </c>
      <c r="R88" s="5" t="e">
        <f>IF((COUNTIFS(#REF!,$C88,#REF!,"*CARTA*"))&gt;=1,"SIM","")</f>
        <v>#REF!</v>
      </c>
      <c r="S88" s="5" t="e">
        <f>IF((COUNTIFS(#REF!,$C88,#REF!,"*CARTA NOTIFICAÇÃO/DEVOL*"))&gt;=1,"SIM","")</f>
        <v>#REF!</v>
      </c>
      <c r="T88" s="5" t="e">
        <f>IF((COUNTIFS(#REF!,$C88,#REF!,"*LIGAÇÃO ATIVA DEV PRIN/LOC*"))&gt;=1,"SIM","")</f>
        <v>#REF!</v>
      </c>
    </row>
    <row r="89" spans="1:20">
      <c r="A89" s="24" t="s">
        <v>2153</v>
      </c>
      <c r="B89" s="24" t="s">
        <v>995</v>
      </c>
      <c r="C89" s="24" t="s">
        <v>996</v>
      </c>
      <c r="D89" s="5" t="e">
        <f>IF((COUNTIFS(#REF!,$C89,#REF!,"*163*"))&gt;=1,"SIM","")</f>
        <v>#REF!</v>
      </c>
      <c r="E89" s="5" t="e">
        <f>IF((COUNTIFS(#REF!,$C89,#REF!,E$1))&gt;=1,"SIM","")</f>
        <v>#REF!</v>
      </c>
      <c r="F89" s="5" t="e">
        <f>IF((COUNTIFS(#REF!,$C89,#REF!,F$1))&gt;=1,"SIM","")</f>
        <v>#REF!</v>
      </c>
      <c r="G89" s="5" t="e">
        <f>IF((COUNTIFS(#REF!,$C89,#REF!,"*606*"))&gt;=1,"SIM","")</f>
        <v>#REF!</v>
      </c>
      <c r="H89" s="5" t="e">
        <f>IF((COUNTIFS(#REF!,$C89,#REF!,"*605*"))&gt;=1,"SIM","")</f>
        <v>#REF!</v>
      </c>
      <c r="I89" s="5" t="e">
        <f>IF((COUNTIFS(#REF!,$C89,#REF!,I$1))&gt;=1,"SIM","")</f>
        <v>#REF!</v>
      </c>
      <c r="J89" s="5" t="e">
        <f>IF((COUNTIFS(#REF!,$C89,#REF!,J$1))&gt;=1,"SIM","")</f>
        <v>#REF!</v>
      </c>
      <c r="K89" s="5" t="e">
        <f>IF((COUNTIFS(#REF!,$C89,#REF!,K$1))&gt;=1,"SIM","")</f>
        <v>#REF!</v>
      </c>
      <c r="L89" s="5" t="e">
        <f>IF((COUNTIFS(#REF!,$C89,#REF!,L$1))&gt;=1,"SIM","")</f>
        <v>#REF!</v>
      </c>
      <c r="M89" s="5" t="e">
        <f>IF((COUNTIFS(#REF!,$C89,#REF!,M$1))&gt;=1,"SIM","")</f>
        <v>#REF!</v>
      </c>
      <c r="N89" s="5" t="e">
        <f>IF((COUNTIFS(#REF!,$C89,#REF!,N$1))&gt;=1,"SIM","")</f>
        <v>#REF!</v>
      </c>
      <c r="O89" s="5"/>
      <c r="P89" s="5" t="e">
        <f>IF((COUNTIFS(#REF!,$C89,#REF!,P$1))&gt;=1,"SIM","")</f>
        <v>#REF!</v>
      </c>
      <c r="Q89" s="5" t="e">
        <f>IF((COUNTIFS(#REF!,$C89,#REF!,Q$1))&gt;=1,"SIM","")</f>
        <v>#REF!</v>
      </c>
      <c r="R89" s="5" t="e">
        <f>IF((COUNTIFS(#REF!,$C89,#REF!,"*CARTA*"))&gt;=1,"SIM","")</f>
        <v>#REF!</v>
      </c>
      <c r="S89" s="5" t="e">
        <f>IF((COUNTIFS(#REF!,$C89,#REF!,"*CARTA NOTIFICAÇÃO/DEVOL*"))&gt;=1,"SIM","")</f>
        <v>#REF!</v>
      </c>
      <c r="T89" s="5" t="e">
        <f>IF((COUNTIFS(#REF!,$C89,#REF!,"*LIGAÇÃO ATIVA DEV PRIN/LOC*"))&gt;=1,"SIM","")</f>
        <v>#REF!</v>
      </c>
    </row>
    <row r="90" spans="1:20">
      <c r="A90" s="24" t="s">
        <v>2153</v>
      </c>
      <c r="B90" s="24" t="s">
        <v>229</v>
      </c>
      <c r="C90" s="24" t="s">
        <v>230</v>
      </c>
      <c r="D90" s="5" t="e">
        <f>IF((COUNTIFS(#REF!,$C90,#REF!,"*163*"))&gt;=1,"SIM","")</f>
        <v>#REF!</v>
      </c>
      <c r="E90" s="5" t="e">
        <f>IF((COUNTIFS(#REF!,$C90,#REF!,E$1))&gt;=1,"SIM","")</f>
        <v>#REF!</v>
      </c>
      <c r="F90" s="5" t="e">
        <f>IF((COUNTIFS(#REF!,$C90,#REF!,F$1))&gt;=1,"SIM","")</f>
        <v>#REF!</v>
      </c>
      <c r="G90" s="5" t="e">
        <f>IF((COUNTIFS(#REF!,$C90,#REF!,"*606*"))&gt;=1,"SIM","")</f>
        <v>#REF!</v>
      </c>
      <c r="H90" s="5" t="e">
        <f>IF((COUNTIFS(#REF!,$C90,#REF!,"*605*"))&gt;=1,"SIM","")</f>
        <v>#REF!</v>
      </c>
      <c r="I90" s="5" t="e">
        <f>IF((COUNTIFS(#REF!,$C90,#REF!,I$1))&gt;=1,"SIM","")</f>
        <v>#REF!</v>
      </c>
      <c r="J90" s="5" t="e">
        <f>IF((COUNTIFS(#REF!,$C90,#REF!,J$1))&gt;=1,"SIM","")</f>
        <v>#REF!</v>
      </c>
      <c r="K90" s="5" t="e">
        <f>IF((COUNTIFS(#REF!,$C90,#REF!,K$1))&gt;=1,"SIM","")</f>
        <v>#REF!</v>
      </c>
      <c r="L90" s="5" t="e">
        <f>IF((COUNTIFS(#REF!,$C90,#REF!,L$1))&gt;=1,"SIM","")</f>
        <v>#REF!</v>
      </c>
      <c r="M90" s="5" t="e">
        <f>IF((COUNTIFS(#REF!,$C90,#REF!,M$1))&gt;=1,"SIM","")</f>
        <v>#REF!</v>
      </c>
      <c r="N90" s="5" t="e">
        <f>IF((COUNTIFS(#REF!,$C90,#REF!,N$1))&gt;=1,"SIM","")</f>
        <v>#REF!</v>
      </c>
      <c r="O90" s="5"/>
      <c r="P90" s="5" t="e">
        <f>IF((COUNTIFS(#REF!,$C90,#REF!,P$1))&gt;=1,"SIM","")</f>
        <v>#REF!</v>
      </c>
      <c r="Q90" s="5" t="e">
        <f>IF((COUNTIFS(#REF!,$C90,#REF!,Q$1))&gt;=1,"SIM","")</f>
        <v>#REF!</v>
      </c>
      <c r="R90" s="5" t="e">
        <f>IF((COUNTIFS(#REF!,$C90,#REF!,"*CARTA*"))&gt;=1,"SIM","")</f>
        <v>#REF!</v>
      </c>
      <c r="S90" s="5" t="e">
        <f>IF((COUNTIFS(#REF!,$C90,#REF!,"*CARTA NOTIFICAÇÃO/DEVOL*"))&gt;=1,"SIM","")</f>
        <v>#REF!</v>
      </c>
      <c r="T90" s="5" t="e">
        <f>IF((COUNTIFS(#REF!,$C90,#REF!,"*LIGAÇÃO ATIVA DEV PRIN/LOC*"))&gt;=1,"SIM","")</f>
        <v>#REF!</v>
      </c>
    </row>
    <row r="91" spans="1:20">
      <c r="A91" s="24" t="s">
        <v>2153</v>
      </c>
      <c r="B91" s="24" t="s">
        <v>706</v>
      </c>
      <c r="C91" s="24" t="s">
        <v>707</v>
      </c>
      <c r="D91" s="5" t="e">
        <f>IF((COUNTIFS(#REF!,$C91,#REF!,"*163*"))&gt;=1,"SIM","")</f>
        <v>#REF!</v>
      </c>
      <c r="E91" s="5" t="e">
        <f>IF((COUNTIFS(#REF!,$C91,#REF!,E$1))&gt;=1,"SIM","")</f>
        <v>#REF!</v>
      </c>
      <c r="F91" s="5" t="e">
        <f>IF((COUNTIFS(#REF!,$C91,#REF!,F$1))&gt;=1,"SIM","")</f>
        <v>#REF!</v>
      </c>
      <c r="G91" s="5" t="e">
        <f>IF((COUNTIFS(#REF!,$C91,#REF!,"*606*"))&gt;=1,"SIM","")</f>
        <v>#REF!</v>
      </c>
      <c r="H91" s="5" t="e">
        <f>IF((COUNTIFS(#REF!,$C91,#REF!,"*605*"))&gt;=1,"SIM","")</f>
        <v>#REF!</v>
      </c>
      <c r="I91" s="5" t="e">
        <f>IF((COUNTIFS(#REF!,$C91,#REF!,I$1))&gt;=1,"SIM","")</f>
        <v>#REF!</v>
      </c>
      <c r="J91" s="5" t="e">
        <f>IF((COUNTIFS(#REF!,$C91,#REF!,J$1))&gt;=1,"SIM","")</f>
        <v>#REF!</v>
      </c>
      <c r="K91" s="5" t="e">
        <f>IF((COUNTIFS(#REF!,$C91,#REF!,K$1))&gt;=1,"SIM","")</f>
        <v>#REF!</v>
      </c>
      <c r="L91" s="5" t="e">
        <f>IF((COUNTIFS(#REF!,$C91,#REF!,L$1))&gt;=1,"SIM","")</f>
        <v>#REF!</v>
      </c>
      <c r="M91" s="5" t="e">
        <f>IF((COUNTIFS(#REF!,$C91,#REF!,M$1))&gt;=1,"SIM","")</f>
        <v>#REF!</v>
      </c>
      <c r="N91" s="5" t="e">
        <f>IF((COUNTIFS(#REF!,$C91,#REF!,N$1))&gt;=1,"SIM","")</f>
        <v>#REF!</v>
      </c>
      <c r="O91" s="5"/>
      <c r="P91" s="5" t="e">
        <f>IF((COUNTIFS(#REF!,$C91,#REF!,P$1))&gt;=1,"SIM","")</f>
        <v>#REF!</v>
      </c>
      <c r="Q91" s="5" t="e">
        <f>IF((COUNTIFS(#REF!,$C91,#REF!,Q$1))&gt;=1,"SIM","")</f>
        <v>#REF!</v>
      </c>
      <c r="R91" s="5" t="e">
        <f>IF((COUNTIFS(#REF!,$C91,#REF!,"*CARTA*"))&gt;=1,"SIM","")</f>
        <v>#REF!</v>
      </c>
      <c r="S91" s="5" t="e">
        <f>IF((COUNTIFS(#REF!,$C91,#REF!,"*CARTA NOTIFICAÇÃO/DEVOL*"))&gt;=1,"SIM","")</f>
        <v>#REF!</v>
      </c>
      <c r="T91" s="5" t="e">
        <f>IF((COUNTIFS(#REF!,$C91,#REF!,"*LIGAÇÃO ATIVA DEV PRIN/LOC*"))&gt;=1,"SIM","")</f>
        <v>#REF!</v>
      </c>
    </row>
    <row r="92" spans="1:20">
      <c r="A92" s="24" t="s">
        <v>2159</v>
      </c>
      <c r="B92" s="24" t="s">
        <v>1129</v>
      </c>
      <c r="C92" s="24" t="s">
        <v>1130</v>
      </c>
      <c r="D92" s="5" t="e">
        <f>IF((COUNTIFS(#REF!,$C92,#REF!,"*163*"))&gt;=1,"SIM","")</f>
        <v>#REF!</v>
      </c>
      <c r="E92" s="5" t="e">
        <f>IF((COUNTIFS(#REF!,$C92,#REF!,E$1))&gt;=1,"SIM","")</f>
        <v>#REF!</v>
      </c>
      <c r="F92" s="5" t="e">
        <f>IF((COUNTIFS(#REF!,$C92,#REF!,F$1))&gt;=1,"SIM","")</f>
        <v>#REF!</v>
      </c>
      <c r="G92" s="5" t="e">
        <f>IF((COUNTIFS(#REF!,$C92,#REF!,"*606*"))&gt;=1,"SIM","")</f>
        <v>#REF!</v>
      </c>
      <c r="H92" s="5" t="e">
        <f>IF((COUNTIFS(#REF!,$C92,#REF!,"*605*"))&gt;=1,"SIM","")</f>
        <v>#REF!</v>
      </c>
      <c r="I92" s="5" t="e">
        <f>IF((COUNTIFS(#REF!,$C92,#REF!,I$1))&gt;=1,"SIM","")</f>
        <v>#REF!</v>
      </c>
      <c r="J92" s="5" t="e">
        <f>IF((COUNTIFS(#REF!,$C92,#REF!,J$1))&gt;=1,"SIM","")</f>
        <v>#REF!</v>
      </c>
      <c r="K92" s="5" t="e">
        <f>IF((COUNTIFS(#REF!,$C92,#REF!,K$1))&gt;=1,"SIM","")</f>
        <v>#REF!</v>
      </c>
      <c r="L92" s="5" t="e">
        <f>IF((COUNTIFS(#REF!,$C92,#REF!,L$1))&gt;=1,"SIM","")</f>
        <v>#REF!</v>
      </c>
      <c r="M92" s="5" t="e">
        <f>IF((COUNTIFS(#REF!,$C92,#REF!,M$1))&gt;=1,"SIM","")</f>
        <v>#REF!</v>
      </c>
      <c r="N92" s="5" t="e">
        <f>IF((COUNTIFS(#REF!,$C92,#REF!,N$1))&gt;=1,"SIM","")</f>
        <v>#REF!</v>
      </c>
      <c r="O92" s="5"/>
      <c r="P92" s="5" t="e">
        <f>IF((COUNTIFS(#REF!,$C92,#REF!,P$1))&gt;=1,"SIM","")</f>
        <v>#REF!</v>
      </c>
      <c r="Q92" s="5" t="e">
        <f>IF((COUNTIFS(#REF!,$C92,#REF!,Q$1))&gt;=1,"SIM","")</f>
        <v>#REF!</v>
      </c>
      <c r="R92" s="5" t="e">
        <f>IF((COUNTIFS(#REF!,$C92,#REF!,"*CARTA*"))&gt;=1,"SIM","")</f>
        <v>#REF!</v>
      </c>
      <c r="S92" s="5" t="e">
        <f>IF((COUNTIFS(#REF!,$C92,#REF!,"*CARTA NOTIFICAÇÃO/DEVOL*"))&gt;=1,"SIM","")</f>
        <v>#REF!</v>
      </c>
      <c r="T92" s="5" t="e">
        <f>IF((COUNTIFS(#REF!,$C92,#REF!,"*LIGAÇÃO ATIVA DEV PRIN/LOC*"))&gt;=1,"SIM","")</f>
        <v>#REF!</v>
      </c>
    </row>
    <row r="93" spans="1:20">
      <c r="A93" s="24" t="s">
        <v>2157</v>
      </c>
      <c r="B93" s="24" t="s">
        <v>2184</v>
      </c>
      <c r="C93" s="24" t="s">
        <v>2185</v>
      </c>
      <c r="D93" s="5" t="e">
        <f>IF((COUNTIFS(#REF!,$C93,#REF!,"*163*"))&gt;=1,"SIM","")</f>
        <v>#REF!</v>
      </c>
      <c r="E93" s="5" t="e">
        <f>IF((COUNTIFS(#REF!,$C93,#REF!,E$1))&gt;=1,"SIM","")</f>
        <v>#REF!</v>
      </c>
      <c r="F93" s="5" t="e">
        <f>IF((COUNTIFS(#REF!,$C93,#REF!,F$1))&gt;=1,"SIM","")</f>
        <v>#REF!</v>
      </c>
      <c r="G93" s="5" t="e">
        <f>IF((COUNTIFS(#REF!,$C93,#REF!,"*606*"))&gt;=1,"SIM","")</f>
        <v>#REF!</v>
      </c>
      <c r="H93" s="5" t="e">
        <f>IF((COUNTIFS(#REF!,$C93,#REF!,"*605*"))&gt;=1,"SIM","")</f>
        <v>#REF!</v>
      </c>
      <c r="I93" s="5" t="e">
        <f>IF((COUNTIFS(#REF!,$C93,#REF!,I$1))&gt;=1,"SIM","")</f>
        <v>#REF!</v>
      </c>
      <c r="J93" s="5" t="e">
        <f>IF((COUNTIFS(#REF!,$C93,#REF!,J$1))&gt;=1,"SIM","")</f>
        <v>#REF!</v>
      </c>
      <c r="K93" s="5" t="e">
        <f>IF((COUNTIFS(#REF!,$C93,#REF!,K$1))&gt;=1,"SIM","")</f>
        <v>#REF!</v>
      </c>
      <c r="L93" s="5" t="e">
        <f>IF((COUNTIFS(#REF!,$C93,#REF!,L$1))&gt;=1,"SIM","")</f>
        <v>#REF!</v>
      </c>
      <c r="M93" s="5" t="e">
        <f>IF((COUNTIFS(#REF!,$C93,#REF!,M$1))&gt;=1,"SIM","")</f>
        <v>#REF!</v>
      </c>
      <c r="N93" s="5" t="e">
        <f>IF((COUNTIFS(#REF!,$C93,#REF!,N$1))&gt;=1,"SIM","")</f>
        <v>#REF!</v>
      </c>
      <c r="O93" s="5"/>
      <c r="P93" s="5" t="e">
        <f>IF((COUNTIFS(#REF!,$C93,#REF!,P$1))&gt;=1,"SIM","")</f>
        <v>#REF!</v>
      </c>
      <c r="Q93" s="5" t="e">
        <f>IF((COUNTIFS(#REF!,$C93,#REF!,Q$1))&gt;=1,"SIM","")</f>
        <v>#REF!</v>
      </c>
      <c r="R93" s="5" t="e">
        <f>IF((COUNTIFS(#REF!,$C93,#REF!,"*CARTA*"))&gt;=1,"SIM","")</f>
        <v>#REF!</v>
      </c>
      <c r="S93" s="5" t="e">
        <f>IF((COUNTIFS(#REF!,$C93,#REF!,"*CARTA NOTIFICAÇÃO/DEVOL*"))&gt;=1,"SIM","")</f>
        <v>#REF!</v>
      </c>
      <c r="T93" s="5" t="e">
        <f>IF((COUNTIFS(#REF!,$C93,#REF!,"*LIGAÇÃO ATIVA DEV PRIN/LOC*"))&gt;=1,"SIM","")</f>
        <v>#REF!</v>
      </c>
    </row>
    <row r="94" spans="1:20">
      <c r="A94" s="24" t="s">
        <v>2153</v>
      </c>
      <c r="B94" s="24" t="s">
        <v>1922</v>
      </c>
      <c r="C94" s="24" t="s">
        <v>1923</v>
      </c>
      <c r="D94" s="5" t="e">
        <f>IF((COUNTIFS(#REF!,$C94,#REF!,"*163*"))&gt;=1,"SIM","")</f>
        <v>#REF!</v>
      </c>
      <c r="E94" s="5" t="e">
        <f>IF((COUNTIFS(#REF!,$C94,#REF!,E$1))&gt;=1,"SIM","")</f>
        <v>#REF!</v>
      </c>
      <c r="F94" s="5" t="e">
        <f>IF((COUNTIFS(#REF!,$C94,#REF!,F$1))&gt;=1,"SIM","")</f>
        <v>#REF!</v>
      </c>
      <c r="G94" s="5" t="e">
        <f>IF((COUNTIFS(#REF!,$C94,#REF!,"*606*"))&gt;=1,"SIM","")</f>
        <v>#REF!</v>
      </c>
      <c r="H94" s="5" t="e">
        <f>IF((COUNTIFS(#REF!,$C94,#REF!,"*605*"))&gt;=1,"SIM","")</f>
        <v>#REF!</v>
      </c>
      <c r="I94" s="5" t="e">
        <f>IF((COUNTIFS(#REF!,$C94,#REF!,I$1))&gt;=1,"SIM","")</f>
        <v>#REF!</v>
      </c>
      <c r="J94" s="5" t="e">
        <f>IF((COUNTIFS(#REF!,$C94,#REF!,J$1))&gt;=1,"SIM","")</f>
        <v>#REF!</v>
      </c>
      <c r="K94" s="5" t="e">
        <f>IF((COUNTIFS(#REF!,$C94,#REF!,K$1))&gt;=1,"SIM","")</f>
        <v>#REF!</v>
      </c>
      <c r="L94" s="5" t="e">
        <f>IF((COUNTIFS(#REF!,$C94,#REF!,L$1))&gt;=1,"SIM","")</f>
        <v>#REF!</v>
      </c>
      <c r="M94" s="5" t="e">
        <f>IF((COUNTIFS(#REF!,$C94,#REF!,M$1))&gt;=1,"SIM","")</f>
        <v>#REF!</v>
      </c>
      <c r="N94" s="5" t="e">
        <f>IF((COUNTIFS(#REF!,$C94,#REF!,N$1))&gt;=1,"SIM","")</f>
        <v>#REF!</v>
      </c>
      <c r="O94" s="5"/>
      <c r="P94" s="5" t="e">
        <f>IF((COUNTIFS(#REF!,$C94,#REF!,P$1))&gt;=1,"SIM","")</f>
        <v>#REF!</v>
      </c>
      <c r="Q94" s="5" t="e">
        <f>IF((COUNTIFS(#REF!,$C94,#REF!,Q$1))&gt;=1,"SIM","")</f>
        <v>#REF!</v>
      </c>
      <c r="R94" s="5" t="e">
        <f>IF((COUNTIFS(#REF!,$C94,#REF!,"*CARTA*"))&gt;=1,"SIM","")</f>
        <v>#REF!</v>
      </c>
      <c r="S94" s="5" t="e">
        <f>IF((COUNTIFS(#REF!,$C94,#REF!,"*CARTA NOTIFICAÇÃO/DEVOL*"))&gt;=1,"SIM","")</f>
        <v>#REF!</v>
      </c>
      <c r="T94" s="5" t="e">
        <f>IF((COUNTIFS(#REF!,$C94,#REF!,"*LIGAÇÃO ATIVA DEV PRIN/LOC*"))&gt;=1,"SIM","")</f>
        <v>#REF!</v>
      </c>
    </row>
    <row r="95" spans="1:20">
      <c r="A95" s="24" t="s">
        <v>2159</v>
      </c>
      <c r="B95" s="24" t="s">
        <v>2091</v>
      </c>
      <c r="C95" s="24" t="s">
        <v>2092</v>
      </c>
      <c r="D95" s="5" t="e">
        <f>IF((COUNTIFS(#REF!,$C95,#REF!,"*163*"))&gt;=1,"SIM","")</f>
        <v>#REF!</v>
      </c>
      <c r="E95" s="5" t="e">
        <f>IF((COUNTIFS(#REF!,$C95,#REF!,E$1))&gt;=1,"SIM","")</f>
        <v>#REF!</v>
      </c>
      <c r="F95" s="5" t="e">
        <f>IF((COUNTIFS(#REF!,$C95,#REF!,F$1))&gt;=1,"SIM","")</f>
        <v>#REF!</v>
      </c>
      <c r="G95" s="5" t="e">
        <f>IF((COUNTIFS(#REF!,$C95,#REF!,"*606*"))&gt;=1,"SIM","")</f>
        <v>#REF!</v>
      </c>
      <c r="H95" s="5" t="e">
        <f>IF((COUNTIFS(#REF!,$C95,#REF!,"*605*"))&gt;=1,"SIM","")</f>
        <v>#REF!</v>
      </c>
      <c r="I95" s="5" t="e">
        <f>IF((COUNTIFS(#REF!,$C95,#REF!,I$1))&gt;=1,"SIM","")</f>
        <v>#REF!</v>
      </c>
      <c r="J95" s="5" t="e">
        <f>IF((COUNTIFS(#REF!,$C95,#REF!,J$1))&gt;=1,"SIM","")</f>
        <v>#REF!</v>
      </c>
      <c r="K95" s="5" t="e">
        <f>IF((COUNTIFS(#REF!,$C95,#REF!,K$1))&gt;=1,"SIM","")</f>
        <v>#REF!</v>
      </c>
      <c r="L95" s="5" t="e">
        <f>IF((COUNTIFS(#REF!,$C95,#REF!,L$1))&gt;=1,"SIM","")</f>
        <v>#REF!</v>
      </c>
      <c r="M95" s="5" t="e">
        <f>IF((COUNTIFS(#REF!,$C95,#REF!,M$1))&gt;=1,"SIM","")</f>
        <v>#REF!</v>
      </c>
      <c r="N95" s="5" t="e">
        <f>IF((COUNTIFS(#REF!,$C95,#REF!,N$1))&gt;=1,"SIM","")</f>
        <v>#REF!</v>
      </c>
      <c r="O95" s="5"/>
      <c r="P95" s="5" t="e">
        <f>IF((COUNTIFS(#REF!,$C95,#REF!,P$1))&gt;=1,"SIM","")</f>
        <v>#REF!</v>
      </c>
      <c r="Q95" s="5" t="e">
        <f>IF((COUNTIFS(#REF!,$C95,#REF!,Q$1))&gt;=1,"SIM","")</f>
        <v>#REF!</v>
      </c>
      <c r="R95" s="5" t="e">
        <f>IF((COUNTIFS(#REF!,$C95,#REF!,"*CARTA*"))&gt;=1,"SIM","")</f>
        <v>#REF!</v>
      </c>
      <c r="S95" s="5" t="e">
        <f>IF((COUNTIFS(#REF!,$C95,#REF!,"*CARTA NOTIFICAÇÃO/DEVOL*"))&gt;=1,"SIM","")</f>
        <v>#REF!</v>
      </c>
      <c r="T95" s="5" t="e">
        <f>IF((COUNTIFS(#REF!,$C95,#REF!,"*LIGAÇÃO ATIVA DEV PRIN/LOC*"))&gt;=1,"SIM","")</f>
        <v>#REF!</v>
      </c>
    </row>
    <row r="96" spans="1:20">
      <c r="A96" s="24" t="s">
        <v>2158</v>
      </c>
      <c r="B96" s="24" t="s">
        <v>2089</v>
      </c>
      <c r="C96" s="24" t="s">
        <v>2090</v>
      </c>
      <c r="D96" s="5" t="e">
        <f>IF((COUNTIFS(#REF!,$C96,#REF!,"*163*"))&gt;=1,"SIM","")</f>
        <v>#REF!</v>
      </c>
      <c r="E96" s="5" t="e">
        <f>IF((COUNTIFS(#REF!,$C96,#REF!,E$1))&gt;=1,"SIM","")</f>
        <v>#REF!</v>
      </c>
      <c r="F96" s="5" t="e">
        <f>IF((COUNTIFS(#REF!,$C96,#REF!,F$1))&gt;=1,"SIM","")</f>
        <v>#REF!</v>
      </c>
      <c r="G96" s="5" t="e">
        <f>IF((COUNTIFS(#REF!,$C96,#REF!,"*606*"))&gt;=1,"SIM","")</f>
        <v>#REF!</v>
      </c>
      <c r="H96" s="5" t="e">
        <f>IF((COUNTIFS(#REF!,$C96,#REF!,"*605*"))&gt;=1,"SIM","")</f>
        <v>#REF!</v>
      </c>
      <c r="I96" s="5" t="e">
        <f>IF((COUNTIFS(#REF!,$C96,#REF!,I$1))&gt;=1,"SIM","")</f>
        <v>#REF!</v>
      </c>
      <c r="J96" s="5" t="e">
        <f>IF((COUNTIFS(#REF!,$C96,#REF!,J$1))&gt;=1,"SIM","")</f>
        <v>#REF!</v>
      </c>
      <c r="K96" s="5" t="e">
        <f>IF((COUNTIFS(#REF!,$C96,#REF!,K$1))&gt;=1,"SIM","")</f>
        <v>#REF!</v>
      </c>
      <c r="L96" s="5" t="e">
        <f>IF((COUNTIFS(#REF!,$C96,#REF!,L$1))&gt;=1,"SIM","")</f>
        <v>#REF!</v>
      </c>
      <c r="M96" s="5" t="e">
        <f>IF((COUNTIFS(#REF!,$C96,#REF!,M$1))&gt;=1,"SIM","")</f>
        <v>#REF!</v>
      </c>
      <c r="N96" s="5" t="e">
        <f>IF((COUNTIFS(#REF!,$C96,#REF!,N$1))&gt;=1,"SIM","")</f>
        <v>#REF!</v>
      </c>
      <c r="O96" s="5"/>
      <c r="P96" s="5" t="e">
        <f>IF((COUNTIFS(#REF!,$C96,#REF!,P$1))&gt;=1,"SIM","")</f>
        <v>#REF!</v>
      </c>
      <c r="Q96" s="5" t="e">
        <f>IF((COUNTIFS(#REF!,$C96,#REF!,Q$1))&gt;=1,"SIM","")</f>
        <v>#REF!</v>
      </c>
      <c r="R96" s="5" t="e">
        <f>IF((COUNTIFS(#REF!,$C96,#REF!,"*CARTA*"))&gt;=1,"SIM","")</f>
        <v>#REF!</v>
      </c>
      <c r="S96" s="5" t="e">
        <f>IF((COUNTIFS(#REF!,$C96,#REF!,"*CARTA NOTIFICAÇÃO/DEVOL*"))&gt;=1,"SIM","")</f>
        <v>#REF!</v>
      </c>
      <c r="T96" s="5" t="e">
        <f>IF((COUNTIFS(#REF!,$C96,#REF!,"*LIGAÇÃO ATIVA DEV PRIN/LOC*"))&gt;=1,"SIM","")</f>
        <v>#REF!</v>
      </c>
    </row>
    <row r="97" spans="1:20">
      <c r="A97" s="24" t="s">
        <v>2153</v>
      </c>
      <c r="B97" s="24" t="s">
        <v>1659</v>
      </c>
      <c r="C97" s="24" t="s">
        <v>2190</v>
      </c>
      <c r="D97" s="5" t="e">
        <f>IF((COUNTIFS(#REF!,$C97,#REF!,"*163*"))&gt;=1,"SIM","")</f>
        <v>#REF!</v>
      </c>
      <c r="E97" s="5" t="e">
        <f>IF((COUNTIFS(#REF!,$C97,#REF!,E$1))&gt;=1,"SIM","")</f>
        <v>#REF!</v>
      </c>
      <c r="F97" s="5" t="e">
        <f>IF((COUNTIFS(#REF!,$C97,#REF!,F$1))&gt;=1,"SIM","")</f>
        <v>#REF!</v>
      </c>
      <c r="G97" s="5" t="e">
        <f>IF((COUNTIFS(#REF!,$C97,#REF!,"*606*"))&gt;=1,"SIM","")</f>
        <v>#REF!</v>
      </c>
      <c r="H97" s="5" t="e">
        <f>IF((COUNTIFS(#REF!,$C97,#REF!,"*605*"))&gt;=1,"SIM","")</f>
        <v>#REF!</v>
      </c>
      <c r="I97" s="5" t="e">
        <f>IF((COUNTIFS(#REF!,$C97,#REF!,I$1))&gt;=1,"SIM","")</f>
        <v>#REF!</v>
      </c>
      <c r="J97" s="5" t="e">
        <f>IF((COUNTIFS(#REF!,$C97,#REF!,J$1))&gt;=1,"SIM","")</f>
        <v>#REF!</v>
      </c>
      <c r="K97" s="5" t="e">
        <f>IF((COUNTIFS(#REF!,$C97,#REF!,K$1))&gt;=1,"SIM","")</f>
        <v>#REF!</v>
      </c>
      <c r="L97" s="5" t="e">
        <f>IF((COUNTIFS(#REF!,$C97,#REF!,L$1))&gt;=1,"SIM","")</f>
        <v>#REF!</v>
      </c>
      <c r="M97" s="5" t="e">
        <f>IF((COUNTIFS(#REF!,$C97,#REF!,M$1))&gt;=1,"SIM","")</f>
        <v>#REF!</v>
      </c>
      <c r="N97" s="5" t="e">
        <f>IF((COUNTIFS(#REF!,$C97,#REF!,N$1))&gt;=1,"SIM","")</f>
        <v>#REF!</v>
      </c>
      <c r="O97" s="5"/>
      <c r="P97" s="5" t="e">
        <f>IF((COUNTIFS(#REF!,$C97,#REF!,P$1))&gt;=1,"SIM","")</f>
        <v>#REF!</v>
      </c>
      <c r="Q97" s="5" t="e">
        <f>IF((COUNTIFS(#REF!,$C97,#REF!,Q$1))&gt;=1,"SIM","")</f>
        <v>#REF!</v>
      </c>
      <c r="R97" s="5" t="e">
        <f>IF((COUNTIFS(#REF!,$C97,#REF!,"*CARTA*"))&gt;=1,"SIM","")</f>
        <v>#REF!</v>
      </c>
      <c r="S97" s="5" t="e">
        <f>IF((COUNTIFS(#REF!,$C97,#REF!,"*CARTA NOTIFICAÇÃO/DEVOL*"))&gt;=1,"SIM","")</f>
        <v>#REF!</v>
      </c>
      <c r="T97" s="5" t="e">
        <f>IF((COUNTIFS(#REF!,$C97,#REF!,"*LIGAÇÃO ATIVA DEV PRIN/LOC*"))&gt;=1,"SIM","")</f>
        <v>#REF!</v>
      </c>
    </row>
    <row r="98" spans="1:20">
      <c r="A98" s="24" t="s">
        <v>2153</v>
      </c>
      <c r="B98" s="24" t="s">
        <v>87</v>
      </c>
      <c r="C98" s="24" t="s">
        <v>88</v>
      </c>
      <c r="D98" s="5" t="e">
        <f>IF((COUNTIFS(#REF!,$C98,#REF!,"*163*"))&gt;=1,"SIM","")</f>
        <v>#REF!</v>
      </c>
      <c r="E98" s="5" t="e">
        <f>IF((COUNTIFS(#REF!,$C98,#REF!,E$1))&gt;=1,"SIM","")</f>
        <v>#REF!</v>
      </c>
      <c r="F98" s="5" t="e">
        <f>IF((COUNTIFS(#REF!,$C98,#REF!,F$1))&gt;=1,"SIM","")</f>
        <v>#REF!</v>
      </c>
      <c r="G98" s="5" t="e">
        <f>IF((COUNTIFS(#REF!,$C98,#REF!,"*606*"))&gt;=1,"SIM","")</f>
        <v>#REF!</v>
      </c>
      <c r="H98" s="5" t="e">
        <f>IF((COUNTIFS(#REF!,$C98,#REF!,"*605*"))&gt;=1,"SIM","")</f>
        <v>#REF!</v>
      </c>
      <c r="I98" s="5" t="e">
        <f>IF((COUNTIFS(#REF!,$C98,#REF!,I$1))&gt;=1,"SIM","")</f>
        <v>#REF!</v>
      </c>
      <c r="J98" s="5" t="e">
        <f>IF((COUNTIFS(#REF!,$C98,#REF!,J$1))&gt;=1,"SIM","")</f>
        <v>#REF!</v>
      </c>
      <c r="K98" s="5" t="e">
        <f>IF((COUNTIFS(#REF!,$C98,#REF!,K$1))&gt;=1,"SIM","")</f>
        <v>#REF!</v>
      </c>
      <c r="L98" s="5" t="e">
        <f>IF((COUNTIFS(#REF!,$C98,#REF!,L$1))&gt;=1,"SIM","")</f>
        <v>#REF!</v>
      </c>
      <c r="M98" s="5" t="e">
        <f>IF((COUNTIFS(#REF!,$C98,#REF!,M$1))&gt;=1,"SIM","")</f>
        <v>#REF!</v>
      </c>
      <c r="N98" s="5" t="e">
        <f>IF((COUNTIFS(#REF!,$C98,#REF!,N$1))&gt;=1,"SIM","")</f>
        <v>#REF!</v>
      </c>
      <c r="O98" s="5"/>
      <c r="P98" s="5" t="e">
        <f>IF((COUNTIFS(#REF!,$C98,#REF!,P$1))&gt;=1,"SIM","")</f>
        <v>#REF!</v>
      </c>
      <c r="Q98" s="5" t="e">
        <f>IF((COUNTIFS(#REF!,$C98,#REF!,Q$1))&gt;=1,"SIM","")</f>
        <v>#REF!</v>
      </c>
      <c r="R98" s="5" t="e">
        <f>IF((COUNTIFS(#REF!,$C98,#REF!,"*CARTA*"))&gt;=1,"SIM","")</f>
        <v>#REF!</v>
      </c>
      <c r="S98" s="5" t="e">
        <f>IF((COUNTIFS(#REF!,$C98,#REF!,"*CARTA NOTIFICAÇÃO/DEVOL*"))&gt;=1,"SIM","")</f>
        <v>#REF!</v>
      </c>
      <c r="T98" s="5" t="e">
        <f>IF((COUNTIFS(#REF!,$C98,#REF!,"*LIGAÇÃO ATIVA DEV PRIN/LOC*"))&gt;=1,"SIM","")</f>
        <v>#REF!</v>
      </c>
    </row>
    <row r="99" spans="1:20">
      <c r="A99" s="24" t="s">
        <v>2159</v>
      </c>
      <c r="B99" s="24" t="s">
        <v>2036</v>
      </c>
      <c r="C99" s="24" t="s">
        <v>2037</v>
      </c>
      <c r="D99" s="5" t="e">
        <f>IF((COUNTIFS(#REF!,$C99,#REF!,"*163*"))&gt;=1,"SIM","")</f>
        <v>#REF!</v>
      </c>
      <c r="E99" s="5" t="e">
        <f>IF((COUNTIFS(#REF!,$C99,#REF!,E$1))&gt;=1,"SIM","")</f>
        <v>#REF!</v>
      </c>
      <c r="F99" s="5" t="e">
        <f>IF((COUNTIFS(#REF!,$C99,#REF!,F$1))&gt;=1,"SIM","")</f>
        <v>#REF!</v>
      </c>
      <c r="G99" s="5" t="e">
        <f>IF((COUNTIFS(#REF!,$C99,#REF!,"*606*"))&gt;=1,"SIM","")</f>
        <v>#REF!</v>
      </c>
      <c r="H99" s="5" t="e">
        <f>IF((COUNTIFS(#REF!,$C99,#REF!,"*605*"))&gt;=1,"SIM","")</f>
        <v>#REF!</v>
      </c>
      <c r="I99" s="5" t="e">
        <f>IF((COUNTIFS(#REF!,$C99,#REF!,I$1))&gt;=1,"SIM","")</f>
        <v>#REF!</v>
      </c>
      <c r="J99" s="5" t="e">
        <f>IF((COUNTIFS(#REF!,$C99,#REF!,J$1))&gt;=1,"SIM","")</f>
        <v>#REF!</v>
      </c>
      <c r="K99" s="5" t="e">
        <f>IF((COUNTIFS(#REF!,$C99,#REF!,K$1))&gt;=1,"SIM","")</f>
        <v>#REF!</v>
      </c>
      <c r="L99" s="5" t="e">
        <f>IF((COUNTIFS(#REF!,$C99,#REF!,L$1))&gt;=1,"SIM","")</f>
        <v>#REF!</v>
      </c>
      <c r="M99" s="5" t="e">
        <f>IF((COUNTIFS(#REF!,$C99,#REF!,M$1))&gt;=1,"SIM","")</f>
        <v>#REF!</v>
      </c>
      <c r="N99" s="5" t="e">
        <f>IF((COUNTIFS(#REF!,$C99,#REF!,N$1))&gt;=1,"SIM","")</f>
        <v>#REF!</v>
      </c>
      <c r="O99" s="5"/>
      <c r="P99" s="5" t="e">
        <f>IF((COUNTIFS(#REF!,$C99,#REF!,P$1))&gt;=1,"SIM","")</f>
        <v>#REF!</v>
      </c>
      <c r="Q99" s="5" t="e">
        <f>IF((COUNTIFS(#REF!,$C99,#REF!,Q$1))&gt;=1,"SIM","")</f>
        <v>#REF!</v>
      </c>
      <c r="R99" s="5" t="e">
        <f>IF((COUNTIFS(#REF!,$C99,#REF!,"*CARTA*"))&gt;=1,"SIM","")</f>
        <v>#REF!</v>
      </c>
      <c r="S99" s="5" t="e">
        <f>IF((COUNTIFS(#REF!,$C99,#REF!,"*CARTA NOTIFICAÇÃO/DEVOL*"))&gt;=1,"SIM","")</f>
        <v>#REF!</v>
      </c>
      <c r="T99" s="5" t="e">
        <f>IF((COUNTIFS(#REF!,$C99,#REF!,"*LIGAÇÃO ATIVA DEV PRIN/LOC*"))&gt;=1,"SIM","")</f>
        <v>#REF!</v>
      </c>
    </row>
    <row r="100" spans="1:20">
      <c r="A100" s="24" t="s">
        <v>2157</v>
      </c>
      <c r="B100" s="24" t="s">
        <v>984</v>
      </c>
      <c r="C100" s="24" t="s">
        <v>985</v>
      </c>
      <c r="D100" s="5" t="e">
        <f>IF((COUNTIFS(#REF!,$C100,#REF!,"*163*"))&gt;=1,"SIM","")</f>
        <v>#REF!</v>
      </c>
      <c r="E100" s="5" t="e">
        <f>IF((COUNTIFS(#REF!,$C100,#REF!,E$1))&gt;=1,"SIM","")</f>
        <v>#REF!</v>
      </c>
      <c r="F100" s="5" t="e">
        <f>IF((COUNTIFS(#REF!,$C100,#REF!,F$1))&gt;=1,"SIM","")</f>
        <v>#REF!</v>
      </c>
      <c r="G100" s="5" t="e">
        <f>IF((COUNTIFS(#REF!,$C100,#REF!,"*606*"))&gt;=1,"SIM","")</f>
        <v>#REF!</v>
      </c>
      <c r="H100" s="5" t="e">
        <f>IF((COUNTIFS(#REF!,$C100,#REF!,"*605*"))&gt;=1,"SIM","")</f>
        <v>#REF!</v>
      </c>
      <c r="I100" s="5" t="e">
        <f>IF((COUNTIFS(#REF!,$C100,#REF!,I$1))&gt;=1,"SIM","")</f>
        <v>#REF!</v>
      </c>
      <c r="J100" s="5" t="e">
        <f>IF((COUNTIFS(#REF!,$C100,#REF!,J$1))&gt;=1,"SIM","")</f>
        <v>#REF!</v>
      </c>
      <c r="K100" s="5" t="e">
        <f>IF((COUNTIFS(#REF!,$C100,#REF!,K$1))&gt;=1,"SIM","")</f>
        <v>#REF!</v>
      </c>
      <c r="L100" s="5" t="e">
        <f>IF((COUNTIFS(#REF!,$C100,#REF!,L$1))&gt;=1,"SIM","")</f>
        <v>#REF!</v>
      </c>
      <c r="M100" s="5" t="e">
        <f>IF((COUNTIFS(#REF!,$C100,#REF!,M$1))&gt;=1,"SIM","")</f>
        <v>#REF!</v>
      </c>
      <c r="N100" s="5" t="e">
        <f>IF((COUNTIFS(#REF!,$C100,#REF!,N$1))&gt;=1,"SIM","")</f>
        <v>#REF!</v>
      </c>
      <c r="O100" s="5"/>
      <c r="P100" s="5" t="e">
        <f>IF((COUNTIFS(#REF!,$C100,#REF!,P$1))&gt;=1,"SIM","")</f>
        <v>#REF!</v>
      </c>
      <c r="Q100" s="5" t="e">
        <f>IF((COUNTIFS(#REF!,$C100,#REF!,Q$1))&gt;=1,"SIM","")</f>
        <v>#REF!</v>
      </c>
      <c r="R100" s="5" t="e">
        <f>IF((COUNTIFS(#REF!,$C100,#REF!,"*CARTA*"))&gt;=1,"SIM","")</f>
        <v>#REF!</v>
      </c>
      <c r="S100" s="5" t="e">
        <f>IF((COUNTIFS(#REF!,$C100,#REF!,"*CARTA NOTIFICAÇÃO/DEVOL*"))&gt;=1,"SIM","")</f>
        <v>#REF!</v>
      </c>
      <c r="T100" s="5" t="e">
        <f>IF((COUNTIFS(#REF!,$C100,#REF!,"*LIGAÇÃO ATIVA DEV PRIN/LOC*"))&gt;=1,"SIM","")</f>
        <v>#REF!</v>
      </c>
    </row>
    <row r="101" spans="1:20">
      <c r="A101" s="24" t="s">
        <v>2153</v>
      </c>
      <c r="B101" s="24" t="s">
        <v>660</v>
      </c>
      <c r="C101" s="24" t="s">
        <v>661</v>
      </c>
      <c r="D101" s="5" t="e">
        <f>IF((COUNTIFS(#REF!,$C101,#REF!,"*163*"))&gt;=1,"SIM","")</f>
        <v>#REF!</v>
      </c>
      <c r="E101" s="5" t="e">
        <f>IF((COUNTIFS(#REF!,$C101,#REF!,E$1))&gt;=1,"SIM","")</f>
        <v>#REF!</v>
      </c>
      <c r="F101" s="5" t="e">
        <f>IF((COUNTIFS(#REF!,$C101,#REF!,F$1))&gt;=1,"SIM","")</f>
        <v>#REF!</v>
      </c>
      <c r="G101" s="5" t="e">
        <f>IF((COUNTIFS(#REF!,$C101,#REF!,"*606*"))&gt;=1,"SIM","")</f>
        <v>#REF!</v>
      </c>
      <c r="H101" s="5" t="e">
        <f>IF((COUNTIFS(#REF!,$C101,#REF!,"*605*"))&gt;=1,"SIM","")</f>
        <v>#REF!</v>
      </c>
      <c r="I101" s="5" t="e">
        <f>IF((COUNTIFS(#REF!,$C101,#REF!,I$1))&gt;=1,"SIM","")</f>
        <v>#REF!</v>
      </c>
      <c r="J101" s="5" t="e">
        <f>IF((COUNTIFS(#REF!,$C101,#REF!,J$1))&gt;=1,"SIM","")</f>
        <v>#REF!</v>
      </c>
      <c r="K101" s="5" t="e">
        <f>IF((COUNTIFS(#REF!,$C101,#REF!,K$1))&gt;=1,"SIM","")</f>
        <v>#REF!</v>
      </c>
      <c r="L101" s="5" t="e">
        <f>IF((COUNTIFS(#REF!,$C101,#REF!,L$1))&gt;=1,"SIM","")</f>
        <v>#REF!</v>
      </c>
      <c r="M101" s="5" t="e">
        <f>IF((COUNTIFS(#REF!,$C101,#REF!,M$1))&gt;=1,"SIM","")</f>
        <v>#REF!</v>
      </c>
      <c r="N101" s="5" t="e">
        <f>IF((COUNTIFS(#REF!,$C101,#REF!,N$1))&gt;=1,"SIM","")</f>
        <v>#REF!</v>
      </c>
      <c r="O101" s="5"/>
      <c r="P101" s="5" t="e">
        <f>IF((COUNTIFS(#REF!,$C101,#REF!,P$1))&gt;=1,"SIM","")</f>
        <v>#REF!</v>
      </c>
      <c r="Q101" s="5" t="e">
        <f>IF((COUNTIFS(#REF!,$C101,#REF!,Q$1))&gt;=1,"SIM","")</f>
        <v>#REF!</v>
      </c>
      <c r="R101" s="5" t="e">
        <f>IF((COUNTIFS(#REF!,$C101,#REF!,"*CARTA*"))&gt;=1,"SIM","")</f>
        <v>#REF!</v>
      </c>
      <c r="S101" s="5" t="e">
        <f>IF((COUNTIFS(#REF!,$C101,#REF!,"*CARTA NOTIFICAÇÃO/DEVOL*"))&gt;=1,"SIM","")</f>
        <v>#REF!</v>
      </c>
      <c r="T101" s="5" t="e">
        <f>IF((COUNTIFS(#REF!,$C101,#REF!,"*LIGAÇÃO ATIVA DEV PRIN/LOC*"))&gt;=1,"SIM","")</f>
        <v>#REF!</v>
      </c>
    </row>
    <row r="102" spans="1:20">
      <c r="A102" s="24" t="s">
        <v>2153</v>
      </c>
      <c r="B102" s="24" t="s">
        <v>750</v>
      </c>
      <c r="C102" s="24" t="s">
        <v>751</v>
      </c>
      <c r="D102" s="5" t="e">
        <f>IF((COUNTIFS(#REF!,$C102,#REF!,"*163*"))&gt;=1,"SIM","")</f>
        <v>#REF!</v>
      </c>
      <c r="E102" s="5" t="e">
        <f>IF((COUNTIFS(#REF!,$C102,#REF!,E$1))&gt;=1,"SIM","")</f>
        <v>#REF!</v>
      </c>
      <c r="F102" s="5" t="e">
        <f>IF((COUNTIFS(#REF!,$C102,#REF!,F$1))&gt;=1,"SIM","")</f>
        <v>#REF!</v>
      </c>
      <c r="G102" s="5" t="e">
        <f>IF((COUNTIFS(#REF!,$C102,#REF!,"*606*"))&gt;=1,"SIM","")</f>
        <v>#REF!</v>
      </c>
      <c r="H102" s="5" t="e">
        <f>IF((COUNTIFS(#REF!,$C102,#REF!,"*605*"))&gt;=1,"SIM","")</f>
        <v>#REF!</v>
      </c>
      <c r="I102" s="5" t="e">
        <f>IF((COUNTIFS(#REF!,$C102,#REF!,I$1))&gt;=1,"SIM","")</f>
        <v>#REF!</v>
      </c>
      <c r="J102" s="5" t="e">
        <f>IF((COUNTIFS(#REF!,$C102,#REF!,J$1))&gt;=1,"SIM","")</f>
        <v>#REF!</v>
      </c>
      <c r="K102" s="5" t="e">
        <f>IF((COUNTIFS(#REF!,$C102,#REF!,K$1))&gt;=1,"SIM","")</f>
        <v>#REF!</v>
      </c>
      <c r="L102" s="5" t="e">
        <f>IF((COUNTIFS(#REF!,$C102,#REF!,L$1))&gt;=1,"SIM","")</f>
        <v>#REF!</v>
      </c>
      <c r="M102" s="5" t="e">
        <f>IF((COUNTIFS(#REF!,$C102,#REF!,M$1))&gt;=1,"SIM","")</f>
        <v>#REF!</v>
      </c>
      <c r="N102" s="5" t="e">
        <f>IF((COUNTIFS(#REF!,$C102,#REF!,N$1))&gt;=1,"SIM","")</f>
        <v>#REF!</v>
      </c>
      <c r="O102" s="5"/>
      <c r="P102" s="5" t="e">
        <f>IF((COUNTIFS(#REF!,$C102,#REF!,P$1))&gt;=1,"SIM","")</f>
        <v>#REF!</v>
      </c>
      <c r="Q102" s="5" t="e">
        <f>IF((COUNTIFS(#REF!,$C102,#REF!,Q$1))&gt;=1,"SIM","")</f>
        <v>#REF!</v>
      </c>
      <c r="R102" s="5" t="e">
        <f>IF((COUNTIFS(#REF!,$C102,#REF!,"*CARTA*"))&gt;=1,"SIM","")</f>
        <v>#REF!</v>
      </c>
      <c r="S102" s="5" t="e">
        <f>IF((COUNTIFS(#REF!,$C102,#REF!,"*CARTA NOTIFICAÇÃO/DEVOL*"))&gt;=1,"SIM","")</f>
        <v>#REF!</v>
      </c>
      <c r="T102" s="5" t="e">
        <f>IF((COUNTIFS(#REF!,$C102,#REF!,"*LIGAÇÃO ATIVA DEV PRIN/LOC*"))&gt;=1,"SIM","")</f>
        <v>#REF!</v>
      </c>
    </row>
    <row r="103" spans="1:20">
      <c r="A103" s="24" t="s">
        <v>2153</v>
      </c>
      <c r="B103" s="24" t="s">
        <v>746</v>
      </c>
      <c r="C103" s="24" t="s">
        <v>747</v>
      </c>
      <c r="D103" s="5" t="e">
        <f>IF((COUNTIFS(#REF!,$C103,#REF!,"*163*"))&gt;=1,"SIM","")</f>
        <v>#REF!</v>
      </c>
      <c r="E103" s="5" t="e">
        <f>IF((COUNTIFS(#REF!,$C103,#REF!,E$1))&gt;=1,"SIM","")</f>
        <v>#REF!</v>
      </c>
      <c r="F103" s="5" t="e">
        <f>IF((COUNTIFS(#REF!,$C103,#REF!,F$1))&gt;=1,"SIM","")</f>
        <v>#REF!</v>
      </c>
      <c r="G103" s="5" t="e">
        <f>IF((COUNTIFS(#REF!,$C103,#REF!,"*606*"))&gt;=1,"SIM","")</f>
        <v>#REF!</v>
      </c>
      <c r="H103" s="5" t="e">
        <f>IF((COUNTIFS(#REF!,$C103,#REF!,"*605*"))&gt;=1,"SIM","")</f>
        <v>#REF!</v>
      </c>
      <c r="I103" s="5" t="e">
        <f>IF((COUNTIFS(#REF!,$C103,#REF!,I$1))&gt;=1,"SIM","")</f>
        <v>#REF!</v>
      </c>
      <c r="J103" s="5" t="e">
        <f>IF((COUNTIFS(#REF!,$C103,#REF!,J$1))&gt;=1,"SIM","")</f>
        <v>#REF!</v>
      </c>
      <c r="K103" s="5" t="e">
        <f>IF((COUNTIFS(#REF!,$C103,#REF!,K$1))&gt;=1,"SIM","")</f>
        <v>#REF!</v>
      </c>
      <c r="L103" s="5" t="e">
        <f>IF((COUNTIFS(#REF!,$C103,#REF!,L$1))&gt;=1,"SIM","")</f>
        <v>#REF!</v>
      </c>
      <c r="M103" s="5" t="e">
        <f>IF((COUNTIFS(#REF!,$C103,#REF!,M$1))&gt;=1,"SIM","")</f>
        <v>#REF!</v>
      </c>
      <c r="N103" s="5" t="e">
        <f>IF((COUNTIFS(#REF!,$C103,#REF!,N$1))&gt;=1,"SIM","")</f>
        <v>#REF!</v>
      </c>
      <c r="O103" s="5"/>
      <c r="P103" s="5" t="e">
        <f>IF((COUNTIFS(#REF!,$C103,#REF!,P$1))&gt;=1,"SIM","")</f>
        <v>#REF!</v>
      </c>
      <c r="Q103" s="5" t="e">
        <f>IF((COUNTIFS(#REF!,$C103,#REF!,Q$1))&gt;=1,"SIM","")</f>
        <v>#REF!</v>
      </c>
      <c r="R103" s="5" t="e">
        <f>IF((COUNTIFS(#REF!,$C103,#REF!,"*CARTA*"))&gt;=1,"SIM","")</f>
        <v>#REF!</v>
      </c>
      <c r="S103" s="5" t="e">
        <f>IF((COUNTIFS(#REF!,$C103,#REF!,"*CARTA NOTIFICAÇÃO/DEVOL*"))&gt;=1,"SIM","")</f>
        <v>#REF!</v>
      </c>
      <c r="T103" s="5" t="e">
        <f>IF((COUNTIFS(#REF!,$C103,#REF!,"*LIGAÇÃO ATIVA DEV PRIN/LOC*"))&gt;=1,"SIM","")</f>
        <v>#REF!</v>
      </c>
    </row>
    <row r="104" spans="1:20">
      <c r="A104" s="24" t="s">
        <v>2155</v>
      </c>
      <c r="B104" s="24" t="s">
        <v>25</v>
      </c>
      <c r="C104" s="24" t="s">
        <v>26</v>
      </c>
      <c r="D104" s="5" t="e">
        <f>IF((COUNTIFS(#REF!,$C104,#REF!,"*163*"))&gt;=1,"SIM","")</f>
        <v>#REF!</v>
      </c>
      <c r="E104" s="5" t="e">
        <f>IF((COUNTIFS(#REF!,$C104,#REF!,E$1))&gt;=1,"SIM","")</f>
        <v>#REF!</v>
      </c>
      <c r="F104" s="5" t="e">
        <f>IF((COUNTIFS(#REF!,$C104,#REF!,F$1))&gt;=1,"SIM","")</f>
        <v>#REF!</v>
      </c>
      <c r="G104" s="5" t="e">
        <f>IF((COUNTIFS(#REF!,$C104,#REF!,"*606*"))&gt;=1,"SIM","")</f>
        <v>#REF!</v>
      </c>
      <c r="H104" s="5" t="e">
        <f>IF((COUNTIFS(#REF!,$C104,#REF!,"*605*"))&gt;=1,"SIM","")</f>
        <v>#REF!</v>
      </c>
      <c r="I104" s="5" t="e">
        <f>IF((COUNTIFS(#REF!,$C104,#REF!,I$1))&gt;=1,"SIM","")</f>
        <v>#REF!</v>
      </c>
      <c r="J104" s="5" t="e">
        <f>IF((COUNTIFS(#REF!,$C104,#REF!,J$1))&gt;=1,"SIM","")</f>
        <v>#REF!</v>
      </c>
      <c r="K104" s="5" t="e">
        <f>IF((COUNTIFS(#REF!,$C104,#REF!,K$1))&gt;=1,"SIM","")</f>
        <v>#REF!</v>
      </c>
      <c r="L104" s="5" t="e">
        <f>IF((COUNTIFS(#REF!,$C104,#REF!,L$1))&gt;=1,"SIM","")</f>
        <v>#REF!</v>
      </c>
      <c r="M104" s="5" t="e">
        <f>IF((COUNTIFS(#REF!,$C104,#REF!,M$1))&gt;=1,"SIM","")</f>
        <v>#REF!</v>
      </c>
      <c r="N104" s="5" t="e">
        <f>IF((COUNTIFS(#REF!,$C104,#REF!,N$1))&gt;=1,"SIM","")</f>
        <v>#REF!</v>
      </c>
      <c r="O104" s="5"/>
      <c r="P104" s="5" t="e">
        <f>IF((COUNTIFS(#REF!,$C104,#REF!,P$1))&gt;=1,"SIM","")</f>
        <v>#REF!</v>
      </c>
      <c r="Q104" s="5" t="e">
        <f>IF((COUNTIFS(#REF!,$C104,#REF!,Q$1))&gt;=1,"SIM","")</f>
        <v>#REF!</v>
      </c>
      <c r="R104" s="5" t="e">
        <f>IF((COUNTIFS(#REF!,$C104,#REF!,"*CARTA*"))&gt;=1,"SIM","")</f>
        <v>#REF!</v>
      </c>
      <c r="S104" s="5" t="e">
        <f>IF((COUNTIFS(#REF!,$C104,#REF!,"*CARTA NOTIFICAÇÃO/DEVOL*"))&gt;=1,"SIM","")</f>
        <v>#REF!</v>
      </c>
      <c r="T104" s="5" t="e">
        <f>IF((COUNTIFS(#REF!,$C104,#REF!,"*LIGAÇÃO ATIVA DEV PRIN/LOC*"))&gt;=1,"SIM","")</f>
        <v>#REF!</v>
      </c>
    </row>
    <row r="105" spans="1:20">
      <c r="A105" s="24" t="s">
        <v>2155</v>
      </c>
      <c r="B105" s="24" t="s">
        <v>73</v>
      </c>
      <c r="C105" s="24" t="s">
        <v>74</v>
      </c>
      <c r="D105" s="5" t="e">
        <f>IF((COUNTIFS(#REF!,$C105,#REF!,"*163*"))&gt;=1,"SIM","")</f>
        <v>#REF!</v>
      </c>
      <c r="E105" s="5" t="e">
        <f>IF((COUNTIFS(#REF!,$C105,#REF!,E$1))&gt;=1,"SIM","")</f>
        <v>#REF!</v>
      </c>
      <c r="F105" s="5" t="e">
        <f>IF((COUNTIFS(#REF!,$C105,#REF!,F$1))&gt;=1,"SIM","")</f>
        <v>#REF!</v>
      </c>
      <c r="G105" s="5" t="e">
        <f>IF((COUNTIFS(#REF!,$C105,#REF!,"*606*"))&gt;=1,"SIM","")</f>
        <v>#REF!</v>
      </c>
      <c r="H105" s="5" t="e">
        <f>IF((COUNTIFS(#REF!,$C105,#REF!,"*605*"))&gt;=1,"SIM","")</f>
        <v>#REF!</v>
      </c>
      <c r="I105" s="5" t="e">
        <f>IF((COUNTIFS(#REF!,$C105,#REF!,I$1))&gt;=1,"SIM","")</f>
        <v>#REF!</v>
      </c>
      <c r="J105" s="5" t="e">
        <f>IF((COUNTIFS(#REF!,$C105,#REF!,J$1))&gt;=1,"SIM","")</f>
        <v>#REF!</v>
      </c>
      <c r="K105" s="5" t="e">
        <f>IF((COUNTIFS(#REF!,$C105,#REF!,K$1))&gt;=1,"SIM","")</f>
        <v>#REF!</v>
      </c>
      <c r="L105" s="5" t="e">
        <f>IF((COUNTIFS(#REF!,$C105,#REF!,L$1))&gt;=1,"SIM","")</f>
        <v>#REF!</v>
      </c>
      <c r="M105" s="5" t="e">
        <f>IF((COUNTIFS(#REF!,$C105,#REF!,M$1))&gt;=1,"SIM","")</f>
        <v>#REF!</v>
      </c>
      <c r="N105" s="5" t="e">
        <f>IF((COUNTIFS(#REF!,$C105,#REF!,N$1))&gt;=1,"SIM","")</f>
        <v>#REF!</v>
      </c>
      <c r="O105" s="5"/>
      <c r="P105" s="5" t="e">
        <f>IF((COUNTIFS(#REF!,$C105,#REF!,P$1))&gt;=1,"SIM","")</f>
        <v>#REF!</v>
      </c>
      <c r="Q105" s="5" t="e">
        <f>IF((COUNTIFS(#REF!,$C105,#REF!,Q$1))&gt;=1,"SIM","")</f>
        <v>#REF!</v>
      </c>
      <c r="R105" s="5" t="e">
        <f>IF((COUNTIFS(#REF!,$C105,#REF!,"*CARTA*"))&gt;=1,"SIM","")</f>
        <v>#REF!</v>
      </c>
      <c r="S105" s="5" t="e">
        <f>IF((COUNTIFS(#REF!,$C105,#REF!,"*CARTA NOTIFICAÇÃO/DEVOL*"))&gt;=1,"SIM","")</f>
        <v>#REF!</v>
      </c>
      <c r="T105" s="5" t="e">
        <f>IF((COUNTIFS(#REF!,$C105,#REF!,"*LIGAÇÃO ATIVA DEV PRIN/LOC*"))&gt;=1,"SIM","")</f>
        <v>#REF!</v>
      </c>
    </row>
    <row r="106" spans="1:20">
      <c r="A106" s="24" t="s">
        <v>2159</v>
      </c>
      <c r="B106" s="24" t="s">
        <v>991</v>
      </c>
      <c r="C106" s="24" t="s">
        <v>992</v>
      </c>
      <c r="D106" s="5" t="e">
        <f>IF((COUNTIFS(#REF!,$C106,#REF!,"*163*"))&gt;=1,"SIM","")</f>
        <v>#REF!</v>
      </c>
      <c r="E106" s="5" t="e">
        <f>IF((COUNTIFS(#REF!,$C106,#REF!,E$1))&gt;=1,"SIM","")</f>
        <v>#REF!</v>
      </c>
      <c r="F106" s="5" t="e">
        <f>IF((COUNTIFS(#REF!,$C106,#REF!,F$1))&gt;=1,"SIM","")</f>
        <v>#REF!</v>
      </c>
      <c r="G106" s="5" t="e">
        <f>IF((COUNTIFS(#REF!,$C106,#REF!,"*606*"))&gt;=1,"SIM","")</f>
        <v>#REF!</v>
      </c>
      <c r="H106" s="5" t="e">
        <f>IF((COUNTIFS(#REF!,$C106,#REF!,"*605*"))&gt;=1,"SIM","")</f>
        <v>#REF!</v>
      </c>
      <c r="I106" s="5" t="e">
        <f>IF((COUNTIFS(#REF!,$C106,#REF!,I$1))&gt;=1,"SIM","")</f>
        <v>#REF!</v>
      </c>
      <c r="J106" s="5" t="e">
        <f>IF((COUNTIFS(#REF!,$C106,#REF!,J$1))&gt;=1,"SIM","")</f>
        <v>#REF!</v>
      </c>
      <c r="K106" s="5" t="e">
        <f>IF((COUNTIFS(#REF!,$C106,#REF!,K$1))&gt;=1,"SIM","")</f>
        <v>#REF!</v>
      </c>
      <c r="L106" s="5" t="e">
        <f>IF((COUNTIFS(#REF!,$C106,#REF!,L$1))&gt;=1,"SIM","")</f>
        <v>#REF!</v>
      </c>
      <c r="M106" s="5" t="e">
        <f>IF((COUNTIFS(#REF!,$C106,#REF!,M$1))&gt;=1,"SIM","")</f>
        <v>#REF!</v>
      </c>
      <c r="N106" s="5" t="e">
        <f>IF((COUNTIFS(#REF!,$C106,#REF!,N$1))&gt;=1,"SIM","")</f>
        <v>#REF!</v>
      </c>
      <c r="O106" s="5"/>
      <c r="P106" s="5" t="e">
        <f>IF((COUNTIFS(#REF!,$C106,#REF!,P$1))&gt;=1,"SIM","")</f>
        <v>#REF!</v>
      </c>
      <c r="Q106" s="5" t="e">
        <f>IF((COUNTIFS(#REF!,$C106,#REF!,Q$1))&gt;=1,"SIM","")</f>
        <v>#REF!</v>
      </c>
      <c r="R106" s="5" t="e">
        <f>IF((COUNTIFS(#REF!,$C106,#REF!,"*CARTA*"))&gt;=1,"SIM","")</f>
        <v>#REF!</v>
      </c>
      <c r="S106" s="5" t="e">
        <f>IF((COUNTIFS(#REF!,$C106,#REF!,"*CARTA NOTIFICAÇÃO/DEVOL*"))&gt;=1,"SIM","")</f>
        <v>#REF!</v>
      </c>
      <c r="T106" s="5" t="e">
        <f>IF((COUNTIFS(#REF!,$C106,#REF!,"*LIGAÇÃO ATIVA DEV PRIN/LOC*"))&gt;=1,"SIM","")</f>
        <v>#REF!</v>
      </c>
    </row>
    <row r="107" spans="1:20">
      <c r="A107" s="24" t="s">
        <v>2157</v>
      </c>
      <c r="B107" s="24" t="s">
        <v>1262</v>
      </c>
      <c r="C107" s="24" t="s">
        <v>1263</v>
      </c>
      <c r="D107" s="5" t="e">
        <f>IF((COUNTIFS(#REF!,$C107,#REF!,"*163*"))&gt;=1,"SIM","")</f>
        <v>#REF!</v>
      </c>
      <c r="E107" s="5" t="e">
        <f>IF((COUNTIFS(#REF!,$C107,#REF!,E$1))&gt;=1,"SIM","")</f>
        <v>#REF!</v>
      </c>
      <c r="F107" s="5" t="e">
        <f>IF((COUNTIFS(#REF!,$C107,#REF!,F$1))&gt;=1,"SIM","")</f>
        <v>#REF!</v>
      </c>
      <c r="G107" s="5" t="e">
        <f>IF((COUNTIFS(#REF!,$C107,#REF!,"*606*"))&gt;=1,"SIM","")</f>
        <v>#REF!</v>
      </c>
      <c r="H107" s="5" t="e">
        <f>IF((COUNTIFS(#REF!,$C107,#REF!,"*605*"))&gt;=1,"SIM","")</f>
        <v>#REF!</v>
      </c>
      <c r="I107" s="5" t="e">
        <f>IF((COUNTIFS(#REF!,$C107,#REF!,I$1))&gt;=1,"SIM","")</f>
        <v>#REF!</v>
      </c>
      <c r="J107" s="5" t="e">
        <f>IF((COUNTIFS(#REF!,$C107,#REF!,J$1))&gt;=1,"SIM","")</f>
        <v>#REF!</v>
      </c>
      <c r="K107" s="5" t="e">
        <f>IF((COUNTIFS(#REF!,$C107,#REF!,K$1))&gt;=1,"SIM","")</f>
        <v>#REF!</v>
      </c>
      <c r="L107" s="5" t="e">
        <f>IF((COUNTIFS(#REF!,$C107,#REF!,L$1))&gt;=1,"SIM","")</f>
        <v>#REF!</v>
      </c>
      <c r="M107" s="5" t="e">
        <f>IF((COUNTIFS(#REF!,$C107,#REF!,M$1))&gt;=1,"SIM","")</f>
        <v>#REF!</v>
      </c>
      <c r="N107" s="5" t="e">
        <f>IF((COUNTIFS(#REF!,$C107,#REF!,N$1))&gt;=1,"SIM","")</f>
        <v>#REF!</v>
      </c>
      <c r="O107" s="5"/>
      <c r="P107" s="5" t="e">
        <f>IF((COUNTIFS(#REF!,$C107,#REF!,P$1))&gt;=1,"SIM","")</f>
        <v>#REF!</v>
      </c>
      <c r="Q107" s="5" t="e">
        <f>IF((COUNTIFS(#REF!,$C107,#REF!,Q$1))&gt;=1,"SIM","")</f>
        <v>#REF!</v>
      </c>
      <c r="R107" s="5" t="e">
        <f>IF((COUNTIFS(#REF!,$C107,#REF!,"*CARTA*"))&gt;=1,"SIM","")</f>
        <v>#REF!</v>
      </c>
      <c r="S107" s="5" t="e">
        <f>IF((COUNTIFS(#REF!,$C107,#REF!,"*CARTA NOTIFICAÇÃO/DEVOL*"))&gt;=1,"SIM","")</f>
        <v>#REF!</v>
      </c>
      <c r="T107" s="5" t="e">
        <f>IF((COUNTIFS(#REF!,$C107,#REF!,"*LIGAÇÃO ATIVA DEV PRIN/LOC*"))&gt;=1,"SIM","")</f>
        <v>#REF!</v>
      </c>
    </row>
    <row r="108" spans="1:20">
      <c r="A108" s="24" t="s">
        <v>2153</v>
      </c>
      <c r="B108" s="24" t="s">
        <v>878</v>
      </c>
      <c r="C108" s="24" t="s">
        <v>879</v>
      </c>
      <c r="D108" s="5" t="e">
        <f>IF((COUNTIFS(#REF!,$C108,#REF!,"*163*"))&gt;=1,"SIM","")</f>
        <v>#REF!</v>
      </c>
      <c r="E108" s="5" t="e">
        <f>IF((COUNTIFS(#REF!,$C108,#REF!,E$1))&gt;=1,"SIM","")</f>
        <v>#REF!</v>
      </c>
      <c r="F108" s="5" t="e">
        <f>IF((COUNTIFS(#REF!,$C108,#REF!,F$1))&gt;=1,"SIM","")</f>
        <v>#REF!</v>
      </c>
      <c r="G108" s="5" t="e">
        <f>IF((COUNTIFS(#REF!,$C108,#REF!,"*606*"))&gt;=1,"SIM","")</f>
        <v>#REF!</v>
      </c>
      <c r="H108" s="5" t="e">
        <f>IF((COUNTIFS(#REF!,$C108,#REF!,"*605*"))&gt;=1,"SIM","")</f>
        <v>#REF!</v>
      </c>
      <c r="I108" s="5" t="e">
        <f>IF((COUNTIFS(#REF!,$C108,#REF!,I$1))&gt;=1,"SIM","")</f>
        <v>#REF!</v>
      </c>
      <c r="J108" s="5" t="e">
        <f>IF((COUNTIFS(#REF!,$C108,#REF!,J$1))&gt;=1,"SIM","")</f>
        <v>#REF!</v>
      </c>
      <c r="K108" s="5" t="e">
        <f>IF((COUNTIFS(#REF!,$C108,#REF!,K$1))&gt;=1,"SIM","")</f>
        <v>#REF!</v>
      </c>
      <c r="L108" s="5" t="e">
        <f>IF((COUNTIFS(#REF!,$C108,#REF!,L$1))&gt;=1,"SIM","")</f>
        <v>#REF!</v>
      </c>
      <c r="M108" s="5" t="e">
        <f>IF((COUNTIFS(#REF!,$C108,#REF!,M$1))&gt;=1,"SIM","")</f>
        <v>#REF!</v>
      </c>
      <c r="N108" s="5" t="e">
        <f>IF((COUNTIFS(#REF!,$C108,#REF!,N$1))&gt;=1,"SIM","")</f>
        <v>#REF!</v>
      </c>
      <c r="O108" s="5"/>
      <c r="P108" s="5" t="e">
        <f>IF((COUNTIFS(#REF!,$C108,#REF!,P$1))&gt;=1,"SIM","")</f>
        <v>#REF!</v>
      </c>
      <c r="Q108" s="5" t="e">
        <f>IF((COUNTIFS(#REF!,$C108,#REF!,Q$1))&gt;=1,"SIM","")</f>
        <v>#REF!</v>
      </c>
      <c r="R108" s="5" t="e">
        <f>IF((COUNTIFS(#REF!,$C108,#REF!,"*CARTA*"))&gt;=1,"SIM","")</f>
        <v>#REF!</v>
      </c>
      <c r="S108" s="5" t="e">
        <f>IF((COUNTIFS(#REF!,$C108,#REF!,"*CARTA NOTIFICAÇÃO/DEVOL*"))&gt;=1,"SIM","")</f>
        <v>#REF!</v>
      </c>
      <c r="T108" s="5" t="e">
        <f>IF((COUNTIFS(#REF!,$C108,#REF!,"*LIGAÇÃO ATIVA DEV PRIN/LOC*"))&gt;=1,"SIM","")</f>
        <v>#REF!</v>
      </c>
    </row>
    <row r="109" spans="1:20">
      <c r="A109" s="24" t="s">
        <v>2153</v>
      </c>
      <c r="B109" s="24" t="s">
        <v>1997</v>
      </c>
      <c r="C109" s="24" t="s">
        <v>1998</v>
      </c>
      <c r="D109" s="5" t="e">
        <f>IF((COUNTIFS(#REF!,$C109,#REF!,"*163*"))&gt;=1,"SIM","")</f>
        <v>#REF!</v>
      </c>
      <c r="E109" s="5" t="e">
        <f>IF((COUNTIFS(#REF!,$C109,#REF!,E$1))&gt;=1,"SIM","")</f>
        <v>#REF!</v>
      </c>
      <c r="F109" s="5" t="e">
        <f>IF((COUNTIFS(#REF!,$C109,#REF!,F$1))&gt;=1,"SIM","")</f>
        <v>#REF!</v>
      </c>
      <c r="G109" s="5" t="e">
        <f>IF((COUNTIFS(#REF!,$C109,#REF!,"*606*"))&gt;=1,"SIM","")</f>
        <v>#REF!</v>
      </c>
      <c r="H109" s="5" t="e">
        <f>IF((COUNTIFS(#REF!,$C109,#REF!,"*605*"))&gt;=1,"SIM","")</f>
        <v>#REF!</v>
      </c>
      <c r="I109" s="5" t="e">
        <f>IF((COUNTIFS(#REF!,$C109,#REF!,I$1))&gt;=1,"SIM","")</f>
        <v>#REF!</v>
      </c>
      <c r="J109" s="5" t="e">
        <f>IF((COUNTIFS(#REF!,$C109,#REF!,J$1))&gt;=1,"SIM","")</f>
        <v>#REF!</v>
      </c>
      <c r="K109" s="5" t="e">
        <f>IF((COUNTIFS(#REF!,$C109,#REF!,K$1))&gt;=1,"SIM","")</f>
        <v>#REF!</v>
      </c>
      <c r="L109" s="5" t="e">
        <f>IF((COUNTIFS(#REF!,$C109,#REF!,L$1))&gt;=1,"SIM","")</f>
        <v>#REF!</v>
      </c>
      <c r="M109" s="5" t="e">
        <f>IF((COUNTIFS(#REF!,$C109,#REF!,M$1))&gt;=1,"SIM","")</f>
        <v>#REF!</v>
      </c>
      <c r="N109" s="5" t="e">
        <f>IF((COUNTIFS(#REF!,$C109,#REF!,N$1))&gt;=1,"SIM","")</f>
        <v>#REF!</v>
      </c>
      <c r="O109" s="5"/>
      <c r="P109" s="5" t="e">
        <f>IF((COUNTIFS(#REF!,$C109,#REF!,P$1))&gt;=1,"SIM","")</f>
        <v>#REF!</v>
      </c>
      <c r="Q109" s="5" t="e">
        <f>IF((COUNTIFS(#REF!,$C109,#REF!,Q$1))&gt;=1,"SIM","")</f>
        <v>#REF!</v>
      </c>
      <c r="R109" s="5" t="e">
        <f>IF((COUNTIFS(#REF!,$C109,#REF!,"*CARTA*"))&gt;=1,"SIM","")</f>
        <v>#REF!</v>
      </c>
      <c r="S109" s="5" t="e">
        <f>IF((COUNTIFS(#REF!,$C109,#REF!,"*CARTA NOTIFICAÇÃO/DEVOL*"))&gt;=1,"SIM","")</f>
        <v>#REF!</v>
      </c>
      <c r="T109" s="5" t="e">
        <f>IF((COUNTIFS(#REF!,$C109,#REF!,"*LIGAÇÃO ATIVA DEV PRIN/LOC*"))&gt;=1,"SIM","")</f>
        <v>#REF!</v>
      </c>
    </row>
    <row r="110" spans="1:20">
      <c r="A110" s="24" t="s">
        <v>2153</v>
      </c>
      <c r="B110" s="24" t="s">
        <v>716</v>
      </c>
      <c r="C110" s="24" t="s">
        <v>717</v>
      </c>
      <c r="D110" s="5" t="e">
        <f>IF((COUNTIFS(#REF!,$C110,#REF!,"*163*"))&gt;=1,"SIM","")</f>
        <v>#REF!</v>
      </c>
      <c r="E110" s="5" t="e">
        <f>IF((COUNTIFS(#REF!,$C110,#REF!,E$1))&gt;=1,"SIM","")</f>
        <v>#REF!</v>
      </c>
      <c r="F110" s="5" t="e">
        <f>IF((COUNTIFS(#REF!,$C110,#REF!,F$1))&gt;=1,"SIM","")</f>
        <v>#REF!</v>
      </c>
      <c r="G110" s="5" t="e">
        <f>IF((COUNTIFS(#REF!,$C110,#REF!,"*606*"))&gt;=1,"SIM","")</f>
        <v>#REF!</v>
      </c>
      <c r="H110" s="5" t="e">
        <f>IF((COUNTIFS(#REF!,$C110,#REF!,"*605*"))&gt;=1,"SIM","")</f>
        <v>#REF!</v>
      </c>
      <c r="I110" s="5" t="e">
        <f>IF((COUNTIFS(#REF!,$C110,#REF!,I$1))&gt;=1,"SIM","")</f>
        <v>#REF!</v>
      </c>
      <c r="J110" s="5" t="e">
        <f>IF((COUNTIFS(#REF!,$C110,#REF!,J$1))&gt;=1,"SIM","")</f>
        <v>#REF!</v>
      </c>
      <c r="K110" s="5" t="e">
        <f>IF((COUNTIFS(#REF!,$C110,#REF!,K$1))&gt;=1,"SIM","")</f>
        <v>#REF!</v>
      </c>
      <c r="L110" s="5" t="e">
        <f>IF((COUNTIFS(#REF!,$C110,#REF!,L$1))&gt;=1,"SIM","")</f>
        <v>#REF!</v>
      </c>
      <c r="M110" s="5" t="e">
        <f>IF((COUNTIFS(#REF!,$C110,#REF!,M$1))&gt;=1,"SIM","")</f>
        <v>#REF!</v>
      </c>
      <c r="N110" s="5" t="e">
        <f>IF((COUNTIFS(#REF!,$C110,#REF!,N$1))&gt;=1,"SIM","")</f>
        <v>#REF!</v>
      </c>
      <c r="O110" s="5"/>
      <c r="P110" s="5" t="e">
        <f>IF((COUNTIFS(#REF!,$C110,#REF!,P$1))&gt;=1,"SIM","")</f>
        <v>#REF!</v>
      </c>
      <c r="Q110" s="5" t="e">
        <f>IF((COUNTIFS(#REF!,$C110,#REF!,Q$1))&gt;=1,"SIM","")</f>
        <v>#REF!</v>
      </c>
      <c r="R110" s="5" t="e">
        <f>IF((COUNTIFS(#REF!,$C110,#REF!,"*CARTA*"))&gt;=1,"SIM","")</f>
        <v>#REF!</v>
      </c>
      <c r="S110" s="5" t="e">
        <f>IF((COUNTIFS(#REF!,$C110,#REF!,"*CARTA NOTIFICAÇÃO/DEVOL*"))&gt;=1,"SIM","")</f>
        <v>#REF!</v>
      </c>
      <c r="T110" s="5" t="e">
        <f>IF((COUNTIFS(#REF!,$C110,#REF!,"*LIGAÇÃO ATIVA DEV PRIN/LOC*"))&gt;=1,"SIM","")</f>
        <v>#REF!</v>
      </c>
    </row>
    <row r="111" spans="1:20">
      <c r="A111" s="24" t="s">
        <v>2153</v>
      </c>
      <c r="B111" s="24" t="s">
        <v>954</v>
      </c>
      <c r="C111" s="24" t="s">
        <v>955</v>
      </c>
      <c r="D111" s="5" t="e">
        <f>IF((COUNTIFS(#REF!,$C111,#REF!,"*163*"))&gt;=1,"SIM","")</f>
        <v>#REF!</v>
      </c>
      <c r="E111" s="5" t="e">
        <f>IF((COUNTIFS(#REF!,$C111,#REF!,E$1))&gt;=1,"SIM","")</f>
        <v>#REF!</v>
      </c>
      <c r="F111" s="5" t="e">
        <f>IF((COUNTIFS(#REF!,$C111,#REF!,F$1))&gt;=1,"SIM","")</f>
        <v>#REF!</v>
      </c>
      <c r="G111" s="5" t="e">
        <f>IF((COUNTIFS(#REF!,$C111,#REF!,"*606*"))&gt;=1,"SIM","")</f>
        <v>#REF!</v>
      </c>
      <c r="H111" s="5" t="e">
        <f>IF((COUNTIFS(#REF!,$C111,#REF!,"*605*"))&gt;=1,"SIM","")</f>
        <v>#REF!</v>
      </c>
      <c r="I111" s="5" t="e">
        <f>IF((COUNTIFS(#REF!,$C111,#REF!,I$1))&gt;=1,"SIM","")</f>
        <v>#REF!</v>
      </c>
      <c r="J111" s="5" t="e">
        <f>IF((COUNTIFS(#REF!,$C111,#REF!,J$1))&gt;=1,"SIM","")</f>
        <v>#REF!</v>
      </c>
      <c r="K111" s="5" t="e">
        <f>IF((COUNTIFS(#REF!,$C111,#REF!,K$1))&gt;=1,"SIM","")</f>
        <v>#REF!</v>
      </c>
      <c r="L111" s="5" t="e">
        <f>IF((COUNTIFS(#REF!,$C111,#REF!,L$1))&gt;=1,"SIM","")</f>
        <v>#REF!</v>
      </c>
      <c r="M111" s="5" t="e">
        <f>IF((COUNTIFS(#REF!,$C111,#REF!,M$1))&gt;=1,"SIM","")</f>
        <v>#REF!</v>
      </c>
      <c r="N111" s="5" t="e">
        <f>IF((COUNTIFS(#REF!,$C111,#REF!,N$1))&gt;=1,"SIM","")</f>
        <v>#REF!</v>
      </c>
      <c r="O111" s="5"/>
      <c r="P111" s="5" t="e">
        <f>IF((COUNTIFS(#REF!,$C111,#REF!,P$1))&gt;=1,"SIM","")</f>
        <v>#REF!</v>
      </c>
      <c r="Q111" s="5" t="e">
        <f>IF((COUNTIFS(#REF!,$C111,#REF!,Q$1))&gt;=1,"SIM","")</f>
        <v>#REF!</v>
      </c>
      <c r="R111" s="5" t="e">
        <f>IF((COUNTIFS(#REF!,$C111,#REF!,"*CARTA*"))&gt;=1,"SIM","")</f>
        <v>#REF!</v>
      </c>
      <c r="S111" s="5" t="e">
        <f>IF((COUNTIFS(#REF!,$C111,#REF!,"*CARTA NOTIFICAÇÃO/DEVOL*"))&gt;=1,"SIM","")</f>
        <v>#REF!</v>
      </c>
      <c r="T111" s="5" t="e">
        <f>IF((COUNTIFS(#REF!,$C111,#REF!,"*LIGAÇÃO ATIVA DEV PRIN/LOC*"))&gt;=1,"SIM","")</f>
        <v>#REF!</v>
      </c>
    </row>
    <row r="112" spans="1:20">
      <c r="A112" s="24" t="s">
        <v>2155</v>
      </c>
      <c r="B112" s="24" t="s">
        <v>1778</v>
      </c>
      <c r="C112" s="24" t="s">
        <v>1779</v>
      </c>
      <c r="D112" s="5" t="e">
        <f>IF((COUNTIFS(#REF!,$C112,#REF!,"*163*"))&gt;=1,"SIM","")</f>
        <v>#REF!</v>
      </c>
      <c r="E112" s="5" t="e">
        <f>IF((COUNTIFS(#REF!,$C112,#REF!,E$1))&gt;=1,"SIM","")</f>
        <v>#REF!</v>
      </c>
      <c r="F112" s="5" t="e">
        <f>IF((COUNTIFS(#REF!,$C112,#REF!,F$1))&gt;=1,"SIM","")</f>
        <v>#REF!</v>
      </c>
      <c r="G112" s="5" t="e">
        <f>IF((COUNTIFS(#REF!,$C112,#REF!,"*606*"))&gt;=1,"SIM","")</f>
        <v>#REF!</v>
      </c>
      <c r="H112" s="5" t="e">
        <f>IF((COUNTIFS(#REF!,$C112,#REF!,"*605*"))&gt;=1,"SIM","")</f>
        <v>#REF!</v>
      </c>
      <c r="I112" s="5" t="e">
        <f>IF((COUNTIFS(#REF!,$C112,#REF!,I$1))&gt;=1,"SIM","")</f>
        <v>#REF!</v>
      </c>
      <c r="J112" s="5" t="e">
        <f>IF((COUNTIFS(#REF!,$C112,#REF!,J$1))&gt;=1,"SIM","")</f>
        <v>#REF!</v>
      </c>
      <c r="K112" s="5" t="e">
        <f>IF((COUNTIFS(#REF!,$C112,#REF!,K$1))&gt;=1,"SIM","")</f>
        <v>#REF!</v>
      </c>
      <c r="L112" s="5" t="e">
        <f>IF((COUNTIFS(#REF!,$C112,#REF!,L$1))&gt;=1,"SIM","")</f>
        <v>#REF!</v>
      </c>
      <c r="M112" s="5" t="e">
        <f>IF((COUNTIFS(#REF!,$C112,#REF!,M$1))&gt;=1,"SIM","")</f>
        <v>#REF!</v>
      </c>
      <c r="N112" s="5" t="e">
        <f>IF((COUNTIFS(#REF!,$C112,#REF!,N$1))&gt;=1,"SIM","")</f>
        <v>#REF!</v>
      </c>
      <c r="O112" s="5"/>
      <c r="P112" s="5" t="e">
        <f>IF((COUNTIFS(#REF!,$C112,#REF!,P$1))&gt;=1,"SIM","")</f>
        <v>#REF!</v>
      </c>
      <c r="Q112" s="5" t="e">
        <f>IF((COUNTIFS(#REF!,$C112,#REF!,Q$1))&gt;=1,"SIM","")</f>
        <v>#REF!</v>
      </c>
      <c r="R112" s="5" t="e">
        <f>IF((COUNTIFS(#REF!,$C112,#REF!,"*CARTA*"))&gt;=1,"SIM","")</f>
        <v>#REF!</v>
      </c>
      <c r="S112" s="5" t="e">
        <f>IF((COUNTIFS(#REF!,$C112,#REF!,"*CARTA NOTIFICAÇÃO/DEVOL*"))&gt;=1,"SIM","")</f>
        <v>#REF!</v>
      </c>
      <c r="T112" s="5" t="e">
        <f>IF((COUNTIFS(#REF!,$C112,#REF!,"*LIGAÇÃO ATIVA DEV PRIN/LOC*"))&gt;=1,"SIM","")</f>
        <v>#REF!</v>
      </c>
    </row>
    <row r="113" spans="1:20">
      <c r="A113" s="24" t="s">
        <v>2153</v>
      </c>
      <c r="B113" s="24" t="s">
        <v>762</v>
      </c>
      <c r="C113" s="24" t="s">
        <v>763</v>
      </c>
      <c r="D113" s="5" t="e">
        <f>IF((COUNTIFS(#REF!,$C113,#REF!,"*163*"))&gt;=1,"SIM","")</f>
        <v>#REF!</v>
      </c>
      <c r="E113" s="5" t="e">
        <f>IF((COUNTIFS(#REF!,$C113,#REF!,E$1))&gt;=1,"SIM","")</f>
        <v>#REF!</v>
      </c>
      <c r="F113" s="5" t="e">
        <f>IF((COUNTIFS(#REF!,$C113,#REF!,F$1))&gt;=1,"SIM","")</f>
        <v>#REF!</v>
      </c>
      <c r="G113" s="5" t="e">
        <f>IF((COUNTIFS(#REF!,$C113,#REF!,"*606*"))&gt;=1,"SIM","")</f>
        <v>#REF!</v>
      </c>
      <c r="H113" s="5" t="e">
        <f>IF((COUNTIFS(#REF!,$C113,#REF!,"*605*"))&gt;=1,"SIM","")</f>
        <v>#REF!</v>
      </c>
      <c r="I113" s="5" t="e">
        <f>IF((COUNTIFS(#REF!,$C113,#REF!,I$1))&gt;=1,"SIM","")</f>
        <v>#REF!</v>
      </c>
      <c r="J113" s="5" t="e">
        <f>IF((COUNTIFS(#REF!,$C113,#REF!,J$1))&gt;=1,"SIM","")</f>
        <v>#REF!</v>
      </c>
      <c r="K113" s="5" t="e">
        <f>IF((COUNTIFS(#REF!,$C113,#REF!,K$1))&gt;=1,"SIM","")</f>
        <v>#REF!</v>
      </c>
      <c r="L113" s="5" t="e">
        <f>IF((COUNTIFS(#REF!,$C113,#REF!,L$1))&gt;=1,"SIM","")</f>
        <v>#REF!</v>
      </c>
      <c r="M113" s="5" t="e">
        <f>IF((COUNTIFS(#REF!,$C113,#REF!,M$1))&gt;=1,"SIM","")</f>
        <v>#REF!</v>
      </c>
      <c r="N113" s="5" t="e">
        <f>IF((COUNTIFS(#REF!,$C113,#REF!,N$1))&gt;=1,"SIM","")</f>
        <v>#REF!</v>
      </c>
      <c r="O113" s="5"/>
      <c r="P113" s="5" t="e">
        <f>IF((COUNTIFS(#REF!,$C113,#REF!,P$1))&gt;=1,"SIM","")</f>
        <v>#REF!</v>
      </c>
      <c r="Q113" s="5" t="e">
        <f>IF((COUNTIFS(#REF!,$C113,#REF!,Q$1))&gt;=1,"SIM","")</f>
        <v>#REF!</v>
      </c>
      <c r="R113" s="5" t="e">
        <f>IF((COUNTIFS(#REF!,$C113,#REF!,"*CARTA*"))&gt;=1,"SIM","")</f>
        <v>#REF!</v>
      </c>
      <c r="S113" s="5" t="e">
        <f>IF((COUNTIFS(#REF!,$C113,#REF!,"*CARTA NOTIFICAÇÃO/DEVOL*"))&gt;=1,"SIM","")</f>
        <v>#REF!</v>
      </c>
      <c r="T113" s="5" t="e">
        <f>IF((COUNTIFS(#REF!,$C113,#REF!,"*LIGAÇÃO ATIVA DEV PRIN/LOC*"))&gt;=1,"SIM","")</f>
        <v>#REF!</v>
      </c>
    </row>
    <row r="114" spans="1:20">
      <c r="A114" s="24" t="s">
        <v>2159</v>
      </c>
      <c r="B114" s="24" t="s">
        <v>1312</v>
      </c>
      <c r="C114" s="24" t="s">
        <v>1313</v>
      </c>
      <c r="D114" s="5" t="e">
        <f>IF((COUNTIFS(#REF!,$C114,#REF!,"*163*"))&gt;=1,"SIM","")</f>
        <v>#REF!</v>
      </c>
      <c r="E114" s="5" t="e">
        <f>IF((COUNTIFS(#REF!,$C114,#REF!,E$1))&gt;=1,"SIM","")</f>
        <v>#REF!</v>
      </c>
      <c r="F114" s="5" t="e">
        <f>IF((COUNTIFS(#REF!,$C114,#REF!,F$1))&gt;=1,"SIM","")</f>
        <v>#REF!</v>
      </c>
      <c r="G114" s="5" t="e">
        <f>IF((COUNTIFS(#REF!,$C114,#REF!,"*606*"))&gt;=1,"SIM","")</f>
        <v>#REF!</v>
      </c>
      <c r="H114" s="5" t="e">
        <f>IF((COUNTIFS(#REF!,$C114,#REF!,"*605*"))&gt;=1,"SIM","")</f>
        <v>#REF!</v>
      </c>
      <c r="I114" s="5" t="e">
        <f>IF((COUNTIFS(#REF!,$C114,#REF!,I$1))&gt;=1,"SIM","")</f>
        <v>#REF!</v>
      </c>
      <c r="J114" s="5" t="e">
        <f>IF((COUNTIFS(#REF!,$C114,#REF!,J$1))&gt;=1,"SIM","")</f>
        <v>#REF!</v>
      </c>
      <c r="K114" s="5" t="e">
        <f>IF((COUNTIFS(#REF!,$C114,#REF!,K$1))&gt;=1,"SIM","")</f>
        <v>#REF!</v>
      </c>
      <c r="L114" s="5" t="e">
        <f>IF((COUNTIFS(#REF!,$C114,#REF!,L$1))&gt;=1,"SIM","")</f>
        <v>#REF!</v>
      </c>
      <c r="M114" s="5" t="e">
        <f>IF((COUNTIFS(#REF!,$C114,#REF!,M$1))&gt;=1,"SIM","")</f>
        <v>#REF!</v>
      </c>
      <c r="N114" s="5" t="e">
        <f>IF((COUNTIFS(#REF!,$C114,#REF!,N$1))&gt;=1,"SIM","")</f>
        <v>#REF!</v>
      </c>
      <c r="O114" s="5"/>
      <c r="P114" s="5" t="e">
        <f>IF((COUNTIFS(#REF!,$C114,#REF!,P$1))&gt;=1,"SIM","")</f>
        <v>#REF!</v>
      </c>
      <c r="Q114" s="5" t="e">
        <f>IF((COUNTIFS(#REF!,$C114,#REF!,Q$1))&gt;=1,"SIM","")</f>
        <v>#REF!</v>
      </c>
      <c r="R114" s="5" t="e">
        <f>IF((COUNTIFS(#REF!,$C114,#REF!,"*CARTA*"))&gt;=1,"SIM","")</f>
        <v>#REF!</v>
      </c>
      <c r="S114" s="5" t="e">
        <f>IF((COUNTIFS(#REF!,$C114,#REF!,"*CARTA NOTIFICAÇÃO/DEVOL*"))&gt;=1,"SIM","")</f>
        <v>#REF!</v>
      </c>
      <c r="T114" s="5" t="e">
        <f>IF((COUNTIFS(#REF!,$C114,#REF!,"*LIGAÇÃO ATIVA DEV PRIN/LOC*"))&gt;=1,"SIM","")</f>
        <v>#REF!</v>
      </c>
    </row>
    <row r="115" spans="1:20">
      <c r="A115" s="24" t="s">
        <v>2153</v>
      </c>
      <c r="B115" s="24" t="s">
        <v>600</v>
      </c>
      <c r="C115" s="24" t="s">
        <v>601</v>
      </c>
      <c r="D115" s="5" t="e">
        <f>IF((COUNTIFS(#REF!,$C115,#REF!,"*163*"))&gt;=1,"SIM","")</f>
        <v>#REF!</v>
      </c>
      <c r="E115" s="5" t="e">
        <f>IF((COUNTIFS(#REF!,$C115,#REF!,E$1))&gt;=1,"SIM","")</f>
        <v>#REF!</v>
      </c>
      <c r="F115" s="5" t="e">
        <f>IF((COUNTIFS(#REF!,$C115,#REF!,F$1))&gt;=1,"SIM","")</f>
        <v>#REF!</v>
      </c>
      <c r="G115" s="5" t="e">
        <f>IF((COUNTIFS(#REF!,$C115,#REF!,"*606*"))&gt;=1,"SIM","")</f>
        <v>#REF!</v>
      </c>
      <c r="H115" s="5" t="e">
        <f>IF((COUNTIFS(#REF!,$C115,#REF!,"*605*"))&gt;=1,"SIM","")</f>
        <v>#REF!</v>
      </c>
      <c r="I115" s="5" t="e">
        <f>IF((COUNTIFS(#REF!,$C115,#REF!,I$1))&gt;=1,"SIM","")</f>
        <v>#REF!</v>
      </c>
      <c r="J115" s="5" t="e">
        <f>IF((COUNTIFS(#REF!,$C115,#REF!,J$1))&gt;=1,"SIM","")</f>
        <v>#REF!</v>
      </c>
      <c r="K115" s="5" t="e">
        <f>IF((COUNTIFS(#REF!,$C115,#REF!,K$1))&gt;=1,"SIM","")</f>
        <v>#REF!</v>
      </c>
      <c r="L115" s="5" t="e">
        <f>IF((COUNTIFS(#REF!,$C115,#REF!,L$1))&gt;=1,"SIM","")</f>
        <v>#REF!</v>
      </c>
      <c r="M115" s="5" t="e">
        <f>IF((COUNTIFS(#REF!,$C115,#REF!,M$1))&gt;=1,"SIM","")</f>
        <v>#REF!</v>
      </c>
      <c r="N115" s="5" t="e">
        <f>IF((COUNTIFS(#REF!,$C115,#REF!,N$1))&gt;=1,"SIM","")</f>
        <v>#REF!</v>
      </c>
      <c r="O115" s="5"/>
      <c r="P115" s="5" t="e">
        <f>IF((COUNTIFS(#REF!,$C115,#REF!,P$1))&gt;=1,"SIM","")</f>
        <v>#REF!</v>
      </c>
      <c r="Q115" s="5" t="e">
        <f>IF((COUNTIFS(#REF!,$C115,#REF!,Q$1))&gt;=1,"SIM","")</f>
        <v>#REF!</v>
      </c>
      <c r="R115" s="5" t="e">
        <f>IF((COUNTIFS(#REF!,$C115,#REF!,"*CARTA*"))&gt;=1,"SIM","")</f>
        <v>#REF!</v>
      </c>
      <c r="S115" s="5" t="e">
        <f>IF((COUNTIFS(#REF!,$C115,#REF!,"*CARTA NOTIFICAÇÃO/DEVOL*"))&gt;=1,"SIM","")</f>
        <v>#REF!</v>
      </c>
      <c r="T115" s="5" t="e">
        <f>IF((COUNTIFS(#REF!,$C115,#REF!,"*LIGAÇÃO ATIVA DEV PRIN/LOC*"))&gt;=1,"SIM","")</f>
        <v>#REF!</v>
      </c>
    </row>
    <row r="116" spans="1:20">
      <c r="A116" s="24" t="s">
        <v>2157</v>
      </c>
      <c r="B116" s="24" t="s">
        <v>1467</v>
      </c>
      <c r="C116" s="24" t="s">
        <v>1468</v>
      </c>
      <c r="D116" s="5" t="e">
        <f>IF((COUNTIFS(#REF!,$C116,#REF!,"*163*"))&gt;=1,"SIM","")</f>
        <v>#REF!</v>
      </c>
      <c r="E116" s="5" t="e">
        <f>IF((COUNTIFS(#REF!,$C116,#REF!,E$1))&gt;=1,"SIM","")</f>
        <v>#REF!</v>
      </c>
      <c r="F116" s="5" t="e">
        <f>IF((COUNTIFS(#REF!,$C116,#REF!,F$1))&gt;=1,"SIM","")</f>
        <v>#REF!</v>
      </c>
      <c r="G116" s="5" t="e">
        <f>IF((COUNTIFS(#REF!,$C116,#REF!,"*606*"))&gt;=1,"SIM","")</f>
        <v>#REF!</v>
      </c>
      <c r="H116" s="5" t="e">
        <f>IF((COUNTIFS(#REF!,$C116,#REF!,"*605*"))&gt;=1,"SIM","")</f>
        <v>#REF!</v>
      </c>
      <c r="I116" s="5" t="e">
        <f>IF((COUNTIFS(#REF!,$C116,#REF!,I$1))&gt;=1,"SIM","")</f>
        <v>#REF!</v>
      </c>
      <c r="J116" s="5" t="e">
        <f>IF((COUNTIFS(#REF!,$C116,#REF!,J$1))&gt;=1,"SIM","")</f>
        <v>#REF!</v>
      </c>
      <c r="K116" s="5" t="e">
        <f>IF((COUNTIFS(#REF!,$C116,#REF!,K$1))&gt;=1,"SIM","")</f>
        <v>#REF!</v>
      </c>
      <c r="L116" s="5" t="e">
        <f>IF((COUNTIFS(#REF!,$C116,#REF!,L$1))&gt;=1,"SIM","")</f>
        <v>#REF!</v>
      </c>
      <c r="M116" s="5" t="e">
        <f>IF((COUNTIFS(#REF!,$C116,#REF!,M$1))&gt;=1,"SIM","")</f>
        <v>#REF!</v>
      </c>
      <c r="N116" s="5" t="e">
        <f>IF((COUNTIFS(#REF!,$C116,#REF!,N$1))&gt;=1,"SIM","")</f>
        <v>#REF!</v>
      </c>
      <c r="O116" s="5"/>
      <c r="P116" s="5" t="e">
        <f>IF((COUNTIFS(#REF!,$C116,#REF!,P$1))&gt;=1,"SIM","")</f>
        <v>#REF!</v>
      </c>
      <c r="Q116" s="5" t="e">
        <f>IF((COUNTIFS(#REF!,$C116,#REF!,Q$1))&gt;=1,"SIM","")</f>
        <v>#REF!</v>
      </c>
      <c r="R116" s="5" t="e">
        <f>IF((COUNTIFS(#REF!,$C116,#REF!,"*CARTA*"))&gt;=1,"SIM","")</f>
        <v>#REF!</v>
      </c>
      <c r="S116" s="5" t="e">
        <f>IF((COUNTIFS(#REF!,$C116,#REF!,"*CARTA NOTIFICAÇÃO/DEVOL*"))&gt;=1,"SIM","")</f>
        <v>#REF!</v>
      </c>
      <c r="T116" s="5" t="e">
        <f>IF((COUNTIFS(#REF!,$C116,#REF!,"*LIGAÇÃO ATIVA DEV PRIN/LOC*"))&gt;=1,"SIM","")</f>
        <v>#REF!</v>
      </c>
    </row>
    <row r="117" spans="1:20">
      <c r="A117" s="24" t="s">
        <v>2153</v>
      </c>
      <c r="B117" s="24" t="s">
        <v>4</v>
      </c>
      <c r="C117" s="24" t="s">
        <v>5</v>
      </c>
      <c r="D117" s="5" t="e">
        <f>IF((COUNTIFS(#REF!,$C117,#REF!,"*163*"))&gt;=1,"SIM","")</f>
        <v>#REF!</v>
      </c>
      <c r="E117" s="5" t="e">
        <f>IF((COUNTIFS(#REF!,$C117,#REF!,E$1))&gt;=1,"SIM","")</f>
        <v>#REF!</v>
      </c>
      <c r="F117" s="5" t="e">
        <f>IF((COUNTIFS(#REF!,$C117,#REF!,F$1))&gt;=1,"SIM","")</f>
        <v>#REF!</v>
      </c>
      <c r="G117" s="5" t="e">
        <f>IF((COUNTIFS(#REF!,$C117,#REF!,"*606*"))&gt;=1,"SIM","")</f>
        <v>#REF!</v>
      </c>
      <c r="H117" s="5" t="e">
        <f>IF((COUNTIFS(#REF!,$C117,#REF!,"*605*"))&gt;=1,"SIM","")</f>
        <v>#REF!</v>
      </c>
      <c r="I117" s="5" t="e">
        <f>IF((COUNTIFS(#REF!,$C117,#REF!,I$1))&gt;=1,"SIM","")</f>
        <v>#REF!</v>
      </c>
      <c r="J117" s="5" t="e">
        <f>IF((COUNTIFS(#REF!,$C117,#REF!,J$1))&gt;=1,"SIM","")</f>
        <v>#REF!</v>
      </c>
      <c r="K117" s="5" t="e">
        <f>IF((COUNTIFS(#REF!,$C117,#REF!,K$1))&gt;=1,"SIM","")</f>
        <v>#REF!</v>
      </c>
      <c r="L117" s="5" t="e">
        <f>IF((COUNTIFS(#REF!,$C117,#REF!,L$1))&gt;=1,"SIM","")</f>
        <v>#REF!</v>
      </c>
      <c r="M117" s="5" t="e">
        <f>IF((COUNTIFS(#REF!,$C117,#REF!,M$1))&gt;=1,"SIM","")</f>
        <v>#REF!</v>
      </c>
      <c r="N117" s="5" t="e">
        <f>IF((COUNTIFS(#REF!,$C117,#REF!,N$1))&gt;=1,"SIM","")</f>
        <v>#REF!</v>
      </c>
      <c r="O117" s="5"/>
      <c r="P117" s="5" t="e">
        <f>IF((COUNTIFS(#REF!,$C117,#REF!,P$1))&gt;=1,"SIM","")</f>
        <v>#REF!</v>
      </c>
      <c r="Q117" s="5" t="e">
        <f>IF((COUNTIFS(#REF!,$C117,#REF!,Q$1))&gt;=1,"SIM","")</f>
        <v>#REF!</v>
      </c>
      <c r="R117" s="5" t="e">
        <f>IF((COUNTIFS(#REF!,$C117,#REF!,"*CARTA*"))&gt;=1,"SIM","")</f>
        <v>#REF!</v>
      </c>
      <c r="S117" s="5" t="e">
        <f>IF((COUNTIFS(#REF!,$C117,#REF!,"*CARTA NOTIFICAÇÃO/DEVOL*"))&gt;=1,"SIM","")</f>
        <v>#REF!</v>
      </c>
      <c r="T117" s="5" t="e">
        <f>IF((COUNTIFS(#REF!,$C117,#REF!,"*LIGAÇÃO ATIVA DEV PRIN/LOC*"))&gt;=1,"SIM","")</f>
        <v>#REF!</v>
      </c>
    </row>
    <row r="118" spans="1:20">
      <c r="A118" s="24" t="s">
        <v>2155</v>
      </c>
      <c r="B118" s="24" t="s">
        <v>1221</v>
      </c>
      <c r="C118" s="24" t="s">
        <v>1222</v>
      </c>
      <c r="D118" s="5" t="e">
        <f>IF((COUNTIFS(#REF!,$C118,#REF!,"*163*"))&gt;=1,"SIM","")</f>
        <v>#REF!</v>
      </c>
      <c r="E118" s="5" t="e">
        <f>IF((COUNTIFS(#REF!,$C118,#REF!,E$1))&gt;=1,"SIM","")</f>
        <v>#REF!</v>
      </c>
      <c r="F118" s="5" t="e">
        <f>IF((COUNTIFS(#REF!,$C118,#REF!,F$1))&gt;=1,"SIM","")</f>
        <v>#REF!</v>
      </c>
      <c r="G118" s="5" t="e">
        <f>IF((COUNTIFS(#REF!,$C118,#REF!,"*606*"))&gt;=1,"SIM","")</f>
        <v>#REF!</v>
      </c>
      <c r="H118" s="5" t="e">
        <f>IF((COUNTIFS(#REF!,$C118,#REF!,"*605*"))&gt;=1,"SIM","")</f>
        <v>#REF!</v>
      </c>
      <c r="I118" s="5" t="e">
        <f>IF((COUNTIFS(#REF!,$C118,#REF!,I$1))&gt;=1,"SIM","")</f>
        <v>#REF!</v>
      </c>
      <c r="J118" s="5" t="e">
        <f>IF((COUNTIFS(#REF!,$C118,#REF!,J$1))&gt;=1,"SIM","")</f>
        <v>#REF!</v>
      </c>
      <c r="K118" s="5" t="e">
        <f>IF((COUNTIFS(#REF!,$C118,#REF!,K$1))&gt;=1,"SIM","")</f>
        <v>#REF!</v>
      </c>
      <c r="L118" s="5" t="e">
        <f>IF((COUNTIFS(#REF!,$C118,#REF!,L$1))&gt;=1,"SIM","")</f>
        <v>#REF!</v>
      </c>
      <c r="M118" s="5" t="e">
        <f>IF((COUNTIFS(#REF!,$C118,#REF!,M$1))&gt;=1,"SIM","")</f>
        <v>#REF!</v>
      </c>
      <c r="N118" s="5" t="e">
        <f>IF((COUNTIFS(#REF!,$C118,#REF!,N$1))&gt;=1,"SIM","")</f>
        <v>#REF!</v>
      </c>
      <c r="O118" s="5"/>
      <c r="P118" s="5" t="e">
        <f>IF((COUNTIFS(#REF!,$C118,#REF!,P$1))&gt;=1,"SIM","")</f>
        <v>#REF!</v>
      </c>
      <c r="Q118" s="5" t="e">
        <f>IF((COUNTIFS(#REF!,$C118,#REF!,Q$1))&gt;=1,"SIM","")</f>
        <v>#REF!</v>
      </c>
      <c r="R118" s="5" t="e">
        <f>IF((COUNTIFS(#REF!,$C118,#REF!,"*CARTA*"))&gt;=1,"SIM","")</f>
        <v>#REF!</v>
      </c>
      <c r="S118" s="5" t="e">
        <f>IF((COUNTIFS(#REF!,$C118,#REF!,"*CARTA NOTIFICAÇÃO/DEVOL*"))&gt;=1,"SIM","")</f>
        <v>#REF!</v>
      </c>
      <c r="T118" s="5" t="e">
        <f>IF((COUNTIFS(#REF!,$C118,#REF!,"*LIGAÇÃO ATIVA DEV PRIN/LOC*"))&gt;=1,"SIM","")</f>
        <v>#REF!</v>
      </c>
    </row>
    <row r="119" spans="1:20">
      <c r="A119" s="24" t="s">
        <v>2153</v>
      </c>
      <c r="B119" s="24" t="s">
        <v>571</v>
      </c>
      <c r="C119" s="24" t="s">
        <v>572</v>
      </c>
      <c r="D119" s="5" t="e">
        <f>IF((COUNTIFS(#REF!,$C119,#REF!,"*163*"))&gt;=1,"SIM","")</f>
        <v>#REF!</v>
      </c>
      <c r="E119" s="5" t="e">
        <f>IF((COUNTIFS(#REF!,$C119,#REF!,E$1))&gt;=1,"SIM","")</f>
        <v>#REF!</v>
      </c>
      <c r="F119" s="5" t="e">
        <f>IF((COUNTIFS(#REF!,$C119,#REF!,F$1))&gt;=1,"SIM","")</f>
        <v>#REF!</v>
      </c>
      <c r="G119" s="5" t="e">
        <f>IF((COUNTIFS(#REF!,$C119,#REF!,"*606*"))&gt;=1,"SIM","")</f>
        <v>#REF!</v>
      </c>
      <c r="H119" s="5" t="e">
        <f>IF((COUNTIFS(#REF!,$C119,#REF!,"*605*"))&gt;=1,"SIM","")</f>
        <v>#REF!</v>
      </c>
      <c r="I119" s="5" t="e">
        <f>IF((COUNTIFS(#REF!,$C119,#REF!,I$1))&gt;=1,"SIM","")</f>
        <v>#REF!</v>
      </c>
      <c r="J119" s="5" t="e">
        <f>IF((COUNTIFS(#REF!,$C119,#REF!,J$1))&gt;=1,"SIM","")</f>
        <v>#REF!</v>
      </c>
      <c r="K119" s="5" t="e">
        <f>IF((COUNTIFS(#REF!,$C119,#REF!,K$1))&gt;=1,"SIM","")</f>
        <v>#REF!</v>
      </c>
      <c r="L119" s="5" t="e">
        <f>IF((COUNTIFS(#REF!,$C119,#REF!,L$1))&gt;=1,"SIM","")</f>
        <v>#REF!</v>
      </c>
      <c r="M119" s="5" t="e">
        <f>IF((COUNTIFS(#REF!,$C119,#REF!,M$1))&gt;=1,"SIM","")</f>
        <v>#REF!</v>
      </c>
      <c r="N119" s="5" t="e">
        <f>IF((COUNTIFS(#REF!,$C119,#REF!,N$1))&gt;=1,"SIM","")</f>
        <v>#REF!</v>
      </c>
      <c r="O119" s="5"/>
      <c r="P119" s="5" t="e">
        <f>IF((COUNTIFS(#REF!,$C119,#REF!,P$1))&gt;=1,"SIM","")</f>
        <v>#REF!</v>
      </c>
      <c r="Q119" s="5" t="e">
        <f>IF((COUNTIFS(#REF!,$C119,#REF!,Q$1))&gt;=1,"SIM","")</f>
        <v>#REF!</v>
      </c>
      <c r="R119" s="5" t="e">
        <f>IF((COUNTIFS(#REF!,$C119,#REF!,"*CARTA*"))&gt;=1,"SIM","")</f>
        <v>#REF!</v>
      </c>
      <c r="S119" s="5" t="e">
        <f>IF((COUNTIFS(#REF!,$C119,#REF!,"*CARTA NOTIFICAÇÃO/DEVOL*"))&gt;=1,"SIM","")</f>
        <v>#REF!</v>
      </c>
      <c r="T119" s="5" t="e">
        <f>IF((COUNTIFS(#REF!,$C119,#REF!,"*LIGAÇÃO ATIVA DEV PRIN/LOC*"))&gt;=1,"SIM","")</f>
        <v>#REF!</v>
      </c>
    </row>
    <row r="120" spans="1:20">
      <c r="A120" s="24" t="s">
        <v>2153</v>
      </c>
      <c r="B120" s="24" t="s">
        <v>752</v>
      </c>
      <c r="C120" s="24" t="s">
        <v>753</v>
      </c>
      <c r="D120" s="5" t="e">
        <f>IF((COUNTIFS(#REF!,$C120,#REF!,"*163*"))&gt;=1,"SIM","")</f>
        <v>#REF!</v>
      </c>
      <c r="E120" s="5" t="e">
        <f>IF((COUNTIFS(#REF!,$C120,#REF!,E$1))&gt;=1,"SIM","")</f>
        <v>#REF!</v>
      </c>
      <c r="F120" s="5" t="e">
        <f>IF((COUNTIFS(#REF!,$C120,#REF!,F$1))&gt;=1,"SIM","")</f>
        <v>#REF!</v>
      </c>
      <c r="G120" s="5" t="e">
        <f>IF((COUNTIFS(#REF!,$C120,#REF!,"*606*"))&gt;=1,"SIM","")</f>
        <v>#REF!</v>
      </c>
      <c r="H120" s="5" t="e">
        <f>IF((COUNTIFS(#REF!,$C120,#REF!,"*605*"))&gt;=1,"SIM","")</f>
        <v>#REF!</v>
      </c>
      <c r="I120" s="5" t="e">
        <f>IF((COUNTIFS(#REF!,$C120,#REF!,I$1))&gt;=1,"SIM","")</f>
        <v>#REF!</v>
      </c>
      <c r="J120" s="5" t="e">
        <f>IF((COUNTIFS(#REF!,$C120,#REF!,J$1))&gt;=1,"SIM","")</f>
        <v>#REF!</v>
      </c>
      <c r="K120" s="5" t="e">
        <f>IF((COUNTIFS(#REF!,$C120,#REF!,K$1))&gt;=1,"SIM","")</f>
        <v>#REF!</v>
      </c>
      <c r="L120" s="5" t="e">
        <f>IF((COUNTIFS(#REF!,$C120,#REF!,L$1))&gt;=1,"SIM","")</f>
        <v>#REF!</v>
      </c>
      <c r="M120" s="5" t="e">
        <f>IF((COUNTIFS(#REF!,$C120,#REF!,M$1))&gt;=1,"SIM","")</f>
        <v>#REF!</v>
      </c>
      <c r="N120" s="5" t="e">
        <f>IF((COUNTIFS(#REF!,$C120,#REF!,N$1))&gt;=1,"SIM","")</f>
        <v>#REF!</v>
      </c>
      <c r="O120" s="5"/>
      <c r="P120" s="5" t="e">
        <f>IF((COUNTIFS(#REF!,$C120,#REF!,P$1))&gt;=1,"SIM","")</f>
        <v>#REF!</v>
      </c>
      <c r="Q120" s="5" t="e">
        <f>IF((COUNTIFS(#REF!,$C120,#REF!,Q$1))&gt;=1,"SIM","")</f>
        <v>#REF!</v>
      </c>
      <c r="R120" s="5" t="e">
        <f>IF((COUNTIFS(#REF!,$C120,#REF!,"*CARTA*"))&gt;=1,"SIM","")</f>
        <v>#REF!</v>
      </c>
      <c r="S120" s="5" t="e">
        <f>IF((COUNTIFS(#REF!,$C120,#REF!,"*CARTA NOTIFICAÇÃO/DEVOL*"))&gt;=1,"SIM","")</f>
        <v>#REF!</v>
      </c>
      <c r="T120" s="5" t="e">
        <f>IF((COUNTIFS(#REF!,$C120,#REF!,"*LIGAÇÃO ATIVA DEV PRIN/LOC*"))&gt;=1,"SIM","")</f>
        <v>#REF!</v>
      </c>
    </row>
    <row r="121" spans="1:20">
      <c r="A121" s="24" t="s">
        <v>2153</v>
      </c>
      <c r="B121" s="24" t="s">
        <v>754</v>
      </c>
      <c r="C121" s="24" t="s">
        <v>755</v>
      </c>
      <c r="D121" s="5" t="e">
        <f>IF((COUNTIFS(#REF!,$C121,#REF!,"*163*"))&gt;=1,"SIM","")</f>
        <v>#REF!</v>
      </c>
      <c r="E121" s="5" t="e">
        <f>IF((COUNTIFS(#REF!,$C121,#REF!,E$1))&gt;=1,"SIM","")</f>
        <v>#REF!</v>
      </c>
      <c r="F121" s="5" t="e">
        <f>IF((COUNTIFS(#REF!,$C121,#REF!,F$1))&gt;=1,"SIM","")</f>
        <v>#REF!</v>
      </c>
      <c r="G121" s="5" t="e">
        <f>IF((COUNTIFS(#REF!,$C121,#REF!,"*606*"))&gt;=1,"SIM","")</f>
        <v>#REF!</v>
      </c>
      <c r="H121" s="5" t="e">
        <f>IF((COUNTIFS(#REF!,$C121,#REF!,"*605*"))&gt;=1,"SIM","")</f>
        <v>#REF!</v>
      </c>
      <c r="I121" s="5" t="e">
        <f>IF((COUNTIFS(#REF!,$C121,#REF!,I$1))&gt;=1,"SIM","")</f>
        <v>#REF!</v>
      </c>
      <c r="J121" s="5" t="e">
        <f>IF((COUNTIFS(#REF!,$C121,#REF!,J$1))&gt;=1,"SIM","")</f>
        <v>#REF!</v>
      </c>
      <c r="K121" s="5" t="e">
        <f>IF((COUNTIFS(#REF!,$C121,#REF!,K$1))&gt;=1,"SIM","")</f>
        <v>#REF!</v>
      </c>
      <c r="L121" s="5" t="e">
        <f>IF((COUNTIFS(#REF!,$C121,#REF!,L$1))&gt;=1,"SIM","")</f>
        <v>#REF!</v>
      </c>
      <c r="M121" s="5" t="e">
        <f>IF((COUNTIFS(#REF!,$C121,#REF!,M$1))&gt;=1,"SIM","")</f>
        <v>#REF!</v>
      </c>
      <c r="N121" s="5" t="e">
        <f>IF((COUNTIFS(#REF!,$C121,#REF!,N$1))&gt;=1,"SIM","")</f>
        <v>#REF!</v>
      </c>
      <c r="O121" s="5"/>
      <c r="P121" s="5" t="e">
        <f>IF((COUNTIFS(#REF!,$C121,#REF!,P$1))&gt;=1,"SIM","")</f>
        <v>#REF!</v>
      </c>
      <c r="Q121" s="5" t="e">
        <f>IF((COUNTIFS(#REF!,$C121,#REF!,Q$1))&gt;=1,"SIM","")</f>
        <v>#REF!</v>
      </c>
      <c r="R121" s="5" t="e">
        <f>IF((COUNTIFS(#REF!,$C121,#REF!,"*CARTA*"))&gt;=1,"SIM","")</f>
        <v>#REF!</v>
      </c>
      <c r="S121" s="5" t="e">
        <f>IF((COUNTIFS(#REF!,$C121,#REF!,"*CARTA NOTIFICAÇÃO/DEVOL*"))&gt;=1,"SIM","")</f>
        <v>#REF!</v>
      </c>
      <c r="T121" s="5" t="e">
        <f>IF((COUNTIFS(#REF!,$C121,#REF!,"*LIGAÇÃO ATIVA DEV PRIN/LOC*"))&gt;=1,"SIM","")</f>
        <v>#REF!</v>
      </c>
    </row>
    <row r="122" spans="1:20">
      <c r="A122" s="24" t="s">
        <v>2159</v>
      </c>
      <c r="B122" s="24" t="s">
        <v>1071</v>
      </c>
      <c r="C122" s="24" t="s">
        <v>1072</v>
      </c>
      <c r="D122" s="5" t="e">
        <f>IF((COUNTIFS(#REF!,$C122,#REF!,"*163*"))&gt;=1,"SIM","")</f>
        <v>#REF!</v>
      </c>
      <c r="E122" s="5" t="e">
        <f>IF((COUNTIFS(#REF!,$C122,#REF!,E$1))&gt;=1,"SIM","")</f>
        <v>#REF!</v>
      </c>
      <c r="F122" s="5" t="e">
        <f>IF((COUNTIFS(#REF!,$C122,#REF!,F$1))&gt;=1,"SIM","")</f>
        <v>#REF!</v>
      </c>
      <c r="G122" s="5" t="e">
        <f>IF((COUNTIFS(#REF!,$C122,#REF!,"*606*"))&gt;=1,"SIM","")</f>
        <v>#REF!</v>
      </c>
      <c r="H122" s="5" t="e">
        <f>IF((COUNTIFS(#REF!,$C122,#REF!,"*605*"))&gt;=1,"SIM","")</f>
        <v>#REF!</v>
      </c>
      <c r="I122" s="5" t="e">
        <f>IF((COUNTIFS(#REF!,$C122,#REF!,I$1))&gt;=1,"SIM","")</f>
        <v>#REF!</v>
      </c>
      <c r="J122" s="5" t="e">
        <f>IF((COUNTIFS(#REF!,$C122,#REF!,J$1))&gt;=1,"SIM","")</f>
        <v>#REF!</v>
      </c>
      <c r="K122" s="5" t="e">
        <f>IF((COUNTIFS(#REF!,$C122,#REF!,K$1))&gt;=1,"SIM","")</f>
        <v>#REF!</v>
      </c>
      <c r="L122" s="5" t="e">
        <f>IF((COUNTIFS(#REF!,$C122,#REF!,L$1))&gt;=1,"SIM","")</f>
        <v>#REF!</v>
      </c>
      <c r="M122" s="5" t="e">
        <f>IF((COUNTIFS(#REF!,$C122,#REF!,M$1))&gt;=1,"SIM","")</f>
        <v>#REF!</v>
      </c>
      <c r="N122" s="5" t="e">
        <f>IF((COUNTIFS(#REF!,$C122,#REF!,N$1))&gt;=1,"SIM","")</f>
        <v>#REF!</v>
      </c>
      <c r="O122" s="5"/>
      <c r="P122" s="5" t="e">
        <f>IF((COUNTIFS(#REF!,$C122,#REF!,P$1))&gt;=1,"SIM","")</f>
        <v>#REF!</v>
      </c>
      <c r="Q122" s="5" t="e">
        <f>IF((COUNTIFS(#REF!,$C122,#REF!,Q$1))&gt;=1,"SIM","")</f>
        <v>#REF!</v>
      </c>
      <c r="R122" s="5" t="e">
        <f>IF((COUNTIFS(#REF!,$C122,#REF!,"*CARTA*"))&gt;=1,"SIM","")</f>
        <v>#REF!</v>
      </c>
      <c r="S122" s="5" t="e">
        <f>IF((COUNTIFS(#REF!,$C122,#REF!,"*CARTA NOTIFICAÇÃO/DEVOL*"))&gt;=1,"SIM","")</f>
        <v>#REF!</v>
      </c>
      <c r="T122" s="5" t="e">
        <f>IF((COUNTIFS(#REF!,$C122,#REF!,"*LIGAÇÃO ATIVA DEV PRIN/LOC*"))&gt;=1,"SIM","")</f>
        <v>#REF!</v>
      </c>
    </row>
    <row r="123" spans="1:20">
      <c r="A123" s="24" t="s">
        <v>2159</v>
      </c>
      <c r="B123" s="24" t="s">
        <v>2003</v>
      </c>
      <c r="C123" s="24" t="s">
        <v>2004</v>
      </c>
      <c r="D123" s="5" t="e">
        <f>IF((COUNTIFS(#REF!,$C123,#REF!,"*163*"))&gt;=1,"SIM","")</f>
        <v>#REF!</v>
      </c>
      <c r="E123" s="5" t="e">
        <f>IF((COUNTIFS(#REF!,$C123,#REF!,E$1))&gt;=1,"SIM","")</f>
        <v>#REF!</v>
      </c>
      <c r="F123" s="5" t="e">
        <f>IF((COUNTIFS(#REF!,$C123,#REF!,F$1))&gt;=1,"SIM","")</f>
        <v>#REF!</v>
      </c>
      <c r="G123" s="5" t="e">
        <f>IF((COUNTIFS(#REF!,$C123,#REF!,"*606*"))&gt;=1,"SIM","")</f>
        <v>#REF!</v>
      </c>
      <c r="H123" s="5" t="e">
        <f>IF((COUNTIFS(#REF!,$C123,#REF!,"*605*"))&gt;=1,"SIM","")</f>
        <v>#REF!</v>
      </c>
      <c r="I123" s="5" t="e">
        <f>IF((COUNTIFS(#REF!,$C123,#REF!,I$1))&gt;=1,"SIM","")</f>
        <v>#REF!</v>
      </c>
      <c r="J123" s="5" t="e">
        <f>IF((COUNTIFS(#REF!,$C123,#REF!,J$1))&gt;=1,"SIM","")</f>
        <v>#REF!</v>
      </c>
      <c r="K123" s="5" t="e">
        <f>IF((COUNTIFS(#REF!,$C123,#REF!,K$1))&gt;=1,"SIM","")</f>
        <v>#REF!</v>
      </c>
      <c r="L123" s="5" t="e">
        <f>IF((COUNTIFS(#REF!,$C123,#REF!,L$1))&gt;=1,"SIM","")</f>
        <v>#REF!</v>
      </c>
      <c r="M123" s="5" t="e">
        <f>IF((COUNTIFS(#REF!,$C123,#REF!,M$1))&gt;=1,"SIM","")</f>
        <v>#REF!</v>
      </c>
      <c r="N123" s="5" t="e">
        <f>IF((COUNTIFS(#REF!,$C123,#REF!,N$1))&gt;=1,"SIM","")</f>
        <v>#REF!</v>
      </c>
      <c r="O123" s="5"/>
      <c r="P123" s="5" t="e">
        <f>IF((COUNTIFS(#REF!,$C123,#REF!,P$1))&gt;=1,"SIM","")</f>
        <v>#REF!</v>
      </c>
      <c r="Q123" s="5" t="e">
        <f>IF((COUNTIFS(#REF!,$C123,#REF!,Q$1))&gt;=1,"SIM","")</f>
        <v>#REF!</v>
      </c>
      <c r="R123" s="5" t="e">
        <f>IF((COUNTIFS(#REF!,$C123,#REF!,"*CARTA*"))&gt;=1,"SIM","")</f>
        <v>#REF!</v>
      </c>
      <c r="S123" s="5" t="e">
        <f>IF((COUNTIFS(#REF!,$C123,#REF!,"*CARTA NOTIFICAÇÃO/DEVOL*"))&gt;=1,"SIM","")</f>
        <v>#REF!</v>
      </c>
      <c r="T123" s="5" t="e">
        <f>IF((COUNTIFS(#REF!,$C123,#REF!,"*LIGAÇÃO ATIVA DEV PRIN/LOC*"))&gt;=1,"SIM","")</f>
        <v>#REF!</v>
      </c>
    </row>
    <row r="124" spans="1:20">
      <c r="A124" s="24" t="s">
        <v>2157</v>
      </c>
      <c r="B124" s="24" t="s">
        <v>1067</v>
      </c>
      <c r="C124" s="24" t="s">
        <v>1068</v>
      </c>
      <c r="D124" s="5" t="e">
        <f>IF((COUNTIFS(#REF!,$C124,#REF!,"*163*"))&gt;=1,"SIM","")</f>
        <v>#REF!</v>
      </c>
      <c r="E124" s="5" t="e">
        <f>IF((COUNTIFS(#REF!,$C124,#REF!,E$1))&gt;=1,"SIM","")</f>
        <v>#REF!</v>
      </c>
      <c r="F124" s="5" t="e">
        <f>IF((COUNTIFS(#REF!,$C124,#REF!,F$1))&gt;=1,"SIM","")</f>
        <v>#REF!</v>
      </c>
      <c r="G124" s="5" t="e">
        <f>IF((COUNTIFS(#REF!,$C124,#REF!,"*606*"))&gt;=1,"SIM","")</f>
        <v>#REF!</v>
      </c>
      <c r="H124" s="5" t="e">
        <f>IF((COUNTIFS(#REF!,$C124,#REF!,"*605*"))&gt;=1,"SIM","")</f>
        <v>#REF!</v>
      </c>
      <c r="I124" s="5" t="e">
        <f>IF((COUNTIFS(#REF!,$C124,#REF!,I$1))&gt;=1,"SIM","")</f>
        <v>#REF!</v>
      </c>
      <c r="J124" s="5" t="e">
        <f>IF((COUNTIFS(#REF!,$C124,#REF!,J$1))&gt;=1,"SIM","")</f>
        <v>#REF!</v>
      </c>
      <c r="K124" s="5" t="e">
        <f>IF((COUNTIFS(#REF!,$C124,#REF!,K$1))&gt;=1,"SIM","")</f>
        <v>#REF!</v>
      </c>
      <c r="L124" s="5" t="e">
        <f>IF((COUNTIFS(#REF!,$C124,#REF!,L$1))&gt;=1,"SIM","")</f>
        <v>#REF!</v>
      </c>
      <c r="M124" s="5" t="e">
        <f>IF((COUNTIFS(#REF!,$C124,#REF!,M$1))&gt;=1,"SIM","")</f>
        <v>#REF!</v>
      </c>
      <c r="N124" s="5" t="e">
        <f>IF((COUNTIFS(#REF!,$C124,#REF!,N$1))&gt;=1,"SIM","")</f>
        <v>#REF!</v>
      </c>
      <c r="O124" s="5"/>
      <c r="P124" s="5" t="e">
        <f>IF((COUNTIFS(#REF!,$C124,#REF!,P$1))&gt;=1,"SIM","")</f>
        <v>#REF!</v>
      </c>
      <c r="Q124" s="5" t="e">
        <f>IF((COUNTIFS(#REF!,$C124,#REF!,Q$1))&gt;=1,"SIM","")</f>
        <v>#REF!</v>
      </c>
      <c r="R124" s="5" t="e">
        <f>IF((COUNTIFS(#REF!,$C124,#REF!,"*CARTA*"))&gt;=1,"SIM","")</f>
        <v>#REF!</v>
      </c>
      <c r="S124" s="5" t="e">
        <f>IF((COUNTIFS(#REF!,$C124,#REF!,"*CARTA NOTIFICAÇÃO/DEVOL*"))&gt;=1,"SIM","")</f>
        <v>#REF!</v>
      </c>
      <c r="T124" s="5" t="e">
        <f>IF((COUNTIFS(#REF!,$C124,#REF!,"*LIGAÇÃO ATIVA DEV PRIN/LOC*"))&gt;=1,"SIM","")</f>
        <v>#REF!</v>
      </c>
    </row>
    <row r="125" spans="1:20">
      <c r="A125" s="24" t="s">
        <v>2159</v>
      </c>
      <c r="B125" s="24" t="s">
        <v>1763</v>
      </c>
      <c r="C125" s="24" t="s">
        <v>1709</v>
      </c>
      <c r="D125" s="5" t="e">
        <f>IF((COUNTIFS(#REF!,$C125,#REF!,"*163*"))&gt;=1,"SIM","")</f>
        <v>#REF!</v>
      </c>
      <c r="E125" s="5" t="e">
        <f>IF((COUNTIFS(#REF!,$C125,#REF!,E$1))&gt;=1,"SIM","")</f>
        <v>#REF!</v>
      </c>
      <c r="F125" s="5" t="e">
        <f>IF((COUNTIFS(#REF!,$C125,#REF!,F$1))&gt;=1,"SIM","")</f>
        <v>#REF!</v>
      </c>
      <c r="G125" s="5" t="e">
        <f>IF((COUNTIFS(#REF!,$C125,#REF!,"*606*"))&gt;=1,"SIM","")</f>
        <v>#REF!</v>
      </c>
      <c r="H125" s="5" t="e">
        <f>IF((COUNTIFS(#REF!,$C125,#REF!,"*605*"))&gt;=1,"SIM","")</f>
        <v>#REF!</v>
      </c>
      <c r="I125" s="5" t="e">
        <f>IF((COUNTIFS(#REF!,$C125,#REF!,I$1))&gt;=1,"SIM","")</f>
        <v>#REF!</v>
      </c>
      <c r="J125" s="5" t="e">
        <f>IF((COUNTIFS(#REF!,$C125,#REF!,J$1))&gt;=1,"SIM","")</f>
        <v>#REF!</v>
      </c>
      <c r="K125" s="5" t="e">
        <f>IF((COUNTIFS(#REF!,$C125,#REF!,K$1))&gt;=1,"SIM","")</f>
        <v>#REF!</v>
      </c>
      <c r="L125" s="5" t="e">
        <f>IF((COUNTIFS(#REF!,$C125,#REF!,L$1))&gt;=1,"SIM","")</f>
        <v>#REF!</v>
      </c>
      <c r="M125" s="5" t="e">
        <f>IF((COUNTIFS(#REF!,$C125,#REF!,M$1))&gt;=1,"SIM","")</f>
        <v>#REF!</v>
      </c>
      <c r="N125" s="5" t="e">
        <f>IF((COUNTIFS(#REF!,$C125,#REF!,N$1))&gt;=1,"SIM","")</f>
        <v>#REF!</v>
      </c>
      <c r="O125" s="5"/>
      <c r="P125" s="5" t="e">
        <f>IF((COUNTIFS(#REF!,$C125,#REF!,P$1))&gt;=1,"SIM","")</f>
        <v>#REF!</v>
      </c>
      <c r="Q125" s="5" t="e">
        <f>IF((COUNTIFS(#REF!,$C125,#REF!,Q$1))&gt;=1,"SIM","")</f>
        <v>#REF!</v>
      </c>
      <c r="R125" s="5" t="e">
        <f>IF((COUNTIFS(#REF!,$C125,#REF!,"*CARTA*"))&gt;=1,"SIM","")</f>
        <v>#REF!</v>
      </c>
      <c r="S125" s="5" t="e">
        <f>IF((COUNTIFS(#REF!,$C125,#REF!,"*CARTA NOTIFICAÇÃO/DEVOL*"))&gt;=1,"SIM","")</f>
        <v>#REF!</v>
      </c>
      <c r="T125" s="5" t="e">
        <f>IF((COUNTIFS(#REF!,$C125,#REF!,"*LIGAÇÃO ATIVA DEV PRIN/LOC*"))&gt;=1,"SIM","")</f>
        <v>#REF!</v>
      </c>
    </row>
    <row r="126" spans="1:20">
      <c r="A126" s="24" t="s">
        <v>2159</v>
      </c>
      <c r="B126" s="24" t="s">
        <v>1708</v>
      </c>
      <c r="C126" s="24" t="s">
        <v>1709</v>
      </c>
      <c r="D126" s="5" t="e">
        <f>IF((COUNTIFS(#REF!,$C126,#REF!,"*163*"))&gt;=1,"SIM","")</f>
        <v>#REF!</v>
      </c>
      <c r="E126" s="5" t="e">
        <f>IF((COUNTIFS(#REF!,$C126,#REF!,E$1))&gt;=1,"SIM","")</f>
        <v>#REF!</v>
      </c>
      <c r="F126" s="5" t="e">
        <f>IF((COUNTIFS(#REF!,$C126,#REF!,F$1))&gt;=1,"SIM","")</f>
        <v>#REF!</v>
      </c>
      <c r="G126" s="5" t="e">
        <f>IF((COUNTIFS(#REF!,$C126,#REF!,"*606*"))&gt;=1,"SIM","")</f>
        <v>#REF!</v>
      </c>
      <c r="H126" s="5" t="e">
        <f>IF((COUNTIFS(#REF!,$C126,#REF!,"*605*"))&gt;=1,"SIM","")</f>
        <v>#REF!</v>
      </c>
      <c r="I126" s="5" t="e">
        <f>IF((COUNTIFS(#REF!,$C126,#REF!,I$1))&gt;=1,"SIM","")</f>
        <v>#REF!</v>
      </c>
      <c r="J126" s="5" t="e">
        <f>IF((COUNTIFS(#REF!,$C126,#REF!,J$1))&gt;=1,"SIM","")</f>
        <v>#REF!</v>
      </c>
      <c r="K126" s="5" t="e">
        <f>IF((COUNTIFS(#REF!,$C126,#REF!,K$1))&gt;=1,"SIM","")</f>
        <v>#REF!</v>
      </c>
      <c r="L126" s="5" t="e">
        <f>IF((COUNTIFS(#REF!,$C126,#REF!,L$1))&gt;=1,"SIM","")</f>
        <v>#REF!</v>
      </c>
      <c r="M126" s="5" t="e">
        <f>IF((COUNTIFS(#REF!,$C126,#REF!,M$1))&gt;=1,"SIM","")</f>
        <v>#REF!</v>
      </c>
      <c r="N126" s="5" t="e">
        <f>IF((COUNTIFS(#REF!,$C126,#REF!,N$1))&gt;=1,"SIM","")</f>
        <v>#REF!</v>
      </c>
      <c r="O126" s="5"/>
      <c r="P126" s="5" t="e">
        <f>IF((COUNTIFS(#REF!,$C126,#REF!,P$1))&gt;=1,"SIM","")</f>
        <v>#REF!</v>
      </c>
      <c r="Q126" s="5" t="e">
        <f>IF((COUNTIFS(#REF!,$C126,#REF!,Q$1))&gt;=1,"SIM","")</f>
        <v>#REF!</v>
      </c>
      <c r="R126" s="5" t="e">
        <f>IF((COUNTIFS(#REF!,$C126,#REF!,"*CARTA*"))&gt;=1,"SIM","")</f>
        <v>#REF!</v>
      </c>
      <c r="S126" s="5" t="e">
        <f>IF((COUNTIFS(#REF!,$C126,#REF!,"*CARTA NOTIFICAÇÃO/DEVOL*"))&gt;=1,"SIM","")</f>
        <v>#REF!</v>
      </c>
      <c r="T126" s="5" t="e">
        <f>IF((COUNTIFS(#REF!,$C126,#REF!,"*LIGAÇÃO ATIVA DEV PRIN/LOC*"))&gt;=1,"SIM","")</f>
        <v>#REF!</v>
      </c>
    </row>
    <row r="127" spans="1:20">
      <c r="A127" s="24" t="s">
        <v>2159</v>
      </c>
      <c r="B127" s="24" t="s">
        <v>888</v>
      </c>
      <c r="C127" s="24" t="s">
        <v>889</v>
      </c>
      <c r="D127" s="5" t="e">
        <f>IF((COUNTIFS(#REF!,$C127,#REF!,"*163*"))&gt;=1,"SIM","")</f>
        <v>#REF!</v>
      </c>
      <c r="E127" s="5" t="e">
        <f>IF((COUNTIFS(#REF!,$C127,#REF!,E$1))&gt;=1,"SIM","")</f>
        <v>#REF!</v>
      </c>
      <c r="F127" s="5" t="e">
        <f>IF((COUNTIFS(#REF!,$C127,#REF!,F$1))&gt;=1,"SIM","")</f>
        <v>#REF!</v>
      </c>
      <c r="G127" s="5" t="e">
        <f>IF((COUNTIFS(#REF!,$C127,#REF!,"*606*"))&gt;=1,"SIM","")</f>
        <v>#REF!</v>
      </c>
      <c r="H127" s="5" t="e">
        <f>IF((COUNTIFS(#REF!,$C127,#REF!,"*605*"))&gt;=1,"SIM","")</f>
        <v>#REF!</v>
      </c>
      <c r="I127" s="5" t="e">
        <f>IF((COUNTIFS(#REF!,$C127,#REF!,I$1))&gt;=1,"SIM","")</f>
        <v>#REF!</v>
      </c>
      <c r="J127" s="5" t="e">
        <f>IF((COUNTIFS(#REF!,$C127,#REF!,J$1))&gt;=1,"SIM","")</f>
        <v>#REF!</v>
      </c>
      <c r="K127" s="5" t="e">
        <f>IF((COUNTIFS(#REF!,$C127,#REF!,K$1))&gt;=1,"SIM","")</f>
        <v>#REF!</v>
      </c>
      <c r="L127" s="5" t="e">
        <f>IF((COUNTIFS(#REF!,$C127,#REF!,L$1))&gt;=1,"SIM","")</f>
        <v>#REF!</v>
      </c>
      <c r="M127" s="5" t="e">
        <f>IF((COUNTIFS(#REF!,$C127,#REF!,M$1))&gt;=1,"SIM","")</f>
        <v>#REF!</v>
      </c>
      <c r="N127" s="5" t="e">
        <f>IF((COUNTIFS(#REF!,$C127,#REF!,N$1))&gt;=1,"SIM","")</f>
        <v>#REF!</v>
      </c>
      <c r="O127" s="5"/>
      <c r="P127" s="5" t="e">
        <f>IF((COUNTIFS(#REF!,$C127,#REF!,P$1))&gt;=1,"SIM","")</f>
        <v>#REF!</v>
      </c>
      <c r="Q127" s="5" t="e">
        <f>IF((COUNTIFS(#REF!,$C127,#REF!,Q$1))&gt;=1,"SIM","")</f>
        <v>#REF!</v>
      </c>
      <c r="R127" s="5" t="e">
        <f>IF((COUNTIFS(#REF!,$C127,#REF!,"*CARTA*"))&gt;=1,"SIM","")</f>
        <v>#REF!</v>
      </c>
      <c r="S127" s="5" t="e">
        <f>IF((COUNTIFS(#REF!,$C127,#REF!,"*CARTA NOTIFICAÇÃO/DEVOL*"))&gt;=1,"SIM","")</f>
        <v>#REF!</v>
      </c>
      <c r="T127" s="5" t="e">
        <f>IF((COUNTIFS(#REF!,$C127,#REF!,"*LIGAÇÃO ATIVA DEV PRIN/LOC*"))&gt;=1,"SIM","")</f>
        <v>#REF!</v>
      </c>
    </row>
    <row r="128" spans="1:20">
      <c r="A128" s="24" t="s">
        <v>2159</v>
      </c>
      <c r="B128" s="24" t="s">
        <v>1846</v>
      </c>
      <c r="C128" s="24" t="s">
        <v>1847</v>
      </c>
      <c r="D128" s="5" t="e">
        <f>IF((COUNTIFS(#REF!,$C128,#REF!,"*163*"))&gt;=1,"SIM","")</f>
        <v>#REF!</v>
      </c>
      <c r="E128" s="5" t="e">
        <f>IF((COUNTIFS(#REF!,$C128,#REF!,E$1))&gt;=1,"SIM","")</f>
        <v>#REF!</v>
      </c>
      <c r="F128" s="5" t="e">
        <f>IF((COUNTIFS(#REF!,$C128,#REF!,F$1))&gt;=1,"SIM","")</f>
        <v>#REF!</v>
      </c>
      <c r="G128" s="5" t="e">
        <f>IF((COUNTIFS(#REF!,$C128,#REF!,"*606*"))&gt;=1,"SIM","")</f>
        <v>#REF!</v>
      </c>
      <c r="H128" s="5" t="e">
        <f>IF((COUNTIFS(#REF!,$C128,#REF!,"*605*"))&gt;=1,"SIM","")</f>
        <v>#REF!</v>
      </c>
      <c r="I128" s="5" t="e">
        <f>IF((COUNTIFS(#REF!,$C128,#REF!,I$1))&gt;=1,"SIM","")</f>
        <v>#REF!</v>
      </c>
      <c r="J128" s="5" t="e">
        <f>IF((COUNTIFS(#REF!,$C128,#REF!,J$1))&gt;=1,"SIM","")</f>
        <v>#REF!</v>
      </c>
      <c r="K128" s="5" t="e">
        <f>IF((COUNTIFS(#REF!,$C128,#REF!,K$1))&gt;=1,"SIM","")</f>
        <v>#REF!</v>
      </c>
      <c r="L128" s="5" t="e">
        <f>IF((COUNTIFS(#REF!,$C128,#REF!,L$1))&gt;=1,"SIM","")</f>
        <v>#REF!</v>
      </c>
      <c r="M128" s="5" t="e">
        <f>IF((COUNTIFS(#REF!,$C128,#REF!,M$1))&gt;=1,"SIM","")</f>
        <v>#REF!</v>
      </c>
      <c r="N128" s="5" t="e">
        <f>IF((COUNTIFS(#REF!,$C128,#REF!,N$1))&gt;=1,"SIM","")</f>
        <v>#REF!</v>
      </c>
      <c r="O128" s="5"/>
      <c r="P128" s="5" t="e">
        <f>IF((COUNTIFS(#REF!,$C128,#REF!,P$1))&gt;=1,"SIM","")</f>
        <v>#REF!</v>
      </c>
      <c r="Q128" s="5" t="e">
        <f>IF((COUNTIFS(#REF!,$C128,#REF!,Q$1))&gt;=1,"SIM","")</f>
        <v>#REF!</v>
      </c>
      <c r="R128" s="5" t="e">
        <f>IF((COUNTIFS(#REF!,$C128,#REF!,"*CARTA*"))&gt;=1,"SIM","")</f>
        <v>#REF!</v>
      </c>
      <c r="S128" s="5" t="e">
        <f>IF((COUNTIFS(#REF!,$C128,#REF!,"*CARTA NOTIFICAÇÃO/DEVOL*"))&gt;=1,"SIM","")</f>
        <v>#REF!</v>
      </c>
      <c r="T128" s="5" t="e">
        <f>IF((COUNTIFS(#REF!,$C128,#REF!,"*LIGAÇÃO ATIVA DEV PRIN/LOC*"))&gt;=1,"SIM","")</f>
        <v>#REF!</v>
      </c>
    </row>
    <row r="129" spans="1:20">
      <c r="A129" s="24" t="s">
        <v>2159</v>
      </c>
      <c r="B129" s="24" t="s">
        <v>1125</v>
      </c>
      <c r="C129" s="24" t="s">
        <v>1126</v>
      </c>
      <c r="D129" s="5" t="e">
        <f>IF((COUNTIFS(#REF!,$C129,#REF!,"*163*"))&gt;=1,"SIM","")</f>
        <v>#REF!</v>
      </c>
      <c r="E129" s="5" t="e">
        <f>IF((COUNTIFS(#REF!,$C129,#REF!,E$1))&gt;=1,"SIM","")</f>
        <v>#REF!</v>
      </c>
      <c r="F129" s="5" t="e">
        <f>IF((COUNTIFS(#REF!,$C129,#REF!,F$1))&gt;=1,"SIM","")</f>
        <v>#REF!</v>
      </c>
      <c r="G129" s="5" t="e">
        <f>IF((COUNTIFS(#REF!,$C129,#REF!,"*606*"))&gt;=1,"SIM","")</f>
        <v>#REF!</v>
      </c>
      <c r="H129" s="5" t="e">
        <f>IF((COUNTIFS(#REF!,$C129,#REF!,"*605*"))&gt;=1,"SIM","")</f>
        <v>#REF!</v>
      </c>
      <c r="I129" s="5" t="e">
        <f>IF((COUNTIFS(#REF!,$C129,#REF!,I$1))&gt;=1,"SIM","")</f>
        <v>#REF!</v>
      </c>
      <c r="J129" s="5" t="e">
        <f>IF((COUNTIFS(#REF!,$C129,#REF!,J$1))&gt;=1,"SIM","")</f>
        <v>#REF!</v>
      </c>
      <c r="K129" s="5" t="e">
        <f>IF((COUNTIFS(#REF!,$C129,#REF!,K$1))&gt;=1,"SIM","")</f>
        <v>#REF!</v>
      </c>
      <c r="L129" s="5" t="e">
        <f>IF((COUNTIFS(#REF!,$C129,#REF!,L$1))&gt;=1,"SIM","")</f>
        <v>#REF!</v>
      </c>
      <c r="M129" s="5" t="e">
        <f>IF((COUNTIFS(#REF!,$C129,#REF!,M$1))&gt;=1,"SIM","")</f>
        <v>#REF!</v>
      </c>
      <c r="N129" s="5" t="e">
        <f>IF((COUNTIFS(#REF!,$C129,#REF!,N$1))&gt;=1,"SIM","")</f>
        <v>#REF!</v>
      </c>
      <c r="O129" s="5"/>
      <c r="P129" s="5" t="e">
        <f>IF((COUNTIFS(#REF!,$C129,#REF!,P$1))&gt;=1,"SIM","")</f>
        <v>#REF!</v>
      </c>
      <c r="Q129" s="5" t="e">
        <f>IF((COUNTIFS(#REF!,$C129,#REF!,Q$1))&gt;=1,"SIM","")</f>
        <v>#REF!</v>
      </c>
      <c r="R129" s="5" t="e">
        <f>IF((COUNTIFS(#REF!,$C129,#REF!,"*CARTA*"))&gt;=1,"SIM","")</f>
        <v>#REF!</v>
      </c>
      <c r="S129" s="5" t="e">
        <f>IF((COUNTIFS(#REF!,$C129,#REF!,"*CARTA NOTIFICAÇÃO/DEVOL*"))&gt;=1,"SIM","")</f>
        <v>#REF!</v>
      </c>
      <c r="T129" s="5" t="e">
        <f>IF((COUNTIFS(#REF!,$C129,#REF!,"*LIGAÇÃO ATIVA DEV PRIN/LOC*"))&gt;=1,"SIM","")</f>
        <v>#REF!</v>
      </c>
    </row>
    <row r="130" spans="1:20">
      <c r="A130" s="24" t="s">
        <v>2153</v>
      </c>
      <c r="B130" s="24" t="s">
        <v>346</v>
      </c>
      <c r="C130" s="24" t="s">
        <v>347</v>
      </c>
      <c r="D130" s="5" t="e">
        <f>IF((COUNTIFS(#REF!,$C130,#REF!,"*163*"))&gt;=1,"SIM","")</f>
        <v>#REF!</v>
      </c>
      <c r="E130" s="5" t="e">
        <f>IF((COUNTIFS(#REF!,$C130,#REF!,E$1))&gt;=1,"SIM","")</f>
        <v>#REF!</v>
      </c>
      <c r="F130" s="5" t="e">
        <f>IF((COUNTIFS(#REF!,$C130,#REF!,F$1))&gt;=1,"SIM","")</f>
        <v>#REF!</v>
      </c>
      <c r="G130" s="5" t="e">
        <f>IF((COUNTIFS(#REF!,$C130,#REF!,"*606*"))&gt;=1,"SIM","")</f>
        <v>#REF!</v>
      </c>
      <c r="H130" s="5" t="e">
        <f>IF((COUNTIFS(#REF!,$C130,#REF!,"*605*"))&gt;=1,"SIM","")</f>
        <v>#REF!</v>
      </c>
      <c r="I130" s="5" t="e">
        <f>IF((COUNTIFS(#REF!,$C130,#REF!,I$1))&gt;=1,"SIM","")</f>
        <v>#REF!</v>
      </c>
      <c r="J130" s="5" t="e">
        <f>IF((COUNTIFS(#REF!,$C130,#REF!,J$1))&gt;=1,"SIM","")</f>
        <v>#REF!</v>
      </c>
      <c r="K130" s="5" t="e">
        <f>IF((COUNTIFS(#REF!,$C130,#REF!,K$1))&gt;=1,"SIM","")</f>
        <v>#REF!</v>
      </c>
      <c r="L130" s="5" t="e">
        <f>IF((COUNTIFS(#REF!,$C130,#REF!,L$1))&gt;=1,"SIM","")</f>
        <v>#REF!</v>
      </c>
      <c r="M130" s="5" t="e">
        <f>IF((COUNTIFS(#REF!,$C130,#REF!,M$1))&gt;=1,"SIM","")</f>
        <v>#REF!</v>
      </c>
      <c r="N130" s="5" t="e">
        <f>IF((COUNTIFS(#REF!,$C130,#REF!,N$1))&gt;=1,"SIM","")</f>
        <v>#REF!</v>
      </c>
      <c r="O130" s="5"/>
      <c r="P130" s="5" t="e">
        <f>IF((COUNTIFS(#REF!,$C130,#REF!,P$1))&gt;=1,"SIM","")</f>
        <v>#REF!</v>
      </c>
      <c r="Q130" s="5" t="e">
        <f>IF((COUNTIFS(#REF!,$C130,#REF!,Q$1))&gt;=1,"SIM","")</f>
        <v>#REF!</v>
      </c>
      <c r="R130" s="5" t="e">
        <f>IF((COUNTIFS(#REF!,$C130,#REF!,"*CARTA*"))&gt;=1,"SIM","")</f>
        <v>#REF!</v>
      </c>
      <c r="S130" s="5" t="e">
        <f>IF((COUNTIFS(#REF!,$C130,#REF!,"*CARTA NOTIFICAÇÃO/DEVOL*"))&gt;=1,"SIM","")</f>
        <v>#REF!</v>
      </c>
      <c r="T130" s="5" t="e">
        <f>IF((COUNTIFS(#REF!,$C130,#REF!,"*LIGAÇÃO ATIVA DEV PRIN/LOC*"))&gt;=1,"SIM","")</f>
        <v>#REF!</v>
      </c>
    </row>
    <row r="131" spans="1:20">
      <c r="A131" s="24" t="s">
        <v>2159</v>
      </c>
      <c r="B131" s="24" t="s">
        <v>1793</v>
      </c>
      <c r="C131" s="24" t="s">
        <v>1794</v>
      </c>
      <c r="D131" s="5" t="e">
        <f>IF((COUNTIFS(#REF!,$C131,#REF!,"*163*"))&gt;=1,"SIM","")</f>
        <v>#REF!</v>
      </c>
      <c r="E131" s="5" t="e">
        <f>IF((COUNTIFS(#REF!,$C131,#REF!,E$1))&gt;=1,"SIM","")</f>
        <v>#REF!</v>
      </c>
      <c r="F131" s="5" t="e">
        <f>IF((COUNTIFS(#REF!,$C131,#REF!,F$1))&gt;=1,"SIM","")</f>
        <v>#REF!</v>
      </c>
      <c r="G131" s="5" t="e">
        <f>IF((COUNTIFS(#REF!,$C131,#REF!,"*606*"))&gt;=1,"SIM","")</f>
        <v>#REF!</v>
      </c>
      <c r="H131" s="5" t="e">
        <f>IF((COUNTIFS(#REF!,$C131,#REF!,"*605*"))&gt;=1,"SIM","")</f>
        <v>#REF!</v>
      </c>
      <c r="I131" s="5" t="e">
        <f>IF((COUNTIFS(#REF!,$C131,#REF!,I$1))&gt;=1,"SIM","")</f>
        <v>#REF!</v>
      </c>
      <c r="J131" s="5" t="e">
        <f>IF((COUNTIFS(#REF!,$C131,#REF!,J$1))&gt;=1,"SIM","")</f>
        <v>#REF!</v>
      </c>
      <c r="K131" s="5" t="e">
        <f>IF((COUNTIFS(#REF!,$C131,#REF!,K$1))&gt;=1,"SIM","")</f>
        <v>#REF!</v>
      </c>
      <c r="L131" s="5" t="e">
        <f>IF((COUNTIFS(#REF!,$C131,#REF!,L$1))&gt;=1,"SIM","")</f>
        <v>#REF!</v>
      </c>
      <c r="M131" s="5" t="e">
        <f>IF((COUNTIFS(#REF!,$C131,#REF!,M$1))&gt;=1,"SIM","")</f>
        <v>#REF!</v>
      </c>
      <c r="N131" s="5" t="e">
        <f>IF((COUNTIFS(#REF!,$C131,#REF!,N$1))&gt;=1,"SIM","")</f>
        <v>#REF!</v>
      </c>
      <c r="O131" s="5"/>
      <c r="P131" s="5" t="e">
        <f>IF((COUNTIFS(#REF!,$C131,#REF!,P$1))&gt;=1,"SIM","")</f>
        <v>#REF!</v>
      </c>
      <c r="Q131" s="5" t="e">
        <f>IF((COUNTIFS(#REF!,$C131,#REF!,Q$1))&gt;=1,"SIM","")</f>
        <v>#REF!</v>
      </c>
      <c r="R131" s="5" t="e">
        <f>IF((COUNTIFS(#REF!,$C131,#REF!,"*CARTA*"))&gt;=1,"SIM","")</f>
        <v>#REF!</v>
      </c>
      <c r="S131" s="5" t="e">
        <f>IF((COUNTIFS(#REF!,$C131,#REF!,"*CARTA NOTIFICAÇÃO/DEVOL*"))&gt;=1,"SIM","")</f>
        <v>#REF!</v>
      </c>
      <c r="T131" s="5" t="e">
        <f>IF((COUNTIFS(#REF!,$C131,#REF!,"*LIGAÇÃO ATIVA DEV PRIN/LOC*"))&gt;=1,"SIM","")</f>
        <v>#REF!</v>
      </c>
    </row>
    <row r="132" spans="1:20">
      <c r="A132" s="24" t="s">
        <v>2159</v>
      </c>
      <c r="B132" s="24" t="s">
        <v>1795</v>
      </c>
      <c r="C132" s="24" t="s">
        <v>1796</v>
      </c>
      <c r="D132" s="5" t="e">
        <f>IF((COUNTIFS(#REF!,$C132,#REF!,"*163*"))&gt;=1,"SIM","")</f>
        <v>#REF!</v>
      </c>
      <c r="E132" s="5" t="e">
        <f>IF((COUNTIFS(#REF!,$C132,#REF!,E$1))&gt;=1,"SIM","")</f>
        <v>#REF!</v>
      </c>
      <c r="F132" s="5" t="e">
        <f>IF((COUNTIFS(#REF!,$C132,#REF!,F$1))&gt;=1,"SIM","")</f>
        <v>#REF!</v>
      </c>
      <c r="G132" s="5" t="e">
        <f>IF((COUNTIFS(#REF!,$C132,#REF!,"*606*"))&gt;=1,"SIM","")</f>
        <v>#REF!</v>
      </c>
      <c r="H132" s="5" t="e">
        <f>IF((COUNTIFS(#REF!,$C132,#REF!,"*605*"))&gt;=1,"SIM","")</f>
        <v>#REF!</v>
      </c>
      <c r="I132" s="5" t="e">
        <f>IF((COUNTIFS(#REF!,$C132,#REF!,I$1))&gt;=1,"SIM","")</f>
        <v>#REF!</v>
      </c>
      <c r="J132" s="5" t="e">
        <f>IF((COUNTIFS(#REF!,$C132,#REF!,J$1))&gt;=1,"SIM","")</f>
        <v>#REF!</v>
      </c>
      <c r="K132" s="5" t="e">
        <f>IF((COUNTIFS(#REF!,$C132,#REF!,K$1))&gt;=1,"SIM","")</f>
        <v>#REF!</v>
      </c>
      <c r="L132" s="5" t="e">
        <f>IF((COUNTIFS(#REF!,$C132,#REF!,L$1))&gt;=1,"SIM","")</f>
        <v>#REF!</v>
      </c>
      <c r="M132" s="5" t="e">
        <f>IF((COUNTIFS(#REF!,$C132,#REF!,M$1))&gt;=1,"SIM","")</f>
        <v>#REF!</v>
      </c>
      <c r="N132" s="5" t="e">
        <f>IF((COUNTIFS(#REF!,$C132,#REF!,N$1))&gt;=1,"SIM","")</f>
        <v>#REF!</v>
      </c>
      <c r="O132" s="5"/>
      <c r="P132" s="5" t="e">
        <f>IF((COUNTIFS(#REF!,$C132,#REF!,P$1))&gt;=1,"SIM","")</f>
        <v>#REF!</v>
      </c>
      <c r="Q132" s="5" t="e">
        <f>IF((COUNTIFS(#REF!,$C132,#REF!,Q$1))&gt;=1,"SIM","")</f>
        <v>#REF!</v>
      </c>
      <c r="R132" s="5" t="e">
        <f>IF((COUNTIFS(#REF!,$C132,#REF!,"*CARTA*"))&gt;=1,"SIM","")</f>
        <v>#REF!</v>
      </c>
      <c r="S132" s="5" t="e">
        <f>IF((COUNTIFS(#REF!,$C132,#REF!,"*CARTA NOTIFICAÇÃO/DEVOL*"))&gt;=1,"SIM","")</f>
        <v>#REF!</v>
      </c>
      <c r="T132" s="5" t="e">
        <f>IF((COUNTIFS(#REF!,$C132,#REF!,"*LIGAÇÃO ATIVA DEV PRIN/LOC*"))&gt;=1,"SIM","")</f>
        <v>#REF!</v>
      </c>
    </row>
    <row r="133" spans="1:20">
      <c r="A133" s="24" t="s">
        <v>2153</v>
      </c>
      <c r="B133" s="24" t="s">
        <v>421</v>
      </c>
      <c r="C133" s="24" t="s">
        <v>1730</v>
      </c>
      <c r="D133" s="5" t="e">
        <f>IF((COUNTIFS(#REF!,$C133,#REF!,"*163*"))&gt;=1,"SIM","")</f>
        <v>#REF!</v>
      </c>
      <c r="E133" s="5" t="e">
        <f>IF((COUNTIFS(#REF!,$C133,#REF!,E$1))&gt;=1,"SIM","")</f>
        <v>#REF!</v>
      </c>
      <c r="F133" s="5" t="e">
        <f>IF((COUNTIFS(#REF!,$C133,#REF!,F$1))&gt;=1,"SIM","")</f>
        <v>#REF!</v>
      </c>
      <c r="G133" s="5" t="e">
        <f>IF((COUNTIFS(#REF!,$C133,#REF!,"*606*"))&gt;=1,"SIM","")</f>
        <v>#REF!</v>
      </c>
      <c r="H133" s="5" t="e">
        <f>IF((COUNTIFS(#REF!,$C133,#REF!,"*605*"))&gt;=1,"SIM","")</f>
        <v>#REF!</v>
      </c>
      <c r="I133" s="5" t="e">
        <f>IF((COUNTIFS(#REF!,$C133,#REF!,I$1))&gt;=1,"SIM","")</f>
        <v>#REF!</v>
      </c>
      <c r="J133" s="5" t="e">
        <f>IF((COUNTIFS(#REF!,$C133,#REF!,J$1))&gt;=1,"SIM","")</f>
        <v>#REF!</v>
      </c>
      <c r="K133" s="5" t="e">
        <f>IF((COUNTIFS(#REF!,$C133,#REF!,K$1))&gt;=1,"SIM","")</f>
        <v>#REF!</v>
      </c>
      <c r="L133" s="5" t="e">
        <f>IF((COUNTIFS(#REF!,$C133,#REF!,L$1))&gt;=1,"SIM","")</f>
        <v>#REF!</v>
      </c>
      <c r="M133" s="5" t="e">
        <f>IF((COUNTIFS(#REF!,$C133,#REF!,M$1))&gt;=1,"SIM","")</f>
        <v>#REF!</v>
      </c>
      <c r="N133" s="5" t="e">
        <f>IF((COUNTIFS(#REF!,$C133,#REF!,N$1))&gt;=1,"SIM","")</f>
        <v>#REF!</v>
      </c>
      <c r="O133" s="5"/>
      <c r="P133" s="5" t="e">
        <f>IF((COUNTIFS(#REF!,$C133,#REF!,P$1))&gt;=1,"SIM","")</f>
        <v>#REF!</v>
      </c>
      <c r="Q133" s="5" t="e">
        <f>IF((COUNTIFS(#REF!,$C133,#REF!,Q$1))&gt;=1,"SIM","")</f>
        <v>#REF!</v>
      </c>
      <c r="R133" s="5" t="e">
        <f>IF((COUNTIFS(#REF!,$C133,#REF!,"*CARTA*"))&gt;=1,"SIM","")</f>
        <v>#REF!</v>
      </c>
      <c r="S133" s="5" t="e">
        <f>IF((COUNTIFS(#REF!,$C133,#REF!,"*CARTA NOTIFICAÇÃO/DEVOL*"))&gt;=1,"SIM","")</f>
        <v>#REF!</v>
      </c>
      <c r="T133" s="5" t="e">
        <f>IF((COUNTIFS(#REF!,$C133,#REF!,"*LIGAÇÃO ATIVA DEV PRIN/LOC*"))&gt;=1,"SIM","")</f>
        <v>#REF!</v>
      </c>
    </row>
    <row r="134" spans="1:20">
      <c r="A134" s="24" t="s">
        <v>2159</v>
      </c>
      <c r="B134" s="24" t="s">
        <v>814</v>
      </c>
      <c r="C134" s="24" t="s">
        <v>815</v>
      </c>
      <c r="D134" s="5" t="e">
        <f>IF((COUNTIFS(#REF!,$C134,#REF!,"*163*"))&gt;=1,"SIM","")</f>
        <v>#REF!</v>
      </c>
      <c r="E134" s="5" t="e">
        <f>IF((COUNTIFS(#REF!,$C134,#REF!,E$1))&gt;=1,"SIM","")</f>
        <v>#REF!</v>
      </c>
      <c r="F134" s="5" t="e">
        <f>IF((COUNTIFS(#REF!,$C134,#REF!,F$1))&gt;=1,"SIM","")</f>
        <v>#REF!</v>
      </c>
      <c r="G134" s="5" t="e">
        <f>IF((COUNTIFS(#REF!,$C134,#REF!,"*606*"))&gt;=1,"SIM","")</f>
        <v>#REF!</v>
      </c>
      <c r="H134" s="5" t="e">
        <f>IF((COUNTIFS(#REF!,$C134,#REF!,"*605*"))&gt;=1,"SIM","")</f>
        <v>#REF!</v>
      </c>
      <c r="I134" s="5" t="e">
        <f>IF((COUNTIFS(#REF!,$C134,#REF!,I$1))&gt;=1,"SIM","")</f>
        <v>#REF!</v>
      </c>
      <c r="J134" s="5" t="e">
        <f>IF((COUNTIFS(#REF!,$C134,#REF!,J$1))&gt;=1,"SIM","")</f>
        <v>#REF!</v>
      </c>
      <c r="K134" s="5" t="e">
        <f>IF((COUNTIFS(#REF!,$C134,#REF!,K$1))&gt;=1,"SIM","")</f>
        <v>#REF!</v>
      </c>
      <c r="L134" s="5" t="e">
        <f>IF((COUNTIFS(#REF!,$C134,#REF!,L$1))&gt;=1,"SIM","")</f>
        <v>#REF!</v>
      </c>
      <c r="M134" s="5" t="e">
        <f>IF((COUNTIFS(#REF!,$C134,#REF!,M$1))&gt;=1,"SIM","")</f>
        <v>#REF!</v>
      </c>
      <c r="N134" s="5" t="e">
        <f>IF((COUNTIFS(#REF!,$C134,#REF!,N$1))&gt;=1,"SIM","")</f>
        <v>#REF!</v>
      </c>
      <c r="O134" s="5"/>
      <c r="P134" s="5" t="e">
        <f>IF((COUNTIFS(#REF!,$C134,#REF!,P$1))&gt;=1,"SIM","")</f>
        <v>#REF!</v>
      </c>
      <c r="Q134" s="5" t="e">
        <f>IF((COUNTIFS(#REF!,$C134,#REF!,Q$1))&gt;=1,"SIM","")</f>
        <v>#REF!</v>
      </c>
      <c r="R134" s="5" t="e">
        <f>IF((COUNTIFS(#REF!,$C134,#REF!,"*CARTA*"))&gt;=1,"SIM","")</f>
        <v>#REF!</v>
      </c>
      <c r="S134" s="5" t="e">
        <f>IF((COUNTIFS(#REF!,$C134,#REF!,"*CARTA NOTIFICAÇÃO/DEVOL*"))&gt;=1,"SIM","")</f>
        <v>#REF!</v>
      </c>
      <c r="T134" s="5" t="e">
        <f>IF((COUNTIFS(#REF!,$C134,#REF!,"*LIGAÇÃO ATIVA DEV PRIN/LOC*"))&gt;=1,"SIM","")</f>
        <v>#REF!</v>
      </c>
    </row>
    <row r="135" spans="1:20">
      <c r="A135" s="24" t="s">
        <v>2159</v>
      </c>
      <c r="B135" s="24" t="s">
        <v>1410</v>
      </c>
      <c r="C135" s="24" t="s">
        <v>1411</v>
      </c>
      <c r="D135" s="5" t="e">
        <f>IF((COUNTIFS(#REF!,$C135,#REF!,"*163*"))&gt;=1,"SIM","")</f>
        <v>#REF!</v>
      </c>
      <c r="E135" s="5" t="e">
        <f>IF((COUNTIFS(#REF!,$C135,#REF!,E$1))&gt;=1,"SIM","")</f>
        <v>#REF!</v>
      </c>
      <c r="F135" s="5" t="e">
        <f>IF((COUNTIFS(#REF!,$C135,#REF!,F$1))&gt;=1,"SIM","")</f>
        <v>#REF!</v>
      </c>
      <c r="G135" s="5" t="e">
        <f>IF((COUNTIFS(#REF!,$C135,#REF!,"*606*"))&gt;=1,"SIM","")</f>
        <v>#REF!</v>
      </c>
      <c r="H135" s="5" t="e">
        <f>IF((COUNTIFS(#REF!,$C135,#REF!,"*605*"))&gt;=1,"SIM","")</f>
        <v>#REF!</v>
      </c>
      <c r="I135" s="5" t="e">
        <f>IF((COUNTIFS(#REF!,$C135,#REF!,I$1))&gt;=1,"SIM","")</f>
        <v>#REF!</v>
      </c>
      <c r="J135" s="5" t="e">
        <f>IF((COUNTIFS(#REF!,$C135,#REF!,J$1))&gt;=1,"SIM","")</f>
        <v>#REF!</v>
      </c>
      <c r="K135" s="5" t="e">
        <f>IF((COUNTIFS(#REF!,$C135,#REF!,K$1))&gt;=1,"SIM","")</f>
        <v>#REF!</v>
      </c>
      <c r="L135" s="5" t="e">
        <f>IF((COUNTIFS(#REF!,$C135,#REF!,L$1))&gt;=1,"SIM","")</f>
        <v>#REF!</v>
      </c>
      <c r="M135" s="5" t="e">
        <f>IF((COUNTIFS(#REF!,$C135,#REF!,M$1))&gt;=1,"SIM","")</f>
        <v>#REF!</v>
      </c>
      <c r="N135" s="5" t="e">
        <f>IF((COUNTIFS(#REF!,$C135,#REF!,N$1))&gt;=1,"SIM","")</f>
        <v>#REF!</v>
      </c>
      <c r="O135" s="5"/>
      <c r="P135" s="5" t="e">
        <f>IF((COUNTIFS(#REF!,$C135,#REF!,P$1))&gt;=1,"SIM","")</f>
        <v>#REF!</v>
      </c>
      <c r="Q135" s="5" t="e">
        <f>IF((COUNTIFS(#REF!,$C135,#REF!,Q$1))&gt;=1,"SIM","")</f>
        <v>#REF!</v>
      </c>
      <c r="R135" s="5" t="e">
        <f>IF((COUNTIFS(#REF!,$C135,#REF!,"*CARTA*"))&gt;=1,"SIM","")</f>
        <v>#REF!</v>
      </c>
      <c r="S135" s="5" t="e">
        <f>IF((COUNTIFS(#REF!,$C135,#REF!,"*CARTA NOTIFICAÇÃO/DEVOL*"))&gt;=1,"SIM","")</f>
        <v>#REF!</v>
      </c>
      <c r="T135" s="5" t="e">
        <f>IF((COUNTIFS(#REF!,$C135,#REF!,"*LIGAÇÃO ATIVA DEV PRIN/LOC*"))&gt;=1,"SIM","")</f>
        <v>#REF!</v>
      </c>
    </row>
    <row r="136" spans="1:20">
      <c r="A136" s="24" t="s">
        <v>2159</v>
      </c>
      <c r="B136" s="24" t="s">
        <v>832</v>
      </c>
      <c r="C136" s="24" t="s">
        <v>833</v>
      </c>
      <c r="D136" s="5" t="e">
        <f>IF((COUNTIFS(#REF!,$C136,#REF!,"*163*"))&gt;=1,"SIM","")</f>
        <v>#REF!</v>
      </c>
      <c r="E136" s="5" t="e">
        <f>IF((COUNTIFS(#REF!,$C136,#REF!,E$1))&gt;=1,"SIM","")</f>
        <v>#REF!</v>
      </c>
      <c r="F136" s="5" t="e">
        <f>IF((COUNTIFS(#REF!,$C136,#REF!,F$1))&gt;=1,"SIM","")</f>
        <v>#REF!</v>
      </c>
      <c r="G136" s="5" t="e">
        <f>IF((COUNTIFS(#REF!,$C136,#REF!,"*606*"))&gt;=1,"SIM","")</f>
        <v>#REF!</v>
      </c>
      <c r="H136" s="5" t="e">
        <f>IF((COUNTIFS(#REF!,$C136,#REF!,"*605*"))&gt;=1,"SIM","")</f>
        <v>#REF!</v>
      </c>
      <c r="I136" s="5" t="e">
        <f>IF((COUNTIFS(#REF!,$C136,#REF!,I$1))&gt;=1,"SIM","")</f>
        <v>#REF!</v>
      </c>
      <c r="J136" s="5" t="e">
        <f>IF((COUNTIFS(#REF!,$C136,#REF!,J$1))&gt;=1,"SIM","")</f>
        <v>#REF!</v>
      </c>
      <c r="K136" s="5" t="e">
        <f>IF((COUNTIFS(#REF!,$C136,#REF!,K$1))&gt;=1,"SIM","")</f>
        <v>#REF!</v>
      </c>
      <c r="L136" s="5" t="e">
        <f>IF((COUNTIFS(#REF!,$C136,#REF!,L$1))&gt;=1,"SIM","")</f>
        <v>#REF!</v>
      </c>
      <c r="M136" s="5" t="e">
        <f>IF((COUNTIFS(#REF!,$C136,#REF!,M$1))&gt;=1,"SIM","")</f>
        <v>#REF!</v>
      </c>
      <c r="N136" s="5" t="e">
        <f>IF((COUNTIFS(#REF!,$C136,#REF!,N$1))&gt;=1,"SIM","")</f>
        <v>#REF!</v>
      </c>
      <c r="O136" s="5"/>
      <c r="P136" s="5" t="e">
        <f>IF((COUNTIFS(#REF!,$C136,#REF!,P$1))&gt;=1,"SIM","")</f>
        <v>#REF!</v>
      </c>
      <c r="Q136" s="5" t="e">
        <f>IF((COUNTIFS(#REF!,$C136,#REF!,Q$1))&gt;=1,"SIM","")</f>
        <v>#REF!</v>
      </c>
      <c r="R136" s="5" t="e">
        <f>IF((COUNTIFS(#REF!,$C136,#REF!,"*CARTA*"))&gt;=1,"SIM","")</f>
        <v>#REF!</v>
      </c>
      <c r="S136" s="5" t="e">
        <f>IF((COUNTIFS(#REF!,$C136,#REF!,"*CARTA NOTIFICAÇÃO/DEVOL*"))&gt;=1,"SIM","")</f>
        <v>#REF!</v>
      </c>
      <c r="T136" s="5" t="e">
        <f>IF((COUNTIFS(#REF!,$C136,#REF!,"*LIGAÇÃO ATIVA DEV PRIN/LOC*"))&gt;=1,"SIM","")</f>
        <v>#REF!</v>
      </c>
    </row>
    <row r="137" spans="1:20">
      <c r="A137" s="24" t="s">
        <v>2159</v>
      </c>
      <c r="B137" s="24" t="s">
        <v>1090</v>
      </c>
      <c r="C137" s="24" t="s">
        <v>1091</v>
      </c>
      <c r="D137" s="5" t="e">
        <f>IF((COUNTIFS(#REF!,$C137,#REF!,"*163*"))&gt;=1,"SIM","")</f>
        <v>#REF!</v>
      </c>
      <c r="E137" s="5" t="e">
        <f>IF((COUNTIFS(#REF!,$C137,#REF!,E$1))&gt;=1,"SIM","")</f>
        <v>#REF!</v>
      </c>
      <c r="F137" s="5" t="e">
        <f>IF((COUNTIFS(#REF!,$C137,#REF!,F$1))&gt;=1,"SIM","")</f>
        <v>#REF!</v>
      </c>
      <c r="G137" s="5" t="e">
        <f>IF((COUNTIFS(#REF!,$C137,#REF!,"*606*"))&gt;=1,"SIM","")</f>
        <v>#REF!</v>
      </c>
      <c r="H137" s="5" t="e">
        <f>IF((COUNTIFS(#REF!,$C137,#REF!,"*605*"))&gt;=1,"SIM","")</f>
        <v>#REF!</v>
      </c>
      <c r="I137" s="5" t="e">
        <f>IF((COUNTIFS(#REF!,$C137,#REF!,I$1))&gt;=1,"SIM","")</f>
        <v>#REF!</v>
      </c>
      <c r="J137" s="5" t="e">
        <f>IF((COUNTIFS(#REF!,$C137,#REF!,J$1))&gt;=1,"SIM","")</f>
        <v>#REF!</v>
      </c>
      <c r="K137" s="5" t="e">
        <f>IF((COUNTIFS(#REF!,$C137,#REF!,K$1))&gt;=1,"SIM","")</f>
        <v>#REF!</v>
      </c>
      <c r="L137" s="5" t="e">
        <f>IF((COUNTIFS(#REF!,$C137,#REF!,L$1))&gt;=1,"SIM","")</f>
        <v>#REF!</v>
      </c>
      <c r="M137" s="5" t="e">
        <f>IF((COUNTIFS(#REF!,$C137,#REF!,M$1))&gt;=1,"SIM","")</f>
        <v>#REF!</v>
      </c>
      <c r="N137" s="5" t="e">
        <f>IF((COUNTIFS(#REF!,$C137,#REF!,N$1))&gt;=1,"SIM","")</f>
        <v>#REF!</v>
      </c>
      <c r="O137" s="5"/>
      <c r="P137" s="5" t="e">
        <f>IF((COUNTIFS(#REF!,$C137,#REF!,P$1))&gt;=1,"SIM","")</f>
        <v>#REF!</v>
      </c>
      <c r="Q137" s="5" t="e">
        <f>IF((COUNTIFS(#REF!,$C137,#REF!,Q$1))&gt;=1,"SIM","")</f>
        <v>#REF!</v>
      </c>
      <c r="R137" s="5" t="e">
        <f>IF((COUNTIFS(#REF!,$C137,#REF!,"*CARTA*"))&gt;=1,"SIM","")</f>
        <v>#REF!</v>
      </c>
      <c r="S137" s="5" t="e">
        <f>IF((COUNTIFS(#REF!,$C137,#REF!,"*CARTA NOTIFICAÇÃO/DEVOL*"))&gt;=1,"SIM","")</f>
        <v>#REF!</v>
      </c>
      <c r="T137" s="5" t="e">
        <f>IF((COUNTIFS(#REF!,$C137,#REF!,"*LIGAÇÃO ATIVA DEV PRIN/LOC*"))&gt;=1,"SIM","")</f>
        <v>#REF!</v>
      </c>
    </row>
    <row r="138" spans="1:20">
      <c r="A138" s="24" t="s">
        <v>2153</v>
      </c>
      <c r="B138" s="24" t="s">
        <v>250</v>
      </c>
      <c r="C138" s="24" t="s">
        <v>251</v>
      </c>
      <c r="D138" s="5" t="e">
        <f>IF((COUNTIFS(#REF!,$C138,#REF!,"*163*"))&gt;=1,"SIM","")</f>
        <v>#REF!</v>
      </c>
      <c r="E138" s="5" t="e">
        <f>IF((COUNTIFS(#REF!,$C138,#REF!,E$1))&gt;=1,"SIM","")</f>
        <v>#REF!</v>
      </c>
      <c r="F138" s="5" t="e">
        <f>IF((COUNTIFS(#REF!,$C138,#REF!,F$1))&gt;=1,"SIM","")</f>
        <v>#REF!</v>
      </c>
      <c r="G138" s="5" t="e">
        <f>IF((COUNTIFS(#REF!,$C138,#REF!,"*606*"))&gt;=1,"SIM","")</f>
        <v>#REF!</v>
      </c>
      <c r="H138" s="5" t="e">
        <f>IF((COUNTIFS(#REF!,$C138,#REF!,"*605*"))&gt;=1,"SIM","")</f>
        <v>#REF!</v>
      </c>
      <c r="I138" s="5" t="e">
        <f>IF((COUNTIFS(#REF!,$C138,#REF!,I$1))&gt;=1,"SIM","")</f>
        <v>#REF!</v>
      </c>
      <c r="J138" s="5" t="e">
        <f>IF((COUNTIFS(#REF!,$C138,#REF!,J$1))&gt;=1,"SIM","")</f>
        <v>#REF!</v>
      </c>
      <c r="K138" s="5" t="e">
        <f>IF((COUNTIFS(#REF!,$C138,#REF!,K$1))&gt;=1,"SIM","")</f>
        <v>#REF!</v>
      </c>
      <c r="L138" s="5" t="e">
        <f>IF((COUNTIFS(#REF!,$C138,#REF!,L$1))&gt;=1,"SIM","")</f>
        <v>#REF!</v>
      </c>
      <c r="M138" s="5" t="e">
        <f>IF((COUNTIFS(#REF!,$C138,#REF!,M$1))&gt;=1,"SIM","")</f>
        <v>#REF!</v>
      </c>
      <c r="N138" s="5" t="e">
        <f>IF((COUNTIFS(#REF!,$C138,#REF!,N$1))&gt;=1,"SIM","")</f>
        <v>#REF!</v>
      </c>
      <c r="O138" s="5"/>
      <c r="P138" s="5" t="e">
        <f>IF((COUNTIFS(#REF!,$C138,#REF!,P$1))&gt;=1,"SIM","")</f>
        <v>#REF!</v>
      </c>
      <c r="Q138" s="5" t="e">
        <f>IF((COUNTIFS(#REF!,$C138,#REF!,Q$1))&gt;=1,"SIM","")</f>
        <v>#REF!</v>
      </c>
      <c r="R138" s="5" t="e">
        <f>IF((COUNTIFS(#REF!,$C138,#REF!,"*CARTA*"))&gt;=1,"SIM","")</f>
        <v>#REF!</v>
      </c>
      <c r="S138" s="5" t="e">
        <f>IF((COUNTIFS(#REF!,$C138,#REF!,"*CARTA NOTIFICAÇÃO/DEVOL*"))&gt;=1,"SIM","")</f>
        <v>#REF!</v>
      </c>
      <c r="T138" s="5" t="e">
        <f>IF((COUNTIFS(#REF!,$C138,#REF!,"*LIGAÇÃO ATIVA DEV PRIN/LOC*"))&gt;=1,"SIM","")</f>
        <v>#REF!</v>
      </c>
    </row>
    <row r="139" spans="1:20">
      <c r="A139" s="24" t="s">
        <v>2159</v>
      </c>
      <c r="B139" s="24" t="s">
        <v>1585</v>
      </c>
      <c r="C139" s="24" t="s">
        <v>1586</v>
      </c>
      <c r="D139" s="5" t="e">
        <f>IF((COUNTIFS(#REF!,$C139,#REF!,"*163*"))&gt;=1,"SIM","")</f>
        <v>#REF!</v>
      </c>
      <c r="E139" s="5" t="e">
        <f>IF((COUNTIFS(#REF!,$C139,#REF!,E$1))&gt;=1,"SIM","")</f>
        <v>#REF!</v>
      </c>
      <c r="F139" s="5" t="e">
        <f>IF((COUNTIFS(#REF!,$C139,#REF!,F$1))&gt;=1,"SIM","")</f>
        <v>#REF!</v>
      </c>
      <c r="G139" s="5" t="e">
        <f>IF((COUNTIFS(#REF!,$C139,#REF!,"*606*"))&gt;=1,"SIM","")</f>
        <v>#REF!</v>
      </c>
      <c r="H139" s="5" t="e">
        <f>IF((COUNTIFS(#REF!,$C139,#REF!,"*605*"))&gt;=1,"SIM","")</f>
        <v>#REF!</v>
      </c>
      <c r="I139" s="5" t="e">
        <f>IF((COUNTIFS(#REF!,$C139,#REF!,I$1))&gt;=1,"SIM","")</f>
        <v>#REF!</v>
      </c>
      <c r="J139" s="5" t="e">
        <f>IF((COUNTIFS(#REF!,$C139,#REF!,J$1))&gt;=1,"SIM","")</f>
        <v>#REF!</v>
      </c>
      <c r="K139" s="5" t="e">
        <f>IF((COUNTIFS(#REF!,$C139,#REF!,K$1))&gt;=1,"SIM","")</f>
        <v>#REF!</v>
      </c>
      <c r="L139" s="5" t="e">
        <f>IF((COUNTIFS(#REF!,$C139,#REF!,L$1))&gt;=1,"SIM","")</f>
        <v>#REF!</v>
      </c>
      <c r="M139" s="5" t="e">
        <f>IF((COUNTIFS(#REF!,$C139,#REF!,M$1))&gt;=1,"SIM","")</f>
        <v>#REF!</v>
      </c>
      <c r="N139" s="5" t="e">
        <f>IF((COUNTIFS(#REF!,$C139,#REF!,N$1))&gt;=1,"SIM","")</f>
        <v>#REF!</v>
      </c>
      <c r="O139" s="5"/>
      <c r="P139" s="5" t="e">
        <f>IF((COUNTIFS(#REF!,$C139,#REF!,P$1))&gt;=1,"SIM","")</f>
        <v>#REF!</v>
      </c>
      <c r="Q139" s="5" t="e">
        <f>IF((COUNTIFS(#REF!,$C139,#REF!,Q$1))&gt;=1,"SIM","")</f>
        <v>#REF!</v>
      </c>
      <c r="R139" s="5" t="e">
        <f>IF((COUNTIFS(#REF!,$C139,#REF!,"*CARTA*"))&gt;=1,"SIM","")</f>
        <v>#REF!</v>
      </c>
      <c r="S139" s="5" t="e">
        <f>IF((COUNTIFS(#REF!,$C139,#REF!,"*CARTA NOTIFICAÇÃO/DEVOL*"))&gt;=1,"SIM","")</f>
        <v>#REF!</v>
      </c>
      <c r="T139" s="5" t="e">
        <f>IF((COUNTIFS(#REF!,$C139,#REF!,"*LIGAÇÃO ATIVA DEV PRIN/LOC*"))&gt;=1,"SIM","")</f>
        <v>#REF!</v>
      </c>
    </row>
    <row r="140" spans="1:20">
      <c r="A140" s="24" t="s">
        <v>2158</v>
      </c>
      <c r="B140" s="24" t="s">
        <v>1558</v>
      </c>
      <c r="C140" s="24" t="s">
        <v>1559</v>
      </c>
      <c r="D140" s="5" t="e">
        <f>IF((COUNTIFS(#REF!,$C140,#REF!,"*163*"))&gt;=1,"SIM","")</f>
        <v>#REF!</v>
      </c>
      <c r="E140" s="5" t="e">
        <f>IF((COUNTIFS(#REF!,$C140,#REF!,E$1))&gt;=1,"SIM","")</f>
        <v>#REF!</v>
      </c>
      <c r="F140" s="5" t="e">
        <f>IF((COUNTIFS(#REF!,$C140,#REF!,F$1))&gt;=1,"SIM","")</f>
        <v>#REF!</v>
      </c>
      <c r="G140" s="5" t="e">
        <f>IF((COUNTIFS(#REF!,$C140,#REF!,"*606*"))&gt;=1,"SIM","")</f>
        <v>#REF!</v>
      </c>
      <c r="H140" s="5" t="e">
        <f>IF((COUNTIFS(#REF!,$C140,#REF!,"*605*"))&gt;=1,"SIM","")</f>
        <v>#REF!</v>
      </c>
      <c r="I140" s="5" t="e">
        <f>IF((COUNTIFS(#REF!,$C140,#REF!,I$1))&gt;=1,"SIM","")</f>
        <v>#REF!</v>
      </c>
      <c r="J140" s="5" t="e">
        <f>IF((COUNTIFS(#REF!,$C140,#REF!,J$1))&gt;=1,"SIM","")</f>
        <v>#REF!</v>
      </c>
      <c r="K140" s="5" t="e">
        <f>IF((COUNTIFS(#REF!,$C140,#REF!,K$1))&gt;=1,"SIM","")</f>
        <v>#REF!</v>
      </c>
      <c r="L140" s="5" t="e">
        <f>IF((COUNTIFS(#REF!,$C140,#REF!,L$1))&gt;=1,"SIM","")</f>
        <v>#REF!</v>
      </c>
      <c r="M140" s="5" t="e">
        <f>IF((COUNTIFS(#REF!,$C140,#REF!,M$1))&gt;=1,"SIM","")</f>
        <v>#REF!</v>
      </c>
      <c r="N140" s="5" t="e">
        <f>IF((COUNTIFS(#REF!,$C140,#REF!,N$1))&gt;=1,"SIM","")</f>
        <v>#REF!</v>
      </c>
      <c r="O140" s="5"/>
      <c r="P140" s="5" t="e">
        <f>IF((COUNTIFS(#REF!,$C140,#REF!,P$1))&gt;=1,"SIM","")</f>
        <v>#REF!</v>
      </c>
      <c r="Q140" s="5" t="e">
        <f>IF((COUNTIFS(#REF!,$C140,#REF!,Q$1))&gt;=1,"SIM","")</f>
        <v>#REF!</v>
      </c>
      <c r="R140" s="5" t="e">
        <f>IF((COUNTIFS(#REF!,$C140,#REF!,"*CARTA*"))&gt;=1,"SIM","")</f>
        <v>#REF!</v>
      </c>
      <c r="S140" s="5" t="e">
        <f>IF((COUNTIFS(#REF!,$C140,#REF!,"*CARTA NOTIFICAÇÃO/DEVOL*"))&gt;=1,"SIM","")</f>
        <v>#REF!</v>
      </c>
      <c r="T140" s="5" t="e">
        <f>IF((COUNTIFS(#REF!,$C140,#REF!,"*LIGAÇÃO ATIVA DEV PRIN/LOC*"))&gt;=1,"SIM","")</f>
        <v>#REF!</v>
      </c>
    </row>
    <row r="141" spans="1:20">
      <c r="A141" s="24" t="s">
        <v>2158</v>
      </c>
      <c r="B141" s="24" t="s">
        <v>1560</v>
      </c>
      <c r="C141" s="24" t="s">
        <v>1561</v>
      </c>
      <c r="D141" s="5" t="e">
        <f>IF((COUNTIFS(#REF!,$C141,#REF!,"*163*"))&gt;=1,"SIM","")</f>
        <v>#REF!</v>
      </c>
      <c r="E141" s="5" t="e">
        <f>IF((COUNTIFS(#REF!,$C141,#REF!,E$1))&gt;=1,"SIM","")</f>
        <v>#REF!</v>
      </c>
      <c r="F141" s="5" t="e">
        <f>IF((COUNTIFS(#REF!,$C141,#REF!,F$1))&gt;=1,"SIM","")</f>
        <v>#REF!</v>
      </c>
      <c r="G141" s="5" t="e">
        <f>IF((COUNTIFS(#REF!,$C141,#REF!,"*606*"))&gt;=1,"SIM","")</f>
        <v>#REF!</v>
      </c>
      <c r="H141" s="5" t="e">
        <f>IF((COUNTIFS(#REF!,$C141,#REF!,"*605*"))&gt;=1,"SIM","")</f>
        <v>#REF!</v>
      </c>
      <c r="I141" s="5" t="e">
        <f>IF((COUNTIFS(#REF!,$C141,#REF!,I$1))&gt;=1,"SIM","")</f>
        <v>#REF!</v>
      </c>
      <c r="J141" s="5" t="e">
        <f>IF((COUNTIFS(#REF!,$C141,#REF!,J$1))&gt;=1,"SIM","")</f>
        <v>#REF!</v>
      </c>
      <c r="K141" s="5" t="e">
        <f>IF((COUNTIFS(#REF!,$C141,#REF!,K$1))&gt;=1,"SIM","")</f>
        <v>#REF!</v>
      </c>
      <c r="L141" s="5" t="e">
        <f>IF((COUNTIFS(#REF!,$C141,#REF!,L$1))&gt;=1,"SIM","")</f>
        <v>#REF!</v>
      </c>
      <c r="M141" s="5" t="e">
        <f>IF((COUNTIFS(#REF!,$C141,#REF!,M$1))&gt;=1,"SIM","")</f>
        <v>#REF!</v>
      </c>
      <c r="N141" s="5" t="e">
        <f>IF((COUNTIFS(#REF!,$C141,#REF!,N$1))&gt;=1,"SIM","")</f>
        <v>#REF!</v>
      </c>
      <c r="O141" s="5"/>
      <c r="P141" s="5" t="e">
        <f>IF((COUNTIFS(#REF!,$C141,#REF!,P$1))&gt;=1,"SIM","")</f>
        <v>#REF!</v>
      </c>
      <c r="Q141" s="5" t="e">
        <f>IF((COUNTIFS(#REF!,$C141,#REF!,Q$1))&gt;=1,"SIM","")</f>
        <v>#REF!</v>
      </c>
      <c r="R141" s="5" t="e">
        <f>IF((COUNTIFS(#REF!,$C141,#REF!,"*CARTA*"))&gt;=1,"SIM","")</f>
        <v>#REF!</v>
      </c>
      <c r="S141" s="5" t="e">
        <f>IF((COUNTIFS(#REF!,$C141,#REF!,"*CARTA NOTIFICAÇÃO/DEVOL*"))&gt;=1,"SIM","")</f>
        <v>#REF!</v>
      </c>
      <c r="T141" s="5" t="e">
        <f>IF((COUNTIFS(#REF!,$C141,#REF!,"*LIGAÇÃO ATIVA DEV PRIN/LOC*"))&gt;=1,"SIM","")</f>
        <v>#REF!</v>
      </c>
    </row>
    <row r="142" spans="1:20">
      <c r="A142" s="24" t="s">
        <v>2159</v>
      </c>
      <c r="B142" s="24" t="s">
        <v>1442</v>
      </c>
      <c r="C142" s="24" t="s">
        <v>1443</v>
      </c>
      <c r="D142" s="5" t="e">
        <f>IF((COUNTIFS(#REF!,$C142,#REF!,"*163*"))&gt;=1,"SIM","")</f>
        <v>#REF!</v>
      </c>
      <c r="E142" s="5" t="e">
        <f>IF((COUNTIFS(#REF!,$C142,#REF!,E$1))&gt;=1,"SIM","")</f>
        <v>#REF!</v>
      </c>
      <c r="F142" s="5" t="e">
        <f>IF((COUNTIFS(#REF!,$C142,#REF!,F$1))&gt;=1,"SIM","")</f>
        <v>#REF!</v>
      </c>
      <c r="G142" s="5" t="e">
        <f>IF((COUNTIFS(#REF!,$C142,#REF!,"*606*"))&gt;=1,"SIM","")</f>
        <v>#REF!</v>
      </c>
      <c r="H142" s="5" t="e">
        <f>IF((COUNTIFS(#REF!,$C142,#REF!,"*605*"))&gt;=1,"SIM","")</f>
        <v>#REF!</v>
      </c>
      <c r="I142" s="5" t="e">
        <f>IF((COUNTIFS(#REF!,$C142,#REF!,I$1))&gt;=1,"SIM","")</f>
        <v>#REF!</v>
      </c>
      <c r="J142" s="5" t="e">
        <f>IF((COUNTIFS(#REF!,$C142,#REF!,J$1))&gt;=1,"SIM","")</f>
        <v>#REF!</v>
      </c>
      <c r="K142" s="5" t="e">
        <f>IF((COUNTIFS(#REF!,$C142,#REF!,K$1))&gt;=1,"SIM","")</f>
        <v>#REF!</v>
      </c>
      <c r="L142" s="5" t="e">
        <f>IF((COUNTIFS(#REF!,$C142,#REF!,L$1))&gt;=1,"SIM","")</f>
        <v>#REF!</v>
      </c>
      <c r="M142" s="5" t="e">
        <f>IF((COUNTIFS(#REF!,$C142,#REF!,M$1))&gt;=1,"SIM","")</f>
        <v>#REF!</v>
      </c>
      <c r="N142" s="5" t="e">
        <f>IF((COUNTIFS(#REF!,$C142,#REF!,N$1))&gt;=1,"SIM","")</f>
        <v>#REF!</v>
      </c>
      <c r="O142" s="5"/>
      <c r="P142" s="5" t="e">
        <f>IF((COUNTIFS(#REF!,$C142,#REF!,P$1))&gt;=1,"SIM","")</f>
        <v>#REF!</v>
      </c>
      <c r="Q142" s="5" t="e">
        <f>IF((COUNTIFS(#REF!,$C142,#REF!,Q$1))&gt;=1,"SIM","")</f>
        <v>#REF!</v>
      </c>
      <c r="R142" s="5" t="e">
        <f>IF((COUNTIFS(#REF!,$C142,#REF!,"*CARTA*"))&gt;=1,"SIM","")</f>
        <v>#REF!</v>
      </c>
      <c r="S142" s="5" t="e">
        <f>IF((COUNTIFS(#REF!,$C142,#REF!,"*CARTA NOTIFICAÇÃO/DEVOL*"))&gt;=1,"SIM","")</f>
        <v>#REF!</v>
      </c>
      <c r="T142" s="5" t="e">
        <f>IF((COUNTIFS(#REF!,$C142,#REF!,"*LIGAÇÃO ATIVA DEV PRIN/LOC*"))&gt;=1,"SIM","")</f>
        <v>#REF!</v>
      </c>
    </row>
    <row r="143" spans="1:20">
      <c r="A143" s="24" t="s">
        <v>2155</v>
      </c>
      <c r="B143" s="24" t="s">
        <v>29</v>
      </c>
      <c r="C143" s="24" t="s">
        <v>30</v>
      </c>
      <c r="D143" s="5" t="e">
        <f>IF((COUNTIFS(#REF!,$C143,#REF!,"*163*"))&gt;=1,"SIM","")</f>
        <v>#REF!</v>
      </c>
      <c r="E143" s="5" t="e">
        <f>IF((COUNTIFS(#REF!,$C143,#REF!,E$1))&gt;=1,"SIM","")</f>
        <v>#REF!</v>
      </c>
      <c r="F143" s="5" t="e">
        <f>IF((COUNTIFS(#REF!,$C143,#REF!,F$1))&gt;=1,"SIM","")</f>
        <v>#REF!</v>
      </c>
      <c r="G143" s="5" t="e">
        <f>IF((COUNTIFS(#REF!,$C143,#REF!,"*606*"))&gt;=1,"SIM","")</f>
        <v>#REF!</v>
      </c>
      <c r="H143" s="5" t="e">
        <f>IF((COUNTIFS(#REF!,$C143,#REF!,"*605*"))&gt;=1,"SIM","")</f>
        <v>#REF!</v>
      </c>
      <c r="I143" s="5" t="e">
        <f>IF((COUNTIFS(#REF!,$C143,#REF!,I$1))&gt;=1,"SIM","")</f>
        <v>#REF!</v>
      </c>
      <c r="J143" s="5" t="e">
        <f>IF((COUNTIFS(#REF!,$C143,#REF!,J$1))&gt;=1,"SIM","")</f>
        <v>#REF!</v>
      </c>
      <c r="K143" s="5" t="e">
        <f>IF((COUNTIFS(#REF!,$C143,#REF!,K$1))&gt;=1,"SIM","")</f>
        <v>#REF!</v>
      </c>
      <c r="L143" s="5" t="e">
        <f>IF((COUNTIFS(#REF!,$C143,#REF!,L$1))&gt;=1,"SIM","")</f>
        <v>#REF!</v>
      </c>
      <c r="M143" s="5" t="e">
        <f>IF((COUNTIFS(#REF!,$C143,#REF!,M$1))&gt;=1,"SIM","")</f>
        <v>#REF!</v>
      </c>
      <c r="N143" s="5" t="e">
        <f>IF((COUNTIFS(#REF!,$C143,#REF!,N$1))&gt;=1,"SIM","")</f>
        <v>#REF!</v>
      </c>
      <c r="O143" s="5"/>
      <c r="P143" s="5" t="e">
        <f>IF((COUNTIFS(#REF!,$C143,#REF!,P$1))&gt;=1,"SIM","")</f>
        <v>#REF!</v>
      </c>
      <c r="Q143" s="5" t="e">
        <f>IF((COUNTIFS(#REF!,$C143,#REF!,Q$1))&gt;=1,"SIM","")</f>
        <v>#REF!</v>
      </c>
      <c r="R143" s="5" t="e">
        <f>IF((COUNTIFS(#REF!,$C143,#REF!,"*CARTA*"))&gt;=1,"SIM","")</f>
        <v>#REF!</v>
      </c>
      <c r="S143" s="5" t="e">
        <f>IF((COUNTIFS(#REF!,$C143,#REF!,"*CARTA NOTIFICAÇÃO/DEVOL*"))&gt;=1,"SIM","")</f>
        <v>#REF!</v>
      </c>
      <c r="T143" s="5" t="e">
        <f>IF((COUNTIFS(#REF!,$C143,#REF!,"*LIGAÇÃO ATIVA DEV PRIN/LOC*"))&gt;=1,"SIM","")</f>
        <v>#REF!</v>
      </c>
    </row>
    <row r="144" spans="1:20">
      <c r="A144" s="24" t="s">
        <v>2154</v>
      </c>
      <c r="B144" s="24" t="s">
        <v>31</v>
      </c>
      <c r="C144" s="24" t="s">
        <v>30</v>
      </c>
      <c r="D144" s="5" t="e">
        <f>IF((COUNTIFS(#REF!,$C144,#REF!,"*163*"))&gt;=1,"SIM","")</f>
        <v>#REF!</v>
      </c>
      <c r="E144" s="5" t="e">
        <f>IF((COUNTIFS(#REF!,$C144,#REF!,E$1))&gt;=1,"SIM","")</f>
        <v>#REF!</v>
      </c>
      <c r="F144" s="5" t="e">
        <f>IF((COUNTIFS(#REF!,$C144,#REF!,F$1))&gt;=1,"SIM","")</f>
        <v>#REF!</v>
      </c>
      <c r="G144" s="5" t="e">
        <f>IF((COUNTIFS(#REF!,$C144,#REF!,"*606*"))&gt;=1,"SIM","")</f>
        <v>#REF!</v>
      </c>
      <c r="H144" s="5" t="e">
        <f>IF((COUNTIFS(#REF!,$C144,#REF!,"*605*"))&gt;=1,"SIM","")</f>
        <v>#REF!</v>
      </c>
      <c r="I144" s="5" t="e">
        <f>IF((COUNTIFS(#REF!,$C144,#REF!,I$1))&gt;=1,"SIM","")</f>
        <v>#REF!</v>
      </c>
      <c r="J144" s="5" t="e">
        <f>IF((COUNTIFS(#REF!,$C144,#REF!,J$1))&gt;=1,"SIM","")</f>
        <v>#REF!</v>
      </c>
      <c r="K144" s="5" t="e">
        <f>IF((COUNTIFS(#REF!,$C144,#REF!,K$1))&gt;=1,"SIM","")</f>
        <v>#REF!</v>
      </c>
      <c r="L144" s="5" t="e">
        <f>IF((COUNTIFS(#REF!,$C144,#REF!,L$1))&gt;=1,"SIM","")</f>
        <v>#REF!</v>
      </c>
      <c r="M144" s="5" t="e">
        <f>IF((COUNTIFS(#REF!,$C144,#REF!,M$1))&gt;=1,"SIM","")</f>
        <v>#REF!</v>
      </c>
      <c r="N144" s="5" t="e">
        <f>IF((COUNTIFS(#REF!,$C144,#REF!,N$1))&gt;=1,"SIM","")</f>
        <v>#REF!</v>
      </c>
      <c r="O144" s="5"/>
      <c r="P144" s="5" t="e">
        <f>IF((COUNTIFS(#REF!,$C144,#REF!,P$1))&gt;=1,"SIM","")</f>
        <v>#REF!</v>
      </c>
      <c r="Q144" s="5" t="e">
        <f>IF((COUNTIFS(#REF!,$C144,#REF!,Q$1))&gt;=1,"SIM","")</f>
        <v>#REF!</v>
      </c>
      <c r="R144" s="5" t="e">
        <f>IF((COUNTIFS(#REF!,$C144,#REF!,"*CARTA*"))&gt;=1,"SIM","")</f>
        <v>#REF!</v>
      </c>
      <c r="S144" s="5" t="e">
        <f>IF((COUNTIFS(#REF!,$C144,#REF!,"*CARTA NOTIFICAÇÃO/DEVOL*"))&gt;=1,"SIM","")</f>
        <v>#REF!</v>
      </c>
      <c r="T144" s="5" t="e">
        <f>IF((COUNTIFS(#REF!,$C144,#REF!,"*LIGAÇÃO ATIVA DEV PRIN/LOC*"))&gt;=1,"SIM","")</f>
        <v>#REF!</v>
      </c>
    </row>
    <row r="145" spans="1:20">
      <c r="A145" s="24" t="s">
        <v>2153</v>
      </c>
      <c r="B145" s="24" t="s">
        <v>238</v>
      </c>
      <c r="C145" s="24" t="s">
        <v>1970</v>
      </c>
      <c r="D145" s="5" t="e">
        <f>IF((COUNTIFS(#REF!,$C145,#REF!,"*163*"))&gt;=1,"SIM","")</f>
        <v>#REF!</v>
      </c>
      <c r="E145" s="5" t="e">
        <f>IF((COUNTIFS(#REF!,$C145,#REF!,E$1))&gt;=1,"SIM","")</f>
        <v>#REF!</v>
      </c>
      <c r="F145" s="5" t="e">
        <f>IF((COUNTIFS(#REF!,$C145,#REF!,F$1))&gt;=1,"SIM","")</f>
        <v>#REF!</v>
      </c>
      <c r="G145" s="5" t="e">
        <f>IF((COUNTIFS(#REF!,$C145,#REF!,"*606*"))&gt;=1,"SIM","")</f>
        <v>#REF!</v>
      </c>
      <c r="H145" s="5" t="e">
        <f>IF((COUNTIFS(#REF!,$C145,#REF!,"*605*"))&gt;=1,"SIM","")</f>
        <v>#REF!</v>
      </c>
      <c r="I145" s="5" t="e">
        <f>IF((COUNTIFS(#REF!,$C145,#REF!,I$1))&gt;=1,"SIM","")</f>
        <v>#REF!</v>
      </c>
      <c r="J145" s="5" t="e">
        <f>IF((COUNTIFS(#REF!,$C145,#REF!,J$1))&gt;=1,"SIM","")</f>
        <v>#REF!</v>
      </c>
      <c r="K145" s="5" t="e">
        <f>IF((COUNTIFS(#REF!,$C145,#REF!,K$1))&gt;=1,"SIM","")</f>
        <v>#REF!</v>
      </c>
      <c r="L145" s="5" t="e">
        <f>IF((COUNTIFS(#REF!,$C145,#REF!,L$1))&gt;=1,"SIM","")</f>
        <v>#REF!</v>
      </c>
      <c r="M145" s="5" t="e">
        <f>IF((COUNTIFS(#REF!,$C145,#REF!,M$1))&gt;=1,"SIM","")</f>
        <v>#REF!</v>
      </c>
      <c r="N145" s="5" t="e">
        <f>IF((COUNTIFS(#REF!,$C145,#REF!,N$1))&gt;=1,"SIM","")</f>
        <v>#REF!</v>
      </c>
      <c r="O145" s="5"/>
      <c r="P145" s="5" t="e">
        <f>IF((COUNTIFS(#REF!,$C145,#REF!,P$1))&gt;=1,"SIM","")</f>
        <v>#REF!</v>
      </c>
      <c r="Q145" s="5" t="e">
        <f>IF((COUNTIFS(#REF!,$C145,#REF!,Q$1))&gt;=1,"SIM","")</f>
        <v>#REF!</v>
      </c>
      <c r="R145" s="5" t="e">
        <f>IF((COUNTIFS(#REF!,$C145,#REF!,"*CARTA*"))&gt;=1,"SIM","")</f>
        <v>#REF!</v>
      </c>
      <c r="S145" s="5" t="e">
        <f>IF((COUNTIFS(#REF!,$C145,#REF!,"*CARTA NOTIFICAÇÃO/DEVOL*"))&gt;=1,"SIM","")</f>
        <v>#REF!</v>
      </c>
      <c r="T145" s="5" t="e">
        <f>IF((COUNTIFS(#REF!,$C145,#REF!,"*LIGAÇÃO ATIVA DEV PRIN/LOC*"))&gt;=1,"SIM","")</f>
        <v>#REF!</v>
      </c>
    </row>
    <row r="146" spans="1:20">
      <c r="A146" s="24" t="s">
        <v>2155</v>
      </c>
      <c r="B146" s="24" t="s">
        <v>2132</v>
      </c>
      <c r="C146" s="24" t="s">
        <v>2133</v>
      </c>
      <c r="D146" s="5" t="e">
        <f>IF((COUNTIFS(#REF!,$C146,#REF!,"*163*"))&gt;=1,"SIM","")</f>
        <v>#REF!</v>
      </c>
      <c r="E146" s="5" t="e">
        <f>IF((COUNTIFS(#REF!,$C146,#REF!,E$1))&gt;=1,"SIM","")</f>
        <v>#REF!</v>
      </c>
      <c r="F146" s="5" t="e">
        <f>IF((COUNTIFS(#REF!,$C146,#REF!,F$1))&gt;=1,"SIM","")</f>
        <v>#REF!</v>
      </c>
      <c r="G146" s="5" t="e">
        <f>IF((COUNTIFS(#REF!,$C146,#REF!,"*606*"))&gt;=1,"SIM","")</f>
        <v>#REF!</v>
      </c>
      <c r="H146" s="5" t="e">
        <f>IF((COUNTIFS(#REF!,$C146,#REF!,"*605*"))&gt;=1,"SIM","")</f>
        <v>#REF!</v>
      </c>
      <c r="I146" s="5" t="e">
        <f>IF((COUNTIFS(#REF!,$C146,#REF!,I$1))&gt;=1,"SIM","")</f>
        <v>#REF!</v>
      </c>
      <c r="J146" s="5" t="e">
        <f>IF((COUNTIFS(#REF!,$C146,#REF!,J$1))&gt;=1,"SIM","")</f>
        <v>#REF!</v>
      </c>
      <c r="K146" s="5" t="e">
        <f>IF((COUNTIFS(#REF!,$C146,#REF!,K$1))&gt;=1,"SIM","")</f>
        <v>#REF!</v>
      </c>
      <c r="L146" s="5" t="e">
        <f>IF((COUNTIFS(#REF!,$C146,#REF!,L$1))&gt;=1,"SIM","")</f>
        <v>#REF!</v>
      </c>
      <c r="M146" s="5" t="e">
        <f>IF((COUNTIFS(#REF!,$C146,#REF!,M$1))&gt;=1,"SIM","")</f>
        <v>#REF!</v>
      </c>
      <c r="N146" s="5" t="e">
        <f>IF((COUNTIFS(#REF!,$C146,#REF!,N$1))&gt;=1,"SIM","")</f>
        <v>#REF!</v>
      </c>
      <c r="O146" s="5"/>
      <c r="P146" s="5" t="e">
        <f>IF((COUNTIFS(#REF!,$C146,#REF!,P$1))&gt;=1,"SIM","")</f>
        <v>#REF!</v>
      </c>
      <c r="Q146" s="5" t="e">
        <f>IF((COUNTIFS(#REF!,$C146,#REF!,Q$1))&gt;=1,"SIM","")</f>
        <v>#REF!</v>
      </c>
      <c r="R146" s="5" t="e">
        <f>IF((COUNTIFS(#REF!,$C146,#REF!,"*CARTA*"))&gt;=1,"SIM","")</f>
        <v>#REF!</v>
      </c>
      <c r="S146" s="5" t="e">
        <f>IF((COUNTIFS(#REF!,$C146,#REF!,"*CARTA NOTIFICAÇÃO/DEVOL*"))&gt;=1,"SIM","")</f>
        <v>#REF!</v>
      </c>
      <c r="T146" s="5" t="e">
        <f>IF((COUNTIFS(#REF!,$C146,#REF!,"*LIGAÇÃO ATIVA DEV PRIN/LOC*"))&gt;=1,"SIM","")</f>
        <v>#REF!</v>
      </c>
    </row>
    <row r="147" spans="1:20">
      <c r="A147" s="24" t="s">
        <v>2159</v>
      </c>
      <c r="B147" s="24" t="s">
        <v>1520</v>
      </c>
      <c r="C147" s="24" t="s">
        <v>2313</v>
      </c>
      <c r="D147" s="5" t="e">
        <f>IF((COUNTIFS(#REF!,$C147,#REF!,"*163*"))&gt;=1,"SIM","")</f>
        <v>#REF!</v>
      </c>
      <c r="E147" s="5" t="e">
        <f>IF((COUNTIFS(#REF!,$C147,#REF!,E$1))&gt;=1,"SIM","")</f>
        <v>#REF!</v>
      </c>
      <c r="F147" s="5" t="e">
        <f>IF((COUNTIFS(#REF!,$C147,#REF!,F$1))&gt;=1,"SIM","")</f>
        <v>#REF!</v>
      </c>
      <c r="G147" s="5" t="e">
        <f>IF((COUNTIFS(#REF!,$C147,#REF!,"*606*"))&gt;=1,"SIM","")</f>
        <v>#REF!</v>
      </c>
      <c r="H147" s="5" t="e">
        <f>IF((COUNTIFS(#REF!,$C147,#REF!,"*605*"))&gt;=1,"SIM","")</f>
        <v>#REF!</v>
      </c>
      <c r="I147" s="5" t="e">
        <f>IF((COUNTIFS(#REF!,$C147,#REF!,I$1))&gt;=1,"SIM","")</f>
        <v>#REF!</v>
      </c>
      <c r="J147" s="5" t="e">
        <f>IF((COUNTIFS(#REF!,$C147,#REF!,J$1))&gt;=1,"SIM","")</f>
        <v>#REF!</v>
      </c>
      <c r="K147" s="5" t="e">
        <f>IF((COUNTIFS(#REF!,$C147,#REF!,K$1))&gt;=1,"SIM","")</f>
        <v>#REF!</v>
      </c>
      <c r="L147" s="5" t="e">
        <f>IF((COUNTIFS(#REF!,$C147,#REF!,L$1))&gt;=1,"SIM","")</f>
        <v>#REF!</v>
      </c>
      <c r="M147" s="5" t="e">
        <f>IF((COUNTIFS(#REF!,$C147,#REF!,M$1))&gt;=1,"SIM","")</f>
        <v>#REF!</v>
      </c>
      <c r="N147" s="5" t="e">
        <f>IF((COUNTIFS(#REF!,$C147,#REF!,N$1))&gt;=1,"SIM","")</f>
        <v>#REF!</v>
      </c>
      <c r="O147" s="5"/>
      <c r="P147" s="5" t="e">
        <f>IF((COUNTIFS(#REF!,$C147,#REF!,P$1))&gt;=1,"SIM","")</f>
        <v>#REF!</v>
      </c>
      <c r="Q147" s="5" t="e">
        <f>IF((COUNTIFS(#REF!,$C147,#REF!,Q$1))&gt;=1,"SIM","")</f>
        <v>#REF!</v>
      </c>
      <c r="R147" s="5" t="e">
        <f>IF((COUNTIFS(#REF!,$C147,#REF!,"*CARTA*"))&gt;=1,"SIM","")</f>
        <v>#REF!</v>
      </c>
      <c r="S147" s="5" t="e">
        <f>IF((COUNTIFS(#REF!,$C147,#REF!,"*CARTA NOTIFICAÇÃO/DEVOL*"))&gt;=1,"SIM","")</f>
        <v>#REF!</v>
      </c>
      <c r="T147" s="5" t="e">
        <f>IF((COUNTIFS(#REF!,$C147,#REF!,"*LIGAÇÃO ATIVA DEV PRIN/LOC*"))&gt;=1,"SIM","")</f>
        <v>#REF!</v>
      </c>
    </row>
    <row r="148" spans="1:20">
      <c r="A148" s="24" t="s">
        <v>2157</v>
      </c>
      <c r="B148" s="24" t="s">
        <v>1520</v>
      </c>
      <c r="C148" s="24" t="s">
        <v>2313</v>
      </c>
      <c r="D148" s="5" t="e">
        <f>IF((COUNTIFS(#REF!,$C148,#REF!,"*163*"))&gt;=1,"SIM","")</f>
        <v>#REF!</v>
      </c>
      <c r="E148" s="5" t="e">
        <f>IF((COUNTIFS(#REF!,$C148,#REF!,E$1))&gt;=1,"SIM","")</f>
        <v>#REF!</v>
      </c>
      <c r="F148" s="5" t="e">
        <f>IF((COUNTIFS(#REF!,$C148,#REF!,F$1))&gt;=1,"SIM","")</f>
        <v>#REF!</v>
      </c>
      <c r="G148" s="5" t="e">
        <f>IF((COUNTIFS(#REF!,$C148,#REF!,"*606*"))&gt;=1,"SIM","")</f>
        <v>#REF!</v>
      </c>
      <c r="H148" s="5" t="e">
        <f>IF((COUNTIFS(#REF!,$C148,#REF!,"*605*"))&gt;=1,"SIM","")</f>
        <v>#REF!</v>
      </c>
      <c r="I148" s="5" t="e">
        <f>IF((COUNTIFS(#REF!,$C148,#REF!,I$1))&gt;=1,"SIM","")</f>
        <v>#REF!</v>
      </c>
      <c r="J148" s="5" t="e">
        <f>IF((COUNTIFS(#REF!,$C148,#REF!,J$1))&gt;=1,"SIM","")</f>
        <v>#REF!</v>
      </c>
      <c r="K148" s="5" t="e">
        <f>IF((COUNTIFS(#REF!,$C148,#REF!,K$1))&gt;=1,"SIM","")</f>
        <v>#REF!</v>
      </c>
      <c r="L148" s="5" t="e">
        <f>IF((COUNTIFS(#REF!,$C148,#REF!,L$1))&gt;=1,"SIM","")</f>
        <v>#REF!</v>
      </c>
      <c r="M148" s="5" t="e">
        <f>IF((COUNTIFS(#REF!,$C148,#REF!,M$1))&gt;=1,"SIM","")</f>
        <v>#REF!</v>
      </c>
      <c r="N148" s="5" t="e">
        <f>IF((COUNTIFS(#REF!,$C148,#REF!,N$1))&gt;=1,"SIM","")</f>
        <v>#REF!</v>
      </c>
      <c r="O148" s="5"/>
      <c r="P148" s="5" t="e">
        <f>IF((COUNTIFS(#REF!,$C148,#REF!,P$1))&gt;=1,"SIM","")</f>
        <v>#REF!</v>
      </c>
      <c r="Q148" s="5" t="e">
        <f>IF((COUNTIFS(#REF!,$C148,#REF!,Q$1))&gt;=1,"SIM","")</f>
        <v>#REF!</v>
      </c>
      <c r="R148" s="5" t="e">
        <f>IF((COUNTIFS(#REF!,$C148,#REF!,"*CARTA*"))&gt;=1,"SIM","")</f>
        <v>#REF!</v>
      </c>
      <c r="S148" s="5" t="e">
        <f>IF((COUNTIFS(#REF!,$C148,#REF!,"*CARTA NOTIFICAÇÃO/DEVOL*"))&gt;=1,"SIM","")</f>
        <v>#REF!</v>
      </c>
      <c r="T148" s="5" t="e">
        <f>IF((COUNTIFS(#REF!,$C148,#REF!,"*LIGAÇÃO ATIVA DEV PRIN/LOC*"))&gt;=1,"SIM","")</f>
        <v>#REF!</v>
      </c>
    </row>
    <row r="149" spans="1:20">
      <c r="A149" s="24" t="s">
        <v>2155</v>
      </c>
      <c r="B149" s="24" t="s">
        <v>2347</v>
      </c>
      <c r="C149" s="24" t="s">
        <v>2348</v>
      </c>
      <c r="D149" s="5" t="e">
        <f>IF((COUNTIFS(#REF!,$C149,#REF!,"*163*"))&gt;=1,"SIM","")</f>
        <v>#REF!</v>
      </c>
      <c r="E149" s="5" t="e">
        <f>IF((COUNTIFS(#REF!,$C149,#REF!,E$1))&gt;=1,"SIM","")</f>
        <v>#REF!</v>
      </c>
      <c r="F149" s="5" t="e">
        <f>IF((COUNTIFS(#REF!,$C149,#REF!,F$1))&gt;=1,"SIM","")</f>
        <v>#REF!</v>
      </c>
      <c r="G149" s="5" t="e">
        <f>IF((COUNTIFS(#REF!,$C149,#REF!,"*606*"))&gt;=1,"SIM","")</f>
        <v>#REF!</v>
      </c>
      <c r="H149" s="5" t="e">
        <f>IF((COUNTIFS(#REF!,$C149,#REF!,"*605*"))&gt;=1,"SIM","")</f>
        <v>#REF!</v>
      </c>
      <c r="I149" s="5" t="e">
        <f>IF((COUNTIFS(#REF!,$C149,#REF!,I$1))&gt;=1,"SIM","")</f>
        <v>#REF!</v>
      </c>
      <c r="J149" s="5" t="e">
        <f>IF((COUNTIFS(#REF!,$C149,#REF!,J$1))&gt;=1,"SIM","")</f>
        <v>#REF!</v>
      </c>
      <c r="K149" s="5" t="e">
        <f>IF((COUNTIFS(#REF!,$C149,#REF!,K$1))&gt;=1,"SIM","")</f>
        <v>#REF!</v>
      </c>
      <c r="L149" s="5" t="e">
        <f>IF((COUNTIFS(#REF!,$C149,#REF!,L$1))&gt;=1,"SIM","")</f>
        <v>#REF!</v>
      </c>
      <c r="M149" s="5" t="e">
        <f>IF((COUNTIFS(#REF!,$C149,#REF!,M$1))&gt;=1,"SIM","")</f>
        <v>#REF!</v>
      </c>
      <c r="N149" s="5" t="e">
        <f>IF((COUNTIFS(#REF!,$C149,#REF!,N$1))&gt;=1,"SIM","")</f>
        <v>#REF!</v>
      </c>
      <c r="O149" s="5"/>
      <c r="P149" s="5" t="e">
        <f>IF((COUNTIFS(#REF!,$C149,#REF!,P$1))&gt;=1,"SIM","")</f>
        <v>#REF!</v>
      </c>
      <c r="Q149" s="5" t="e">
        <f>IF((COUNTIFS(#REF!,$C149,#REF!,Q$1))&gt;=1,"SIM","")</f>
        <v>#REF!</v>
      </c>
      <c r="R149" s="5" t="e">
        <f>IF((COUNTIFS(#REF!,$C149,#REF!,"*CARTA*"))&gt;=1,"SIM","")</f>
        <v>#REF!</v>
      </c>
      <c r="S149" s="5" t="e">
        <f>IF((COUNTIFS(#REF!,$C149,#REF!,"*CARTA NOTIFICAÇÃO/DEVOL*"))&gt;=1,"SIM","")</f>
        <v>#REF!</v>
      </c>
      <c r="T149" s="5" t="e">
        <f>IF((COUNTIFS(#REF!,$C149,#REF!,"*LIGAÇÃO ATIVA DEV PRIN/LOC*"))&gt;=1,"SIM","")</f>
        <v>#REF!</v>
      </c>
    </row>
    <row r="150" spans="1:20">
      <c r="A150" s="24" t="s">
        <v>2157</v>
      </c>
      <c r="B150" s="24" t="s">
        <v>1833</v>
      </c>
      <c r="C150" s="24" t="s">
        <v>1834</v>
      </c>
      <c r="D150" s="5" t="e">
        <f>IF((COUNTIFS(#REF!,$C150,#REF!,"*163*"))&gt;=1,"SIM","")</f>
        <v>#REF!</v>
      </c>
      <c r="E150" s="5" t="e">
        <f>IF((COUNTIFS(#REF!,$C150,#REF!,E$1))&gt;=1,"SIM","")</f>
        <v>#REF!</v>
      </c>
      <c r="F150" s="5" t="e">
        <f>IF((COUNTIFS(#REF!,$C150,#REF!,F$1))&gt;=1,"SIM","")</f>
        <v>#REF!</v>
      </c>
      <c r="G150" s="5" t="e">
        <f>IF((COUNTIFS(#REF!,$C150,#REF!,"*606*"))&gt;=1,"SIM","")</f>
        <v>#REF!</v>
      </c>
      <c r="H150" s="5" t="e">
        <f>IF((COUNTIFS(#REF!,$C150,#REF!,"*605*"))&gt;=1,"SIM","")</f>
        <v>#REF!</v>
      </c>
      <c r="I150" s="5" t="e">
        <f>IF((COUNTIFS(#REF!,$C150,#REF!,I$1))&gt;=1,"SIM","")</f>
        <v>#REF!</v>
      </c>
      <c r="J150" s="5" t="e">
        <f>IF((COUNTIFS(#REF!,$C150,#REF!,J$1))&gt;=1,"SIM","")</f>
        <v>#REF!</v>
      </c>
      <c r="K150" s="5" t="e">
        <f>IF((COUNTIFS(#REF!,$C150,#REF!,K$1))&gt;=1,"SIM","")</f>
        <v>#REF!</v>
      </c>
      <c r="L150" s="5" t="e">
        <f>IF((COUNTIFS(#REF!,$C150,#REF!,L$1))&gt;=1,"SIM","")</f>
        <v>#REF!</v>
      </c>
      <c r="M150" s="5" t="e">
        <f>IF((COUNTIFS(#REF!,$C150,#REF!,M$1))&gt;=1,"SIM","")</f>
        <v>#REF!</v>
      </c>
      <c r="N150" s="5" t="e">
        <f>IF((COUNTIFS(#REF!,$C150,#REF!,N$1))&gt;=1,"SIM","")</f>
        <v>#REF!</v>
      </c>
      <c r="O150" s="5"/>
      <c r="P150" s="5" t="e">
        <f>IF((COUNTIFS(#REF!,$C150,#REF!,P$1))&gt;=1,"SIM","")</f>
        <v>#REF!</v>
      </c>
      <c r="Q150" s="5" t="e">
        <f>IF((COUNTIFS(#REF!,$C150,#REF!,Q$1))&gt;=1,"SIM","")</f>
        <v>#REF!</v>
      </c>
      <c r="R150" s="5" t="e">
        <f>IF((COUNTIFS(#REF!,$C150,#REF!,"*CARTA*"))&gt;=1,"SIM","")</f>
        <v>#REF!</v>
      </c>
      <c r="S150" s="5" t="e">
        <f>IF((COUNTIFS(#REF!,$C150,#REF!,"*CARTA NOTIFICAÇÃO/DEVOL*"))&gt;=1,"SIM","")</f>
        <v>#REF!</v>
      </c>
      <c r="T150" s="5" t="e">
        <f>IF((COUNTIFS(#REF!,$C150,#REF!,"*LIGAÇÃO ATIVA DEV PRIN/LOC*"))&gt;=1,"SIM","")</f>
        <v>#REF!</v>
      </c>
    </row>
    <row r="151" spans="1:20">
      <c r="A151" s="24" t="s">
        <v>2157</v>
      </c>
      <c r="B151" s="24" t="s">
        <v>2033</v>
      </c>
      <c r="C151" s="24" t="s">
        <v>2034</v>
      </c>
      <c r="D151" s="5" t="e">
        <f>IF((COUNTIFS(#REF!,$C151,#REF!,"*163*"))&gt;=1,"SIM","")</f>
        <v>#REF!</v>
      </c>
      <c r="E151" s="5" t="e">
        <f>IF((COUNTIFS(#REF!,$C151,#REF!,E$1))&gt;=1,"SIM","")</f>
        <v>#REF!</v>
      </c>
      <c r="F151" s="5" t="e">
        <f>IF((COUNTIFS(#REF!,$C151,#REF!,F$1))&gt;=1,"SIM","")</f>
        <v>#REF!</v>
      </c>
      <c r="G151" s="5" t="e">
        <f>IF((COUNTIFS(#REF!,$C151,#REF!,"*606*"))&gt;=1,"SIM","")</f>
        <v>#REF!</v>
      </c>
      <c r="H151" s="5" t="e">
        <f>IF((COUNTIFS(#REF!,$C151,#REF!,"*605*"))&gt;=1,"SIM","")</f>
        <v>#REF!</v>
      </c>
      <c r="I151" s="5" t="e">
        <f>IF((COUNTIFS(#REF!,$C151,#REF!,I$1))&gt;=1,"SIM","")</f>
        <v>#REF!</v>
      </c>
      <c r="J151" s="5" t="e">
        <f>IF((COUNTIFS(#REF!,$C151,#REF!,J$1))&gt;=1,"SIM","")</f>
        <v>#REF!</v>
      </c>
      <c r="K151" s="5" t="e">
        <f>IF((COUNTIFS(#REF!,$C151,#REF!,K$1))&gt;=1,"SIM","")</f>
        <v>#REF!</v>
      </c>
      <c r="L151" s="5" t="e">
        <f>IF((COUNTIFS(#REF!,$C151,#REF!,L$1))&gt;=1,"SIM","")</f>
        <v>#REF!</v>
      </c>
      <c r="M151" s="5" t="e">
        <f>IF((COUNTIFS(#REF!,$C151,#REF!,M$1))&gt;=1,"SIM","")</f>
        <v>#REF!</v>
      </c>
      <c r="N151" s="5" t="e">
        <f>IF((COUNTIFS(#REF!,$C151,#REF!,N$1))&gt;=1,"SIM","")</f>
        <v>#REF!</v>
      </c>
      <c r="O151" s="5"/>
      <c r="P151" s="5" t="e">
        <f>IF((COUNTIFS(#REF!,$C151,#REF!,P$1))&gt;=1,"SIM","")</f>
        <v>#REF!</v>
      </c>
      <c r="Q151" s="5" t="e">
        <f>IF((COUNTIFS(#REF!,$C151,#REF!,Q$1))&gt;=1,"SIM","")</f>
        <v>#REF!</v>
      </c>
      <c r="R151" s="5" t="e">
        <f>IF((COUNTIFS(#REF!,$C151,#REF!,"*CARTA*"))&gt;=1,"SIM","")</f>
        <v>#REF!</v>
      </c>
      <c r="S151" s="5" t="e">
        <f>IF((COUNTIFS(#REF!,$C151,#REF!,"*CARTA NOTIFICAÇÃO/DEVOL*"))&gt;=1,"SIM","")</f>
        <v>#REF!</v>
      </c>
      <c r="T151" s="5" t="e">
        <f>IF((COUNTIFS(#REF!,$C151,#REF!,"*LIGAÇÃO ATIVA DEV PRIN/LOC*"))&gt;=1,"SIM","")</f>
        <v>#REF!</v>
      </c>
    </row>
    <row r="152" spans="1:20">
      <c r="A152" s="24" t="s">
        <v>2157</v>
      </c>
      <c r="B152" s="24" t="s">
        <v>976</v>
      </c>
      <c r="C152" s="24" t="s">
        <v>977</v>
      </c>
      <c r="D152" s="5" t="e">
        <f>IF((COUNTIFS(#REF!,$C152,#REF!,"*163*"))&gt;=1,"SIM","")</f>
        <v>#REF!</v>
      </c>
      <c r="E152" s="5" t="e">
        <f>IF((COUNTIFS(#REF!,$C152,#REF!,E$1))&gt;=1,"SIM","")</f>
        <v>#REF!</v>
      </c>
      <c r="F152" s="5" t="e">
        <f>IF((COUNTIFS(#REF!,$C152,#REF!,F$1))&gt;=1,"SIM","")</f>
        <v>#REF!</v>
      </c>
      <c r="G152" s="5" t="e">
        <f>IF((COUNTIFS(#REF!,$C152,#REF!,"*606*"))&gt;=1,"SIM","")</f>
        <v>#REF!</v>
      </c>
      <c r="H152" s="5" t="e">
        <f>IF((COUNTIFS(#REF!,$C152,#REF!,"*605*"))&gt;=1,"SIM","")</f>
        <v>#REF!</v>
      </c>
      <c r="I152" s="5" t="e">
        <f>IF((COUNTIFS(#REF!,$C152,#REF!,I$1))&gt;=1,"SIM","")</f>
        <v>#REF!</v>
      </c>
      <c r="J152" s="5" t="e">
        <f>IF((COUNTIFS(#REF!,$C152,#REF!,J$1))&gt;=1,"SIM","")</f>
        <v>#REF!</v>
      </c>
      <c r="K152" s="5" t="e">
        <f>IF((COUNTIFS(#REF!,$C152,#REF!,K$1))&gt;=1,"SIM","")</f>
        <v>#REF!</v>
      </c>
      <c r="L152" s="5" t="e">
        <f>IF((COUNTIFS(#REF!,$C152,#REF!,L$1))&gt;=1,"SIM","")</f>
        <v>#REF!</v>
      </c>
      <c r="M152" s="5" t="e">
        <f>IF((COUNTIFS(#REF!,$C152,#REF!,M$1))&gt;=1,"SIM","")</f>
        <v>#REF!</v>
      </c>
      <c r="N152" s="5" t="e">
        <f>IF((COUNTIFS(#REF!,$C152,#REF!,N$1))&gt;=1,"SIM","")</f>
        <v>#REF!</v>
      </c>
      <c r="O152" s="5"/>
      <c r="P152" s="5" t="e">
        <f>IF((COUNTIFS(#REF!,$C152,#REF!,P$1))&gt;=1,"SIM","")</f>
        <v>#REF!</v>
      </c>
      <c r="Q152" s="5" t="e">
        <f>IF((COUNTIFS(#REF!,$C152,#REF!,Q$1))&gt;=1,"SIM","")</f>
        <v>#REF!</v>
      </c>
      <c r="R152" s="5" t="e">
        <f>IF((COUNTIFS(#REF!,$C152,#REF!,"*CARTA*"))&gt;=1,"SIM","")</f>
        <v>#REF!</v>
      </c>
      <c r="S152" s="5" t="e">
        <f>IF((COUNTIFS(#REF!,$C152,#REF!,"*CARTA NOTIFICAÇÃO/DEVOL*"))&gt;=1,"SIM","")</f>
        <v>#REF!</v>
      </c>
      <c r="T152" s="5" t="e">
        <f>IF((COUNTIFS(#REF!,$C152,#REF!,"*LIGAÇÃO ATIVA DEV PRIN/LOC*"))&gt;=1,"SIM","")</f>
        <v>#REF!</v>
      </c>
    </row>
    <row r="153" spans="1:20">
      <c r="A153" s="24" t="s">
        <v>2153</v>
      </c>
      <c r="B153" s="24" t="s">
        <v>678</v>
      </c>
      <c r="C153" s="24" t="s">
        <v>679</v>
      </c>
      <c r="D153" s="5" t="e">
        <f>IF((COUNTIFS(#REF!,$C153,#REF!,"*163*"))&gt;=1,"SIM","")</f>
        <v>#REF!</v>
      </c>
      <c r="E153" s="5" t="e">
        <f>IF((COUNTIFS(#REF!,$C153,#REF!,E$1))&gt;=1,"SIM","")</f>
        <v>#REF!</v>
      </c>
      <c r="F153" s="5" t="e">
        <f>IF((COUNTIFS(#REF!,$C153,#REF!,F$1))&gt;=1,"SIM","")</f>
        <v>#REF!</v>
      </c>
      <c r="G153" s="5" t="e">
        <f>IF((COUNTIFS(#REF!,$C153,#REF!,"*606*"))&gt;=1,"SIM","")</f>
        <v>#REF!</v>
      </c>
      <c r="H153" s="5" t="e">
        <f>IF((COUNTIFS(#REF!,$C153,#REF!,"*605*"))&gt;=1,"SIM","")</f>
        <v>#REF!</v>
      </c>
      <c r="I153" s="5" t="e">
        <f>IF((COUNTIFS(#REF!,$C153,#REF!,I$1))&gt;=1,"SIM","")</f>
        <v>#REF!</v>
      </c>
      <c r="J153" s="5" t="e">
        <f>IF((COUNTIFS(#REF!,$C153,#REF!,J$1))&gt;=1,"SIM","")</f>
        <v>#REF!</v>
      </c>
      <c r="K153" s="5" t="e">
        <f>IF((COUNTIFS(#REF!,$C153,#REF!,K$1))&gt;=1,"SIM","")</f>
        <v>#REF!</v>
      </c>
      <c r="L153" s="5" t="e">
        <f>IF((COUNTIFS(#REF!,$C153,#REF!,L$1))&gt;=1,"SIM","")</f>
        <v>#REF!</v>
      </c>
      <c r="M153" s="5" t="e">
        <f>IF((COUNTIFS(#REF!,$C153,#REF!,M$1))&gt;=1,"SIM","")</f>
        <v>#REF!</v>
      </c>
      <c r="N153" s="5" t="e">
        <f>IF((COUNTIFS(#REF!,$C153,#REF!,N$1))&gt;=1,"SIM","")</f>
        <v>#REF!</v>
      </c>
      <c r="O153" s="5"/>
      <c r="P153" s="5" t="e">
        <f>IF((COUNTIFS(#REF!,$C153,#REF!,P$1))&gt;=1,"SIM","")</f>
        <v>#REF!</v>
      </c>
      <c r="Q153" s="5" t="e">
        <f>IF((COUNTIFS(#REF!,$C153,#REF!,Q$1))&gt;=1,"SIM","")</f>
        <v>#REF!</v>
      </c>
      <c r="R153" s="5" t="e">
        <f>IF((COUNTIFS(#REF!,$C153,#REF!,"*CARTA*"))&gt;=1,"SIM","")</f>
        <v>#REF!</v>
      </c>
      <c r="S153" s="5" t="e">
        <f>IF((COUNTIFS(#REF!,$C153,#REF!,"*CARTA NOTIFICAÇÃO/DEVOL*"))&gt;=1,"SIM","")</f>
        <v>#REF!</v>
      </c>
      <c r="T153" s="5" t="e">
        <f>IF((COUNTIFS(#REF!,$C153,#REF!,"*LIGAÇÃO ATIVA DEV PRIN/LOC*"))&gt;=1,"SIM","")</f>
        <v>#REF!</v>
      </c>
    </row>
    <row r="154" spans="1:20">
      <c r="A154" s="24" t="s">
        <v>2153</v>
      </c>
      <c r="B154" s="24" t="s">
        <v>303</v>
      </c>
      <c r="C154" s="24" t="s">
        <v>304</v>
      </c>
      <c r="D154" s="5" t="e">
        <f>IF((COUNTIFS(#REF!,$C154,#REF!,"*163*"))&gt;=1,"SIM","")</f>
        <v>#REF!</v>
      </c>
      <c r="E154" s="5" t="e">
        <f>IF((COUNTIFS(#REF!,$C154,#REF!,E$1))&gt;=1,"SIM","")</f>
        <v>#REF!</v>
      </c>
      <c r="F154" s="5" t="e">
        <f>IF((COUNTIFS(#REF!,$C154,#REF!,F$1))&gt;=1,"SIM","")</f>
        <v>#REF!</v>
      </c>
      <c r="G154" s="5" t="e">
        <f>IF((COUNTIFS(#REF!,$C154,#REF!,"*606*"))&gt;=1,"SIM","")</f>
        <v>#REF!</v>
      </c>
      <c r="H154" s="5" t="e">
        <f>IF((COUNTIFS(#REF!,$C154,#REF!,"*605*"))&gt;=1,"SIM","")</f>
        <v>#REF!</v>
      </c>
      <c r="I154" s="5" t="e">
        <f>IF((COUNTIFS(#REF!,$C154,#REF!,I$1))&gt;=1,"SIM","")</f>
        <v>#REF!</v>
      </c>
      <c r="J154" s="5" t="e">
        <f>IF((COUNTIFS(#REF!,$C154,#REF!,J$1))&gt;=1,"SIM","")</f>
        <v>#REF!</v>
      </c>
      <c r="K154" s="5" t="e">
        <f>IF((COUNTIFS(#REF!,$C154,#REF!,K$1))&gt;=1,"SIM","")</f>
        <v>#REF!</v>
      </c>
      <c r="L154" s="5" t="e">
        <f>IF((COUNTIFS(#REF!,$C154,#REF!,L$1))&gt;=1,"SIM","")</f>
        <v>#REF!</v>
      </c>
      <c r="M154" s="5" t="e">
        <f>IF((COUNTIFS(#REF!,$C154,#REF!,M$1))&gt;=1,"SIM","")</f>
        <v>#REF!</v>
      </c>
      <c r="N154" s="5" t="e">
        <f>IF((COUNTIFS(#REF!,$C154,#REF!,N$1))&gt;=1,"SIM","")</f>
        <v>#REF!</v>
      </c>
      <c r="O154" s="5"/>
      <c r="P154" s="5" t="e">
        <f>IF((COUNTIFS(#REF!,$C154,#REF!,P$1))&gt;=1,"SIM","")</f>
        <v>#REF!</v>
      </c>
      <c r="Q154" s="5" t="e">
        <f>IF((COUNTIFS(#REF!,$C154,#REF!,Q$1))&gt;=1,"SIM","")</f>
        <v>#REF!</v>
      </c>
      <c r="R154" s="5" t="e">
        <f>IF((COUNTIFS(#REF!,$C154,#REF!,"*CARTA*"))&gt;=1,"SIM","")</f>
        <v>#REF!</v>
      </c>
      <c r="S154" s="5" t="e">
        <f>IF((COUNTIFS(#REF!,$C154,#REF!,"*CARTA NOTIFICAÇÃO/DEVOL*"))&gt;=1,"SIM","")</f>
        <v>#REF!</v>
      </c>
      <c r="T154" s="5" t="e">
        <f>IF((COUNTIFS(#REF!,$C154,#REF!,"*LIGAÇÃO ATIVA DEV PRIN/LOC*"))&gt;=1,"SIM","")</f>
        <v>#REF!</v>
      </c>
    </row>
    <row r="155" spans="1:20">
      <c r="A155" s="24" t="s">
        <v>2158</v>
      </c>
      <c r="B155" s="24" t="s">
        <v>1055</v>
      </c>
      <c r="C155" s="24" t="s">
        <v>1056</v>
      </c>
      <c r="D155" s="5" t="e">
        <f>IF((COUNTIFS(#REF!,$C155,#REF!,"*163*"))&gt;=1,"SIM","")</f>
        <v>#REF!</v>
      </c>
      <c r="E155" s="5" t="e">
        <f>IF((COUNTIFS(#REF!,$C155,#REF!,E$1))&gt;=1,"SIM","")</f>
        <v>#REF!</v>
      </c>
      <c r="F155" s="5" t="e">
        <f>IF((COUNTIFS(#REF!,$C155,#REF!,F$1))&gt;=1,"SIM","")</f>
        <v>#REF!</v>
      </c>
      <c r="G155" s="5" t="e">
        <f>IF((COUNTIFS(#REF!,$C155,#REF!,"*606*"))&gt;=1,"SIM","")</f>
        <v>#REF!</v>
      </c>
      <c r="H155" s="5" t="e">
        <f>IF((COUNTIFS(#REF!,$C155,#REF!,"*605*"))&gt;=1,"SIM","")</f>
        <v>#REF!</v>
      </c>
      <c r="I155" s="5" t="e">
        <f>IF((COUNTIFS(#REF!,$C155,#REF!,I$1))&gt;=1,"SIM","")</f>
        <v>#REF!</v>
      </c>
      <c r="J155" s="5" t="e">
        <f>IF((COUNTIFS(#REF!,$C155,#REF!,J$1))&gt;=1,"SIM","")</f>
        <v>#REF!</v>
      </c>
      <c r="K155" s="5" t="e">
        <f>IF((COUNTIFS(#REF!,$C155,#REF!,K$1))&gt;=1,"SIM","")</f>
        <v>#REF!</v>
      </c>
      <c r="L155" s="5" t="e">
        <f>IF((COUNTIFS(#REF!,$C155,#REF!,L$1))&gt;=1,"SIM","")</f>
        <v>#REF!</v>
      </c>
      <c r="M155" s="5" t="e">
        <f>IF((COUNTIFS(#REF!,$C155,#REF!,M$1))&gt;=1,"SIM","")</f>
        <v>#REF!</v>
      </c>
      <c r="N155" s="5" t="e">
        <f>IF((COUNTIFS(#REF!,$C155,#REF!,N$1))&gt;=1,"SIM","")</f>
        <v>#REF!</v>
      </c>
      <c r="O155" s="5"/>
      <c r="P155" s="5" t="e">
        <f>IF((COUNTIFS(#REF!,$C155,#REF!,P$1))&gt;=1,"SIM","")</f>
        <v>#REF!</v>
      </c>
      <c r="Q155" s="5" t="e">
        <f>IF((COUNTIFS(#REF!,$C155,#REF!,Q$1))&gt;=1,"SIM","")</f>
        <v>#REF!</v>
      </c>
      <c r="R155" s="5" t="e">
        <f>IF((COUNTIFS(#REF!,$C155,#REF!,"*CARTA*"))&gt;=1,"SIM","")</f>
        <v>#REF!</v>
      </c>
      <c r="S155" s="5" t="e">
        <f>IF((COUNTIFS(#REF!,$C155,#REF!,"*CARTA NOTIFICAÇÃO/DEVOL*"))&gt;=1,"SIM","")</f>
        <v>#REF!</v>
      </c>
      <c r="T155" s="5" t="e">
        <f>IF((COUNTIFS(#REF!,$C155,#REF!,"*LIGAÇÃO ATIVA DEV PRIN/LOC*"))&gt;=1,"SIM","")</f>
        <v>#REF!</v>
      </c>
    </row>
    <row r="156" spans="1:20">
      <c r="A156" s="24" t="s">
        <v>2153</v>
      </c>
      <c r="B156" s="24" t="s">
        <v>682</v>
      </c>
      <c r="C156" s="24" t="s">
        <v>683</v>
      </c>
      <c r="D156" s="5" t="e">
        <f>IF((COUNTIFS(#REF!,$C156,#REF!,"*163*"))&gt;=1,"SIM","")</f>
        <v>#REF!</v>
      </c>
      <c r="E156" s="5" t="e">
        <f>IF((COUNTIFS(#REF!,$C156,#REF!,E$1))&gt;=1,"SIM","")</f>
        <v>#REF!</v>
      </c>
      <c r="F156" s="5" t="e">
        <f>IF((COUNTIFS(#REF!,$C156,#REF!,F$1))&gt;=1,"SIM","")</f>
        <v>#REF!</v>
      </c>
      <c r="G156" s="5" t="e">
        <f>IF((COUNTIFS(#REF!,$C156,#REF!,"*606*"))&gt;=1,"SIM","")</f>
        <v>#REF!</v>
      </c>
      <c r="H156" s="5" t="e">
        <f>IF((COUNTIFS(#REF!,$C156,#REF!,"*605*"))&gt;=1,"SIM","")</f>
        <v>#REF!</v>
      </c>
      <c r="I156" s="5" t="e">
        <f>IF((COUNTIFS(#REF!,$C156,#REF!,I$1))&gt;=1,"SIM","")</f>
        <v>#REF!</v>
      </c>
      <c r="J156" s="5" t="e">
        <f>IF((COUNTIFS(#REF!,$C156,#REF!,J$1))&gt;=1,"SIM","")</f>
        <v>#REF!</v>
      </c>
      <c r="K156" s="5" t="e">
        <f>IF((COUNTIFS(#REF!,$C156,#REF!,K$1))&gt;=1,"SIM","")</f>
        <v>#REF!</v>
      </c>
      <c r="L156" s="5" t="e">
        <f>IF((COUNTIFS(#REF!,$C156,#REF!,L$1))&gt;=1,"SIM","")</f>
        <v>#REF!</v>
      </c>
      <c r="M156" s="5" t="e">
        <f>IF((COUNTIFS(#REF!,$C156,#REF!,M$1))&gt;=1,"SIM","")</f>
        <v>#REF!</v>
      </c>
      <c r="N156" s="5" t="e">
        <f>IF((COUNTIFS(#REF!,$C156,#REF!,N$1))&gt;=1,"SIM","")</f>
        <v>#REF!</v>
      </c>
      <c r="O156" s="5"/>
      <c r="P156" s="5" t="e">
        <f>IF((COUNTIFS(#REF!,$C156,#REF!,P$1))&gt;=1,"SIM","")</f>
        <v>#REF!</v>
      </c>
      <c r="Q156" s="5" t="e">
        <f>IF((COUNTIFS(#REF!,$C156,#REF!,Q$1))&gt;=1,"SIM","")</f>
        <v>#REF!</v>
      </c>
      <c r="R156" s="5" t="e">
        <f>IF((COUNTIFS(#REF!,$C156,#REF!,"*CARTA*"))&gt;=1,"SIM","")</f>
        <v>#REF!</v>
      </c>
      <c r="S156" s="5" t="e">
        <f>IF((COUNTIFS(#REF!,$C156,#REF!,"*CARTA NOTIFICAÇÃO/DEVOL*"))&gt;=1,"SIM","")</f>
        <v>#REF!</v>
      </c>
      <c r="T156" s="5" t="e">
        <f>IF((COUNTIFS(#REF!,$C156,#REF!,"*LIGAÇÃO ATIVA DEV PRIN/LOC*"))&gt;=1,"SIM","")</f>
        <v>#REF!</v>
      </c>
    </row>
    <row r="157" spans="1:20">
      <c r="A157" s="24" t="s">
        <v>2153</v>
      </c>
      <c r="B157" s="24" t="s">
        <v>517</v>
      </c>
      <c r="C157" s="24" t="s">
        <v>90</v>
      </c>
      <c r="D157" s="5" t="e">
        <f>IF((COUNTIFS(#REF!,$C157,#REF!,"*163*"))&gt;=1,"SIM","")</f>
        <v>#REF!</v>
      </c>
      <c r="E157" s="5" t="e">
        <f>IF((COUNTIFS(#REF!,$C157,#REF!,E$1))&gt;=1,"SIM","")</f>
        <v>#REF!</v>
      </c>
      <c r="F157" s="5" t="e">
        <f>IF((COUNTIFS(#REF!,$C157,#REF!,F$1))&gt;=1,"SIM","")</f>
        <v>#REF!</v>
      </c>
      <c r="G157" s="5" t="e">
        <f>IF((COUNTIFS(#REF!,$C157,#REF!,"*606*"))&gt;=1,"SIM","")</f>
        <v>#REF!</v>
      </c>
      <c r="H157" s="5" t="e">
        <f>IF((COUNTIFS(#REF!,$C157,#REF!,"*605*"))&gt;=1,"SIM","")</f>
        <v>#REF!</v>
      </c>
      <c r="I157" s="5" t="e">
        <f>IF((COUNTIFS(#REF!,$C157,#REF!,I$1))&gt;=1,"SIM","")</f>
        <v>#REF!</v>
      </c>
      <c r="J157" s="5" t="e">
        <f>IF((COUNTIFS(#REF!,$C157,#REF!,J$1))&gt;=1,"SIM","")</f>
        <v>#REF!</v>
      </c>
      <c r="K157" s="5" t="e">
        <f>IF((COUNTIFS(#REF!,$C157,#REF!,K$1))&gt;=1,"SIM","")</f>
        <v>#REF!</v>
      </c>
      <c r="L157" s="5" t="e">
        <f>IF((COUNTIFS(#REF!,$C157,#REF!,L$1))&gt;=1,"SIM","")</f>
        <v>#REF!</v>
      </c>
      <c r="M157" s="5" t="e">
        <f>IF((COUNTIFS(#REF!,$C157,#REF!,M$1))&gt;=1,"SIM","")</f>
        <v>#REF!</v>
      </c>
      <c r="N157" s="5" t="e">
        <f>IF((COUNTIFS(#REF!,$C157,#REF!,N$1))&gt;=1,"SIM","")</f>
        <v>#REF!</v>
      </c>
      <c r="O157" s="5"/>
      <c r="P157" s="5" t="e">
        <f>IF((COUNTIFS(#REF!,$C157,#REF!,P$1))&gt;=1,"SIM","")</f>
        <v>#REF!</v>
      </c>
      <c r="Q157" s="5" t="e">
        <f>IF((COUNTIFS(#REF!,$C157,#REF!,Q$1))&gt;=1,"SIM","")</f>
        <v>#REF!</v>
      </c>
      <c r="R157" s="5" t="e">
        <f>IF((COUNTIFS(#REF!,$C157,#REF!,"*CARTA*"))&gt;=1,"SIM","")</f>
        <v>#REF!</v>
      </c>
      <c r="S157" s="5" t="e">
        <f>IF((COUNTIFS(#REF!,$C157,#REF!,"*CARTA NOTIFICAÇÃO/DEVOL*"))&gt;=1,"SIM","")</f>
        <v>#REF!</v>
      </c>
      <c r="T157" s="5" t="e">
        <f>IF((COUNTIFS(#REF!,$C157,#REF!,"*LIGAÇÃO ATIVA DEV PRIN/LOC*"))&gt;=1,"SIM","")</f>
        <v>#REF!</v>
      </c>
    </row>
    <row r="158" spans="1:20">
      <c r="A158" s="24" t="s">
        <v>2153</v>
      </c>
      <c r="B158" s="24" t="s">
        <v>89</v>
      </c>
      <c r="C158" s="24" t="s">
        <v>90</v>
      </c>
      <c r="D158" s="5" t="e">
        <f>IF((COUNTIFS(#REF!,$C158,#REF!,"*163*"))&gt;=1,"SIM","")</f>
        <v>#REF!</v>
      </c>
      <c r="E158" s="5" t="e">
        <f>IF((COUNTIFS(#REF!,$C158,#REF!,E$1))&gt;=1,"SIM","")</f>
        <v>#REF!</v>
      </c>
      <c r="F158" s="5" t="e">
        <f>IF((COUNTIFS(#REF!,$C158,#REF!,F$1))&gt;=1,"SIM","")</f>
        <v>#REF!</v>
      </c>
      <c r="G158" s="5" t="e">
        <f>IF((COUNTIFS(#REF!,$C158,#REF!,"*606*"))&gt;=1,"SIM","")</f>
        <v>#REF!</v>
      </c>
      <c r="H158" s="5" t="e">
        <f>IF((COUNTIFS(#REF!,$C158,#REF!,"*605*"))&gt;=1,"SIM","")</f>
        <v>#REF!</v>
      </c>
      <c r="I158" s="5" t="e">
        <f>IF((COUNTIFS(#REF!,$C158,#REF!,I$1))&gt;=1,"SIM","")</f>
        <v>#REF!</v>
      </c>
      <c r="J158" s="5" t="e">
        <f>IF((COUNTIFS(#REF!,$C158,#REF!,J$1))&gt;=1,"SIM","")</f>
        <v>#REF!</v>
      </c>
      <c r="K158" s="5" t="e">
        <f>IF((COUNTIFS(#REF!,$C158,#REF!,K$1))&gt;=1,"SIM","")</f>
        <v>#REF!</v>
      </c>
      <c r="L158" s="5" t="e">
        <f>IF((COUNTIFS(#REF!,$C158,#REF!,L$1))&gt;=1,"SIM","")</f>
        <v>#REF!</v>
      </c>
      <c r="M158" s="5" t="e">
        <f>IF((COUNTIFS(#REF!,$C158,#REF!,M$1))&gt;=1,"SIM","")</f>
        <v>#REF!</v>
      </c>
      <c r="N158" s="5" t="e">
        <f>IF((COUNTIFS(#REF!,$C158,#REF!,N$1))&gt;=1,"SIM","")</f>
        <v>#REF!</v>
      </c>
      <c r="O158" s="5"/>
      <c r="P158" s="5" t="e">
        <f>IF((COUNTIFS(#REF!,$C158,#REF!,P$1))&gt;=1,"SIM","")</f>
        <v>#REF!</v>
      </c>
      <c r="Q158" s="5" t="e">
        <f>IF((COUNTIFS(#REF!,$C158,#REF!,Q$1))&gt;=1,"SIM","")</f>
        <v>#REF!</v>
      </c>
      <c r="R158" s="5" t="e">
        <f>IF((COUNTIFS(#REF!,$C158,#REF!,"*CARTA*"))&gt;=1,"SIM","")</f>
        <v>#REF!</v>
      </c>
      <c r="S158" s="5" t="e">
        <f>IF((COUNTIFS(#REF!,$C158,#REF!,"*CARTA NOTIFICAÇÃO/DEVOL*"))&gt;=1,"SIM","")</f>
        <v>#REF!</v>
      </c>
      <c r="T158" s="5" t="e">
        <f>IF((COUNTIFS(#REF!,$C158,#REF!,"*LIGAÇÃO ATIVA DEV PRIN/LOC*"))&gt;=1,"SIM","")</f>
        <v>#REF!</v>
      </c>
    </row>
    <row r="159" spans="1:20">
      <c r="A159" s="24" t="s">
        <v>2157</v>
      </c>
      <c r="B159" s="24" t="s">
        <v>1543</v>
      </c>
      <c r="C159" s="24" t="s">
        <v>1544</v>
      </c>
      <c r="D159" s="5" t="e">
        <f>IF((COUNTIFS(#REF!,$C159,#REF!,"*163*"))&gt;=1,"SIM","")</f>
        <v>#REF!</v>
      </c>
      <c r="E159" s="5" t="e">
        <f>IF((COUNTIFS(#REF!,$C159,#REF!,E$1))&gt;=1,"SIM","")</f>
        <v>#REF!</v>
      </c>
      <c r="F159" s="5" t="e">
        <f>IF((COUNTIFS(#REF!,$C159,#REF!,F$1))&gt;=1,"SIM","")</f>
        <v>#REF!</v>
      </c>
      <c r="G159" s="5" t="e">
        <f>IF((COUNTIFS(#REF!,$C159,#REF!,"*606*"))&gt;=1,"SIM","")</f>
        <v>#REF!</v>
      </c>
      <c r="H159" s="5" t="e">
        <f>IF((COUNTIFS(#REF!,$C159,#REF!,"*605*"))&gt;=1,"SIM","")</f>
        <v>#REF!</v>
      </c>
      <c r="I159" s="5" t="e">
        <f>IF((COUNTIFS(#REF!,$C159,#REF!,I$1))&gt;=1,"SIM","")</f>
        <v>#REF!</v>
      </c>
      <c r="J159" s="5" t="e">
        <f>IF((COUNTIFS(#REF!,$C159,#REF!,J$1))&gt;=1,"SIM","")</f>
        <v>#REF!</v>
      </c>
      <c r="K159" s="5" t="e">
        <f>IF((COUNTIFS(#REF!,$C159,#REF!,K$1))&gt;=1,"SIM","")</f>
        <v>#REF!</v>
      </c>
      <c r="L159" s="5" t="e">
        <f>IF((COUNTIFS(#REF!,$C159,#REF!,L$1))&gt;=1,"SIM","")</f>
        <v>#REF!</v>
      </c>
      <c r="M159" s="5" t="e">
        <f>IF((COUNTIFS(#REF!,$C159,#REF!,M$1))&gt;=1,"SIM","")</f>
        <v>#REF!</v>
      </c>
      <c r="N159" s="5" t="e">
        <f>IF((COUNTIFS(#REF!,$C159,#REF!,N$1))&gt;=1,"SIM","")</f>
        <v>#REF!</v>
      </c>
      <c r="O159" s="5"/>
      <c r="P159" s="5" t="e">
        <f>IF((COUNTIFS(#REF!,$C159,#REF!,P$1))&gt;=1,"SIM","")</f>
        <v>#REF!</v>
      </c>
      <c r="Q159" s="5" t="e">
        <f>IF((COUNTIFS(#REF!,$C159,#REF!,Q$1))&gt;=1,"SIM","")</f>
        <v>#REF!</v>
      </c>
      <c r="R159" s="5" t="e">
        <f>IF((COUNTIFS(#REF!,$C159,#REF!,"*CARTA*"))&gt;=1,"SIM","")</f>
        <v>#REF!</v>
      </c>
      <c r="S159" s="5" t="e">
        <f>IF((COUNTIFS(#REF!,$C159,#REF!,"*CARTA NOTIFICAÇÃO/DEVOL*"))&gt;=1,"SIM","")</f>
        <v>#REF!</v>
      </c>
      <c r="T159" s="5" t="e">
        <f>IF((COUNTIFS(#REF!,$C159,#REF!,"*LIGAÇÃO ATIVA DEV PRIN/LOC*"))&gt;=1,"SIM","")</f>
        <v>#REF!</v>
      </c>
    </row>
    <row r="160" spans="1:20">
      <c r="A160" s="24" t="s">
        <v>2157</v>
      </c>
      <c r="B160" s="24" t="s">
        <v>2093</v>
      </c>
      <c r="C160" s="24" t="s">
        <v>2094</v>
      </c>
      <c r="D160" s="5" t="e">
        <f>IF((COUNTIFS(#REF!,$C160,#REF!,"*163*"))&gt;=1,"SIM","")</f>
        <v>#REF!</v>
      </c>
      <c r="E160" s="5" t="e">
        <f>IF((COUNTIFS(#REF!,$C160,#REF!,E$1))&gt;=1,"SIM","")</f>
        <v>#REF!</v>
      </c>
      <c r="F160" s="5" t="e">
        <f>IF((COUNTIFS(#REF!,$C160,#REF!,F$1))&gt;=1,"SIM","")</f>
        <v>#REF!</v>
      </c>
      <c r="G160" s="5" t="e">
        <f>IF((COUNTIFS(#REF!,$C160,#REF!,"*606*"))&gt;=1,"SIM","")</f>
        <v>#REF!</v>
      </c>
      <c r="H160" s="5" t="e">
        <f>IF((COUNTIFS(#REF!,$C160,#REF!,"*605*"))&gt;=1,"SIM","")</f>
        <v>#REF!</v>
      </c>
      <c r="I160" s="5" t="e">
        <f>IF((COUNTIFS(#REF!,$C160,#REF!,I$1))&gt;=1,"SIM","")</f>
        <v>#REF!</v>
      </c>
      <c r="J160" s="5" t="e">
        <f>IF((COUNTIFS(#REF!,$C160,#REF!,J$1))&gt;=1,"SIM","")</f>
        <v>#REF!</v>
      </c>
      <c r="K160" s="5" t="e">
        <f>IF((COUNTIFS(#REF!,$C160,#REF!,K$1))&gt;=1,"SIM","")</f>
        <v>#REF!</v>
      </c>
      <c r="L160" s="5" t="e">
        <f>IF((COUNTIFS(#REF!,$C160,#REF!,L$1))&gt;=1,"SIM","")</f>
        <v>#REF!</v>
      </c>
      <c r="M160" s="5" t="e">
        <f>IF((COUNTIFS(#REF!,$C160,#REF!,M$1))&gt;=1,"SIM","")</f>
        <v>#REF!</v>
      </c>
      <c r="N160" s="5" t="e">
        <f>IF((COUNTIFS(#REF!,$C160,#REF!,N$1))&gt;=1,"SIM","")</f>
        <v>#REF!</v>
      </c>
      <c r="O160" s="5"/>
      <c r="P160" s="5" t="e">
        <f>IF((COUNTIFS(#REF!,$C160,#REF!,P$1))&gt;=1,"SIM","")</f>
        <v>#REF!</v>
      </c>
      <c r="Q160" s="5" t="e">
        <f>IF((COUNTIFS(#REF!,$C160,#REF!,Q$1))&gt;=1,"SIM","")</f>
        <v>#REF!</v>
      </c>
      <c r="R160" s="5" t="e">
        <f>IF((COUNTIFS(#REF!,$C160,#REF!,"*CARTA*"))&gt;=1,"SIM","")</f>
        <v>#REF!</v>
      </c>
      <c r="S160" s="5" t="e">
        <f>IF((COUNTIFS(#REF!,$C160,#REF!,"*CARTA NOTIFICAÇÃO/DEVOL*"))&gt;=1,"SIM","")</f>
        <v>#REF!</v>
      </c>
      <c r="T160" s="5" t="e">
        <f>IF((COUNTIFS(#REF!,$C160,#REF!,"*LIGAÇÃO ATIVA DEV PRIN/LOC*"))&gt;=1,"SIM","")</f>
        <v>#REF!</v>
      </c>
    </row>
    <row r="161" spans="1:20">
      <c r="A161" s="24" t="s">
        <v>2153</v>
      </c>
      <c r="B161" s="24" t="s">
        <v>764</v>
      </c>
      <c r="C161" s="24" t="s">
        <v>765</v>
      </c>
      <c r="D161" s="5" t="e">
        <f>IF((COUNTIFS(#REF!,$C161,#REF!,"*163*"))&gt;=1,"SIM","")</f>
        <v>#REF!</v>
      </c>
      <c r="E161" s="5" t="e">
        <f>IF((COUNTIFS(#REF!,$C161,#REF!,E$1))&gt;=1,"SIM","")</f>
        <v>#REF!</v>
      </c>
      <c r="F161" s="5" t="e">
        <f>IF((COUNTIFS(#REF!,$C161,#REF!,F$1))&gt;=1,"SIM","")</f>
        <v>#REF!</v>
      </c>
      <c r="G161" s="5" t="e">
        <f>IF((COUNTIFS(#REF!,$C161,#REF!,"*606*"))&gt;=1,"SIM","")</f>
        <v>#REF!</v>
      </c>
      <c r="H161" s="5" t="e">
        <f>IF((COUNTIFS(#REF!,$C161,#REF!,"*605*"))&gt;=1,"SIM","")</f>
        <v>#REF!</v>
      </c>
      <c r="I161" s="5" t="e">
        <f>IF((COUNTIFS(#REF!,$C161,#REF!,I$1))&gt;=1,"SIM","")</f>
        <v>#REF!</v>
      </c>
      <c r="J161" s="5" t="e">
        <f>IF((COUNTIFS(#REF!,$C161,#REF!,J$1))&gt;=1,"SIM","")</f>
        <v>#REF!</v>
      </c>
      <c r="K161" s="5" t="e">
        <f>IF((COUNTIFS(#REF!,$C161,#REF!,K$1))&gt;=1,"SIM","")</f>
        <v>#REF!</v>
      </c>
      <c r="L161" s="5" t="e">
        <f>IF((COUNTIFS(#REF!,$C161,#REF!,L$1))&gt;=1,"SIM","")</f>
        <v>#REF!</v>
      </c>
      <c r="M161" s="5" t="e">
        <f>IF((COUNTIFS(#REF!,$C161,#REF!,M$1))&gt;=1,"SIM","")</f>
        <v>#REF!</v>
      </c>
      <c r="N161" s="5" t="e">
        <f>IF((COUNTIFS(#REF!,$C161,#REF!,N$1))&gt;=1,"SIM","")</f>
        <v>#REF!</v>
      </c>
      <c r="O161" s="5"/>
      <c r="P161" s="5" t="e">
        <f>IF((COUNTIFS(#REF!,$C161,#REF!,P$1))&gt;=1,"SIM","")</f>
        <v>#REF!</v>
      </c>
      <c r="Q161" s="5" t="e">
        <f>IF((COUNTIFS(#REF!,$C161,#REF!,Q$1))&gt;=1,"SIM","")</f>
        <v>#REF!</v>
      </c>
      <c r="R161" s="5" t="e">
        <f>IF((COUNTIFS(#REF!,$C161,#REF!,"*CARTA*"))&gt;=1,"SIM","")</f>
        <v>#REF!</v>
      </c>
      <c r="S161" s="5" t="e">
        <f>IF((COUNTIFS(#REF!,$C161,#REF!,"*CARTA NOTIFICAÇÃO/DEVOL*"))&gt;=1,"SIM","")</f>
        <v>#REF!</v>
      </c>
      <c r="T161" s="5" t="e">
        <f>IF((COUNTIFS(#REF!,$C161,#REF!,"*LIGAÇÃO ATIVA DEV PRIN/LOC*"))&gt;=1,"SIM","")</f>
        <v>#REF!</v>
      </c>
    </row>
    <row r="162" spans="1:20">
      <c r="A162" s="24" t="s">
        <v>2153</v>
      </c>
      <c r="B162" s="24" t="s">
        <v>932</v>
      </c>
      <c r="C162" s="24" t="s">
        <v>933</v>
      </c>
      <c r="D162" s="5" t="e">
        <f>IF((COUNTIFS(#REF!,$C162,#REF!,"*163*"))&gt;=1,"SIM","")</f>
        <v>#REF!</v>
      </c>
      <c r="E162" s="5" t="e">
        <f>IF((COUNTIFS(#REF!,$C162,#REF!,E$1))&gt;=1,"SIM","")</f>
        <v>#REF!</v>
      </c>
      <c r="F162" s="5" t="e">
        <f>IF((COUNTIFS(#REF!,$C162,#REF!,F$1))&gt;=1,"SIM","")</f>
        <v>#REF!</v>
      </c>
      <c r="G162" s="5" t="e">
        <f>IF((COUNTIFS(#REF!,$C162,#REF!,"*606*"))&gt;=1,"SIM","")</f>
        <v>#REF!</v>
      </c>
      <c r="H162" s="5" t="e">
        <f>IF((COUNTIFS(#REF!,$C162,#REF!,"*605*"))&gt;=1,"SIM","")</f>
        <v>#REF!</v>
      </c>
      <c r="I162" s="5" t="e">
        <f>IF((COUNTIFS(#REF!,$C162,#REF!,I$1))&gt;=1,"SIM","")</f>
        <v>#REF!</v>
      </c>
      <c r="J162" s="5" t="e">
        <f>IF((COUNTIFS(#REF!,$C162,#REF!,J$1))&gt;=1,"SIM","")</f>
        <v>#REF!</v>
      </c>
      <c r="K162" s="5" t="e">
        <f>IF((COUNTIFS(#REF!,$C162,#REF!,K$1))&gt;=1,"SIM","")</f>
        <v>#REF!</v>
      </c>
      <c r="L162" s="5" t="e">
        <f>IF((COUNTIFS(#REF!,$C162,#REF!,L$1))&gt;=1,"SIM","")</f>
        <v>#REF!</v>
      </c>
      <c r="M162" s="5" t="e">
        <f>IF((COUNTIFS(#REF!,$C162,#REF!,M$1))&gt;=1,"SIM","")</f>
        <v>#REF!</v>
      </c>
      <c r="N162" s="5" t="e">
        <f>IF((COUNTIFS(#REF!,$C162,#REF!,N$1))&gt;=1,"SIM","")</f>
        <v>#REF!</v>
      </c>
      <c r="O162" s="5"/>
      <c r="P162" s="5" t="e">
        <f>IF((COUNTIFS(#REF!,$C162,#REF!,P$1))&gt;=1,"SIM","")</f>
        <v>#REF!</v>
      </c>
      <c r="Q162" s="5" t="e">
        <f>IF((COUNTIFS(#REF!,$C162,#REF!,Q$1))&gt;=1,"SIM","")</f>
        <v>#REF!</v>
      </c>
      <c r="R162" s="5" t="e">
        <f>IF((COUNTIFS(#REF!,$C162,#REF!,"*CARTA*"))&gt;=1,"SIM","")</f>
        <v>#REF!</v>
      </c>
      <c r="S162" s="5" t="e">
        <f>IF((COUNTIFS(#REF!,$C162,#REF!,"*CARTA NOTIFICAÇÃO/DEVOL*"))&gt;=1,"SIM","")</f>
        <v>#REF!</v>
      </c>
      <c r="T162" s="5" t="e">
        <f>IF((COUNTIFS(#REF!,$C162,#REF!,"*LIGAÇÃO ATIVA DEV PRIN/LOC*"))&gt;=1,"SIM","")</f>
        <v>#REF!</v>
      </c>
    </row>
    <row r="163" spans="1:20">
      <c r="A163" s="24" t="s">
        <v>2153</v>
      </c>
      <c r="B163" s="24" t="s">
        <v>510</v>
      </c>
      <c r="C163" s="24" t="s">
        <v>511</v>
      </c>
      <c r="D163" s="5" t="e">
        <f>IF((COUNTIFS(#REF!,$C163,#REF!,"*163*"))&gt;=1,"SIM","")</f>
        <v>#REF!</v>
      </c>
      <c r="E163" s="5" t="e">
        <f>IF((COUNTIFS(#REF!,$C163,#REF!,E$1))&gt;=1,"SIM","")</f>
        <v>#REF!</v>
      </c>
      <c r="F163" s="5" t="e">
        <f>IF((COUNTIFS(#REF!,$C163,#REF!,F$1))&gt;=1,"SIM","")</f>
        <v>#REF!</v>
      </c>
      <c r="G163" s="5" t="e">
        <f>IF((COUNTIFS(#REF!,$C163,#REF!,"*606*"))&gt;=1,"SIM","")</f>
        <v>#REF!</v>
      </c>
      <c r="H163" s="5" t="e">
        <f>IF((COUNTIFS(#REF!,$C163,#REF!,"*605*"))&gt;=1,"SIM","")</f>
        <v>#REF!</v>
      </c>
      <c r="I163" s="5" t="e">
        <f>IF((COUNTIFS(#REF!,$C163,#REF!,I$1))&gt;=1,"SIM","")</f>
        <v>#REF!</v>
      </c>
      <c r="J163" s="5" t="e">
        <f>IF((COUNTIFS(#REF!,$C163,#REF!,J$1))&gt;=1,"SIM","")</f>
        <v>#REF!</v>
      </c>
      <c r="K163" s="5" t="e">
        <f>IF((COUNTIFS(#REF!,$C163,#REF!,K$1))&gt;=1,"SIM","")</f>
        <v>#REF!</v>
      </c>
      <c r="L163" s="5" t="e">
        <f>IF((COUNTIFS(#REF!,$C163,#REF!,L$1))&gt;=1,"SIM","")</f>
        <v>#REF!</v>
      </c>
      <c r="M163" s="5" t="e">
        <f>IF((COUNTIFS(#REF!,$C163,#REF!,M$1))&gt;=1,"SIM","")</f>
        <v>#REF!</v>
      </c>
      <c r="N163" s="5" t="e">
        <f>IF((COUNTIFS(#REF!,$C163,#REF!,N$1))&gt;=1,"SIM","")</f>
        <v>#REF!</v>
      </c>
      <c r="O163" s="5"/>
      <c r="P163" s="5" t="e">
        <f>IF((COUNTIFS(#REF!,$C163,#REF!,P$1))&gt;=1,"SIM","")</f>
        <v>#REF!</v>
      </c>
      <c r="Q163" s="5" t="e">
        <f>IF((COUNTIFS(#REF!,$C163,#REF!,Q$1))&gt;=1,"SIM","")</f>
        <v>#REF!</v>
      </c>
      <c r="R163" s="5" t="e">
        <f>IF((COUNTIFS(#REF!,$C163,#REF!,"*CARTA*"))&gt;=1,"SIM","")</f>
        <v>#REF!</v>
      </c>
      <c r="S163" s="5" t="e">
        <f>IF((COUNTIFS(#REF!,$C163,#REF!,"*CARTA NOTIFICAÇÃO/DEVOL*"))&gt;=1,"SIM","")</f>
        <v>#REF!</v>
      </c>
      <c r="T163" s="5" t="e">
        <f>IF((COUNTIFS(#REF!,$C163,#REF!,"*LIGAÇÃO ATIVA DEV PRIN/LOC*"))&gt;=1,"SIM","")</f>
        <v>#REF!</v>
      </c>
    </row>
    <row r="164" spans="1:20">
      <c r="A164" s="24" t="s">
        <v>2153</v>
      </c>
      <c r="B164" s="24" t="s">
        <v>370</v>
      </c>
      <c r="C164" s="24" t="s">
        <v>371</v>
      </c>
      <c r="D164" s="5" t="e">
        <f>IF((COUNTIFS(#REF!,$C164,#REF!,"*163*"))&gt;=1,"SIM","")</f>
        <v>#REF!</v>
      </c>
      <c r="E164" s="5" t="e">
        <f>IF((COUNTIFS(#REF!,$C164,#REF!,E$1))&gt;=1,"SIM","")</f>
        <v>#REF!</v>
      </c>
      <c r="F164" s="5" t="e">
        <f>IF((COUNTIFS(#REF!,$C164,#REF!,F$1))&gt;=1,"SIM","")</f>
        <v>#REF!</v>
      </c>
      <c r="G164" s="5" t="e">
        <f>IF((COUNTIFS(#REF!,$C164,#REF!,"*606*"))&gt;=1,"SIM","")</f>
        <v>#REF!</v>
      </c>
      <c r="H164" s="5" t="e">
        <f>IF((COUNTIFS(#REF!,$C164,#REF!,"*605*"))&gt;=1,"SIM","")</f>
        <v>#REF!</v>
      </c>
      <c r="I164" s="5" t="e">
        <f>IF((COUNTIFS(#REF!,$C164,#REF!,I$1))&gt;=1,"SIM","")</f>
        <v>#REF!</v>
      </c>
      <c r="J164" s="5" t="e">
        <f>IF((COUNTIFS(#REF!,$C164,#REF!,J$1))&gt;=1,"SIM","")</f>
        <v>#REF!</v>
      </c>
      <c r="K164" s="5" t="e">
        <f>IF((COUNTIFS(#REF!,$C164,#REF!,K$1))&gt;=1,"SIM","")</f>
        <v>#REF!</v>
      </c>
      <c r="L164" s="5" t="e">
        <f>IF((COUNTIFS(#REF!,$C164,#REF!,L$1))&gt;=1,"SIM","")</f>
        <v>#REF!</v>
      </c>
      <c r="M164" s="5" t="e">
        <f>IF((COUNTIFS(#REF!,$C164,#REF!,M$1))&gt;=1,"SIM","")</f>
        <v>#REF!</v>
      </c>
      <c r="N164" s="5" t="e">
        <f>IF((COUNTIFS(#REF!,$C164,#REF!,N$1))&gt;=1,"SIM","")</f>
        <v>#REF!</v>
      </c>
      <c r="O164" s="5"/>
      <c r="P164" s="5" t="e">
        <f>IF((COUNTIFS(#REF!,$C164,#REF!,P$1))&gt;=1,"SIM","")</f>
        <v>#REF!</v>
      </c>
      <c r="Q164" s="5" t="e">
        <f>IF((COUNTIFS(#REF!,$C164,#REF!,Q$1))&gt;=1,"SIM","")</f>
        <v>#REF!</v>
      </c>
      <c r="R164" s="5" t="e">
        <f>IF((COUNTIFS(#REF!,$C164,#REF!,"*CARTA*"))&gt;=1,"SIM","")</f>
        <v>#REF!</v>
      </c>
      <c r="S164" s="5" t="e">
        <f>IF((COUNTIFS(#REF!,$C164,#REF!,"*CARTA NOTIFICAÇÃO/DEVOL*"))&gt;=1,"SIM","")</f>
        <v>#REF!</v>
      </c>
      <c r="T164" s="5" t="e">
        <f>IF((COUNTIFS(#REF!,$C164,#REF!,"*LIGAÇÃO ATIVA DEV PRIN/LOC*"))&gt;=1,"SIM","")</f>
        <v>#REF!</v>
      </c>
    </row>
    <row r="165" spans="1:20">
      <c r="A165" s="24" t="s">
        <v>2153</v>
      </c>
      <c r="B165" s="24" t="s">
        <v>948</v>
      </c>
      <c r="C165" s="24" t="s">
        <v>949</v>
      </c>
      <c r="D165" s="5" t="e">
        <f>IF((COUNTIFS(#REF!,$C165,#REF!,"*163*"))&gt;=1,"SIM","")</f>
        <v>#REF!</v>
      </c>
      <c r="E165" s="5" t="e">
        <f>IF((COUNTIFS(#REF!,$C165,#REF!,E$1))&gt;=1,"SIM","")</f>
        <v>#REF!</v>
      </c>
      <c r="F165" s="5" t="e">
        <f>IF((COUNTIFS(#REF!,$C165,#REF!,F$1))&gt;=1,"SIM","")</f>
        <v>#REF!</v>
      </c>
      <c r="G165" s="5" t="e">
        <f>IF((COUNTIFS(#REF!,$C165,#REF!,"*606*"))&gt;=1,"SIM","")</f>
        <v>#REF!</v>
      </c>
      <c r="H165" s="5" t="e">
        <f>IF((COUNTIFS(#REF!,$C165,#REF!,"*605*"))&gt;=1,"SIM","")</f>
        <v>#REF!</v>
      </c>
      <c r="I165" s="5" t="e">
        <f>IF((COUNTIFS(#REF!,$C165,#REF!,I$1))&gt;=1,"SIM","")</f>
        <v>#REF!</v>
      </c>
      <c r="J165" s="5" t="e">
        <f>IF((COUNTIFS(#REF!,$C165,#REF!,J$1))&gt;=1,"SIM","")</f>
        <v>#REF!</v>
      </c>
      <c r="K165" s="5" t="e">
        <f>IF((COUNTIFS(#REF!,$C165,#REF!,K$1))&gt;=1,"SIM","")</f>
        <v>#REF!</v>
      </c>
      <c r="L165" s="5" t="e">
        <f>IF((COUNTIFS(#REF!,$C165,#REF!,L$1))&gt;=1,"SIM","")</f>
        <v>#REF!</v>
      </c>
      <c r="M165" s="5" t="e">
        <f>IF((COUNTIFS(#REF!,$C165,#REF!,M$1))&gt;=1,"SIM","")</f>
        <v>#REF!</v>
      </c>
      <c r="N165" s="5" t="e">
        <f>IF((COUNTIFS(#REF!,$C165,#REF!,N$1))&gt;=1,"SIM","")</f>
        <v>#REF!</v>
      </c>
      <c r="O165" s="5"/>
      <c r="P165" s="5" t="e">
        <f>IF((COUNTIFS(#REF!,$C165,#REF!,P$1))&gt;=1,"SIM","")</f>
        <v>#REF!</v>
      </c>
      <c r="Q165" s="5" t="e">
        <f>IF((COUNTIFS(#REF!,$C165,#REF!,Q$1))&gt;=1,"SIM","")</f>
        <v>#REF!</v>
      </c>
      <c r="R165" s="5" t="e">
        <f>IF((COUNTIFS(#REF!,$C165,#REF!,"*CARTA*"))&gt;=1,"SIM","")</f>
        <v>#REF!</v>
      </c>
      <c r="S165" s="5" t="e">
        <f>IF((COUNTIFS(#REF!,$C165,#REF!,"*CARTA NOTIFICAÇÃO/DEVOL*"))&gt;=1,"SIM","")</f>
        <v>#REF!</v>
      </c>
      <c r="T165" s="5" t="e">
        <f>IF((COUNTIFS(#REF!,$C165,#REF!,"*LIGAÇÃO ATIVA DEV PRIN/LOC*"))&gt;=1,"SIM","")</f>
        <v>#REF!</v>
      </c>
    </row>
    <row r="166" spans="1:20">
      <c r="A166" s="24" t="s">
        <v>2158</v>
      </c>
      <c r="B166" s="24" t="s">
        <v>1073</v>
      </c>
      <c r="C166" s="24" t="s">
        <v>1074</v>
      </c>
      <c r="D166" s="5" t="e">
        <f>IF((COUNTIFS(#REF!,$C166,#REF!,"*163*"))&gt;=1,"SIM","")</f>
        <v>#REF!</v>
      </c>
      <c r="E166" s="5" t="e">
        <f>IF((COUNTIFS(#REF!,$C166,#REF!,E$1))&gt;=1,"SIM","")</f>
        <v>#REF!</v>
      </c>
      <c r="F166" s="5" t="e">
        <f>IF((COUNTIFS(#REF!,$C166,#REF!,F$1))&gt;=1,"SIM","")</f>
        <v>#REF!</v>
      </c>
      <c r="G166" s="5" t="e">
        <f>IF((COUNTIFS(#REF!,$C166,#REF!,"*606*"))&gt;=1,"SIM","")</f>
        <v>#REF!</v>
      </c>
      <c r="H166" s="5" t="e">
        <f>IF((COUNTIFS(#REF!,$C166,#REF!,"*605*"))&gt;=1,"SIM","")</f>
        <v>#REF!</v>
      </c>
      <c r="I166" s="5" t="e">
        <f>IF((COUNTIFS(#REF!,$C166,#REF!,I$1))&gt;=1,"SIM","")</f>
        <v>#REF!</v>
      </c>
      <c r="J166" s="5" t="e">
        <f>IF((COUNTIFS(#REF!,$C166,#REF!,J$1))&gt;=1,"SIM","")</f>
        <v>#REF!</v>
      </c>
      <c r="K166" s="5" t="e">
        <f>IF((COUNTIFS(#REF!,$C166,#REF!,K$1))&gt;=1,"SIM","")</f>
        <v>#REF!</v>
      </c>
      <c r="L166" s="5" t="e">
        <f>IF((COUNTIFS(#REF!,$C166,#REF!,L$1))&gt;=1,"SIM","")</f>
        <v>#REF!</v>
      </c>
      <c r="M166" s="5" t="e">
        <f>IF((COUNTIFS(#REF!,$C166,#REF!,M$1))&gt;=1,"SIM","")</f>
        <v>#REF!</v>
      </c>
      <c r="N166" s="5" t="e">
        <f>IF((COUNTIFS(#REF!,$C166,#REF!,N$1))&gt;=1,"SIM","")</f>
        <v>#REF!</v>
      </c>
      <c r="O166" s="5"/>
      <c r="P166" s="5" t="e">
        <f>IF((COUNTIFS(#REF!,$C166,#REF!,P$1))&gt;=1,"SIM","")</f>
        <v>#REF!</v>
      </c>
      <c r="Q166" s="5" t="e">
        <f>IF((COUNTIFS(#REF!,$C166,#REF!,Q$1))&gt;=1,"SIM","")</f>
        <v>#REF!</v>
      </c>
      <c r="R166" s="5" t="e">
        <f>IF((COUNTIFS(#REF!,$C166,#REF!,"*CARTA*"))&gt;=1,"SIM","")</f>
        <v>#REF!</v>
      </c>
      <c r="S166" s="5" t="e">
        <f>IF((COUNTIFS(#REF!,$C166,#REF!,"*CARTA NOTIFICAÇÃO/DEVOL*"))&gt;=1,"SIM","")</f>
        <v>#REF!</v>
      </c>
      <c r="T166" s="5" t="e">
        <f>IF((COUNTIFS(#REF!,$C166,#REF!,"*LIGAÇÃO ATIVA DEV PRIN/LOC*"))&gt;=1,"SIM","")</f>
        <v>#REF!</v>
      </c>
    </row>
    <row r="167" spans="1:20">
      <c r="A167" s="24" t="s">
        <v>2153</v>
      </c>
      <c r="B167" s="24" t="s">
        <v>454</v>
      </c>
      <c r="C167" s="24" t="s">
        <v>455</v>
      </c>
      <c r="D167" s="5" t="e">
        <f>IF((COUNTIFS(#REF!,$C167,#REF!,"*163*"))&gt;=1,"SIM","")</f>
        <v>#REF!</v>
      </c>
      <c r="E167" s="5" t="e">
        <f>IF((COUNTIFS(#REF!,$C167,#REF!,E$1))&gt;=1,"SIM","")</f>
        <v>#REF!</v>
      </c>
      <c r="F167" s="5" t="e">
        <f>IF((COUNTIFS(#REF!,$C167,#REF!,F$1))&gt;=1,"SIM","")</f>
        <v>#REF!</v>
      </c>
      <c r="G167" s="5" t="e">
        <f>IF((COUNTIFS(#REF!,$C167,#REF!,"*606*"))&gt;=1,"SIM","")</f>
        <v>#REF!</v>
      </c>
      <c r="H167" s="5" t="e">
        <f>IF((COUNTIFS(#REF!,$C167,#REF!,"*605*"))&gt;=1,"SIM","")</f>
        <v>#REF!</v>
      </c>
      <c r="I167" s="5" t="e">
        <f>IF((COUNTIFS(#REF!,$C167,#REF!,I$1))&gt;=1,"SIM","")</f>
        <v>#REF!</v>
      </c>
      <c r="J167" s="5" t="e">
        <f>IF((COUNTIFS(#REF!,$C167,#REF!,J$1))&gt;=1,"SIM","")</f>
        <v>#REF!</v>
      </c>
      <c r="K167" s="5" t="e">
        <f>IF((COUNTIFS(#REF!,$C167,#REF!,K$1))&gt;=1,"SIM","")</f>
        <v>#REF!</v>
      </c>
      <c r="L167" s="5" t="e">
        <f>IF((COUNTIFS(#REF!,$C167,#REF!,L$1))&gt;=1,"SIM","")</f>
        <v>#REF!</v>
      </c>
      <c r="M167" s="5" t="e">
        <f>IF((COUNTIFS(#REF!,$C167,#REF!,M$1))&gt;=1,"SIM","")</f>
        <v>#REF!</v>
      </c>
      <c r="N167" s="5" t="e">
        <f>IF((COUNTIFS(#REF!,$C167,#REF!,N$1))&gt;=1,"SIM","")</f>
        <v>#REF!</v>
      </c>
      <c r="O167" s="5"/>
      <c r="P167" s="5" t="e">
        <f>IF((COUNTIFS(#REF!,$C167,#REF!,P$1))&gt;=1,"SIM","")</f>
        <v>#REF!</v>
      </c>
      <c r="Q167" s="5" t="e">
        <f>IF((COUNTIFS(#REF!,$C167,#REF!,Q$1))&gt;=1,"SIM","")</f>
        <v>#REF!</v>
      </c>
      <c r="R167" s="5" t="e">
        <f>IF((COUNTIFS(#REF!,$C167,#REF!,"*CARTA*"))&gt;=1,"SIM","")</f>
        <v>#REF!</v>
      </c>
      <c r="S167" s="5" t="e">
        <f>IF((COUNTIFS(#REF!,$C167,#REF!,"*CARTA NOTIFICAÇÃO/DEVOL*"))&gt;=1,"SIM","")</f>
        <v>#REF!</v>
      </c>
      <c r="T167" s="5" t="e">
        <f>IF((COUNTIFS(#REF!,$C167,#REF!,"*LIGAÇÃO ATIVA DEV PRIN/LOC*"))&gt;=1,"SIM","")</f>
        <v>#REF!</v>
      </c>
    </row>
    <row r="168" spans="1:20">
      <c r="A168" s="24" t="s">
        <v>2153</v>
      </c>
      <c r="B168" s="24" t="s">
        <v>1120</v>
      </c>
      <c r="C168" s="24" t="s">
        <v>1121</v>
      </c>
      <c r="D168" s="5" t="e">
        <f>IF((COUNTIFS(#REF!,$C168,#REF!,"*163*"))&gt;=1,"SIM","")</f>
        <v>#REF!</v>
      </c>
      <c r="E168" s="5" t="e">
        <f>IF((COUNTIFS(#REF!,$C168,#REF!,E$1))&gt;=1,"SIM","")</f>
        <v>#REF!</v>
      </c>
      <c r="F168" s="5" t="e">
        <f>IF((COUNTIFS(#REF!,$C168,#REF!,F$1))&gt;=1,"SIM","")</f>
        <v>#REF!</v>
      </c>
      <c r="G168" s="5" t="e">
        <f>IF((COUNTIFS(#REF!,$C168,#REF!,"*606*"))&gt;=1,"SIM","")</f>
        <v>#REF!</v>
      </c>
      <c r="H168" s="5" t="e">
        <f>IF((COUNTIFS(#REF!,$C168,#REF!,"*605*"))&gt;=1,"SIM","")</f>
        <v>#REF!</v>
      </c>
      <c r="I168" s="5" t="e">
        <f>IF((COUNTIFS(#REF!,$C168,#REF!,I$1))&gt;=1,"SIM","")</f>
        <v>#REF!</v>
      </c>
      <c r="J168" s="5" t="e">
        <f>IF((COUNTIFS(#REF!,$C168,#REF!,J$1))&gt;=1,"SIM","")</f>
        <v>#REF!</v>
      </c>
      <c r="K168" s="5" t="e">
        <f>IF((COUNTIFS(#REF!,$C168,#REF!,K$1))&gt;=1,"SIM","")</f>
        <v>#REF!</v>
      </c>
      <c r="L168" s="5" t="e">
        <f>IF((COUNTIFS(#REF!,$C168,#REF!,L$1))&gt;=1,"SIM","")</f>
        <v>#REF!</v>
      </c>
      <c r="M168" s="5" t="e">
        <f>IF((COUNTIFS(#REF!,$C168,#REF!,M$1))&gt;=1,"SIM","")</f>
        <v>#REF!</v>
      </c>
      <c r="N168" s="5" t="e">
        <f>IF((COUNTIFS(#REF!,$C168,#REF!,N$1))&gt;=1,"SIM","")</f>
        <v>#REF!</v>
      </c>
      <c r="O168" s="5"/>
      <c r="P168" s="5" t="e">
        <f>IF((COUNTIFS(#REF!,$C168,#REF!,P$1))&gt;=1,"SIM","")</f>
        <v>#REF!</v>
      </c>
      <c r="Q168" s="5" t="e">
        <f>IF((COUNTIFS(#REF!,$C168,#REF!,Q$1))&gt;=1,"SIM","")</f>
        <v>#REF!</v>
      </c>
      <c r="R168" s="5" t="e">
        <f>IF((COUNTIFS(#REF!,$C168,#REF!,"*CARTA*"))&gt;=1,"SIM","")</f>
        <v>#REF!</v>
      </c>
      <c r="S168" s="5" t="e">
        <f>IF((COUNTIFS(#REF!,$C168,#REF!,"*CARTA NOTIFICAÇÃO/DEVOL*"))&gt;=1,"SIM","")</f>
        <v>#REF!</v>
      </c>
      <c r="T168" s="5" t="e">
        <f>IF((COUNTIFS(#REF!,$C168,#REF!,"*LIGAÇÃO ATIVA DEV PRIN/LOC*"))&gt;=1,"SIM","")</f>
        <v>#REF!</v>
      </c>
    </row>
    <row r="169" spans="1:20">
      <c r="A169" s="24" t="s">
        <v>2153</v>
      </c>
      <c r="B169" s="24" t="s">
        <v>350</v>
      </c>
      <c r="C169" s="24" t="s">
        <v>351</v>
      </c>
      <c r="D169" s="5" t="e">
        <f>IF((COUNTIFS(#REF!,$C169,#REF!,"*163*"))&gt;=1,"SIM","")</f>
        <v>#REF!</v>
      </c>
      <c r="E169" s="5" t="e">
        <f>IF((COUNTIFS(#REF!,$C169,#REF!,E$1))&gt;=1,"SIM","")</f>
        <v>#REF!</v>
      </c>
      <c r="F169" s="5" t="e">
        <f>IF((COUNTIFS(#REF!,$C169,#REF!,F$1))&gt;=1,"SIM","")</f>
        <v>#REF!</v>
      </c>
      <c r="G169" s="5" t="e">
        <f>IF((COUNTIFS(#REF!,$C169,#REF!,"*606*"))&gt;=1,"SIM","")</f>
        <v>#REF!</v>
      </c>
      <c r="H169" s="5" t="e">
        <f>IF((COUNTIFS(#REF!,$C169,#REF!,"*605*"))&gt;=1,"SIM","")</f>
        <v>#REF!</v>
      </c>
      <c r="I169" s="5" t="e">
        <f>IF((COUNTIFS(#REF!,$C169,#REF!,I$1))&gt;=1,"SIM","")</f>
        <v>#REF!</v>
      </c>
      <c r="J169" s="5" t="e">
        <f>IF((COUNTIFS(#REF!,$C169,#REF!,J$1))&gt;=1,"SIM","")</f>
        <v>#REF!</v>
      </c>
      <c r="K169" s="5" t="e">
        <f>IF((COUNTIFS(#REF!,$C169,#REF!,K$1))&gt;=1,"SIM","")</f>
        <v>#REF!</v>
      </c>
      <c r="L169" s="5" t="e">
        <f>IF((COUNTIFS(#REF!,$C169,#REF!,L$1))&gt;=1,"SIM","")</f>
        <v>#REF!</v>
      </c>
      <c r="M169" s="5" t="e">
        <f>IF((COUNTIFS(#REF!,$C169,#REF!,M$1))&gt;=1,"SIM","")</f>
        <v>#REF!</v>
      </c>
      <c r="N169" s="5" t="e">
        <f>IF((COUNTIFS(#REF!,$C169,#REF!,N$1))&gt;=1,"SIM","")</f>
        <v>#REF!</v>
      </c>
      <c r="O169" s="5"/>
      <c r="P169" s="5" t="e">
        <f>IF((COUNTIFS(#REF!,$C169,#REF!,P$1))&gt;=1,"SIM","")</f>
        <v>#REF!</v>
      </c>
      <c r="Q169" s="5" t="e">
        <f>IF((COUNTIFS(#REF!,$C169,#REF!,Q$1))&gt;=1,"SIM","")</f>
        <v>#REF!</v>
      </c>
      <c r="R169" s="5" t="e">
        <f>IF((COUNTIFS(#REF!,$C169,#REF!,"*CARTA*"))&gt;=1,"SIM","")</f>
        <v>#REF!</v>
      </c>
      <c r="S169" s="5" t="e">
        <f>IF((COUNTIFS(#REF!,$C169,#REF!,"*CARTA NOTIFICAÇÃO/DEVOL*"))&gt;=1,"SIM","")</f>
        <v>#REF!</v>
      </c>
      <c r="T169" s="5" t="e">
        <f>IF((COUNTIFS(#REF!,$C169,#REF!,"*LIGAÇÃO ATIVA DEV PRIN/LOC*"))&gt;=1,"SIM","")</f>
        <v>#REF!</v>
      </c>
    </row>
    <row r="170" spans="1:20">
      <c r="A170" s="24" t="s">
        <v>2153</v>
      </c>
      <c r="B170" s="24" t="s">
        <v>658</v>
      </c>
      <c r="C170" s="24" t="s">
        <v>659</v>
      </c>
      <c r="D170" s="5" t="e">
        <f>IF((COUNTIFS(#REF!,$C170,#REF!,"*163*"))&gt;=1,"SIM","")</f>
        <v>#REF!</v>
      </c>
      <c r="E170" s="5" t="e">
        <f>IF((COUNTIFS(#REF!,$C170,#REF!,E$1))&gt;=1,"SIM","")</f>
        <v>#REF!</v>
      </c>
      <c r="F170" s="5" t="e">
        <f>IF((COUNTIFS(#REF!,$C170,#REF!,F$1))&gt;=1,"SIM","")</f>
        <v>#REF!</v>
      </c>
      <c r="G170" s="5" t="e">
        <f>IF((COUNTIFS(#REF!,$C170,#REF!,"*606*"))&gt;=1,"SIM","")</f>
        <v>#REF!</v>
      </c>
      <c r="H170" s="5" t="e">
        <f>IF((COUNTIFS(#REF!,$C170,#REF!,"*605*"))&gt;=1,"SIM","")</f>
        <v>#REF!</v>
      </c>
      <c r="I170" s="5" t="e">
        <f>IF((COUNTIFS(#REF!,$C170,#REF!,I$1))&gt;=1,"SIM","")</f>
        <v>#REF!</v>
      </c>
      <c r="J170" s="5" t="e">
        <f>IF((COUNTIFS(#REF!,$C170,#REF!,J$1))&gt;=1,"SIM","")</f>
        <v>#REF!</v>
      </c>
      <c r="K170" s="5" t="e">
        <f>IF((COUNTIFS(#REF!,$C170,#REF!,K$1))&gt;=1,"SIM","")</f>
        <v>#REF!</v>
      </c>
      <c r="L170" s="5" t="e">
        <f>IF((COUNTIFS(#REF!,$C170,#REF!,L$1))&gt;=1,"SIM","")</f>
        <v>#REF!</v>
      </c>
      <c r="M170" s="5" t="e">
        <f>IF((COUNTIFS(#REF!,$C170,#REF!,M$1))&gt;=1,"SIM","")</f>
        <v>#REF!</v>
      </c>
      <c r="N170" s="5" t="e">
        <f>IF((COUNTIFS(#REF!,$C170,#REF!,N$1))&gt;=1,"SIM","")</f>
        <v>#REF!</v>
      </c>
      <c r="O170" s="5"/>
      <c r="P170" s="5" t="e">
        <f>IF((COUNTIFS(#REF!,$C170,#REF!,P$1))&gt;=1,"SIM","")</f>
        <v>#REF!</v>
      </c>
      <c r="Q170" s="5" t="e">
        <f>IF((COUNTIFS(#REF!,$C170,#REF!,Q$1))&gt;=1,"SIM","")</f>
        <v>#REF!</v>
      </c>
      <c r="R170" s="5" t="e">
        <f>IF((COUNTIFS(#REF!,$C170,#REF!,"*CARTA*"))&gt;=1,"SIM","")</f>
        <v>#REF!</v>
      </c>
      <c r="S170" s="5" t="e">
        <f>IF((COUNTIFS(#REF!,$C170,#REF!,"*CARTA NOTIFICAÇÃO/DEVOL*"))&gt;=1,"SIM","")</f>
        <v>#REF!</v>
      </c>
      <c r="T170" s="5" t="e">
        <f>IF((COUNTIFS(#REF!,$C170,#REF!,"*LIGAÇÃO ATIVA DEV PRIN/LOC*"))&gt;=1,"SIM","")</f>
        <v>#REF!</v>
      </c>
    </row>
    <row r="171" spans="1:20">
      <c r="A171" s="24" t="s">
        <v>2159</v>
      </c>
      <c r="B171" s="24" t="s">
        <v>1820</v>
      </c>
      <c r="C171" s="24" t="s">
        <v>1821</v>
      </c>
      <c r="D171" s="5" t="e">
        <f>IF((COUNTIFS(#REF!,$C171,#REF!,"*163*"))&gt;=1,"SIM","")</f>
        <v>#REF!</v>
      </c>
      <c r="E171" s="5" t="e">
        <f>IF((COUNTIFS(#REF!,$C171,#REF!,E$1))&gt;=1,"SIM","")</f>
        <v>#REF!</v>
      </c>
      <c r="F171" s="5" t="e">
        <f>IF((COUNTIFS(#REF!,$C171,#REF!,F$1))&gt;=1,"SIM","")</f>
        <v>#REF!</v>
      </c>
      <c r="G171" s="5" t="e">
        <f>IF((COUNTIFS(#REF!,$C171,#REF!,"*606*"))&gt;=1,"SIM","")</f>
        <v>#REF!</v>
      </c>
      <c r="H171" s="5" t="e">
        <f>IF((COUNTIFS(#REF!,$C171,#REF!,"*605*"))&gt;=1,"SIM","")</f>
        <v>#REF!</v>
      </c>
      <c r="I171" s="5" t="e">
        <f>IF((COUNTIFS(#REF!,$C171,#REF!,I$1))&gt;=1,"SIM","")</f>
        <v>#REF!</v>
      </c>
      <c r="J171" s="5" t="e">
        <f>IF((COUNTIFS(#REF!,$C171,#REF!,J$1))&gt;=1,"SIM","")</f>
        <v>#REF!</v>
      </c>
      <c r="K171" s="5" t="e">
        <f>IF((COUNTIFS(#REF!,$C171,#REF!,K$1))&gt;=1,"SIM","")</f>
        <v>#REF!</v>
      </c>
      <c r="L171" s="5" t="e">
        <f>IF((COUNTIFS(#REF!,$C171,#REF!,L$1))&gt;=1,"SIM","")</f>
        <v>#REF!</v>
      </c>
      <c r="M171" s="5" t="e">
        <f>IF((COUNTIFS(#REF!,$C171,#REF!,M$1))&gt;=1,"SIM","")</f>
        <v>#REF!</v>
      </c>
      <c r="N171" s="5" t="e">
        <f>IF((COUNTIFS(#REF!,$C171,#REF!,N$1))&gt;=1,"SIM","")</f>
        <v>#REF!</v>
      </c>
      <c r="O171" s="5"/>
      <c r="P171" s="5" t="e">
        <f>IF((COUNTIFS(#REF!,$C171,#REF!,P$1))&gt;=1,"SIM","")</f>
        <v>#REF!</v>
      </c>
      <c r="Q171" s="5" t="e">
        <f>IF((COUNTIFS(#REF!,$C171,#REF!,Q$1))&gt;=1,"SIM","")</f>
        <v>#REF!</v>
      </c>
      <c r="R171" s="5" t="e">
        <f>IF((COUNTIFS(#REF!,$C171,#REF!,"*CARTA*"))&gt;=1,"SIM","")</f>
        <v>#REF!</v>
      </c>
      <c r="S171" s="5" t="e">
        <f>IF((COUNTIFS(#REF!,$C171,#REF!,"*CARTA NOTIFICAÇÃO/DEVOL*"))&gt;=1,"SIM","")</f>
        <v>#REF!</v>
      </c>
      <c r="T171" s="5" t="e">
        <f>IF((COUNTIFS(#REF!,$C171,#REF!,"*LIGAÇÃO ATIVA DEV PRIN/LOC*"))&gt;=1,"SIM","")</f>
        <v>#REF!</v>
      </c>
    </row>
    <row r="172" spans="1:20">
      <c r="A172" s="24" t="s">
        <v>2159</v>
      </c>
      <c r="B172" s="24" t="s">
        <v>1018</v>
      </c>
      <c r="C172" s="24" t="s">
        <v>1019</v>
      </c>
      <c r="D172" s="5" t="e">
        <f>IF((COUNTIFS(#REF!,$C172,#REF!,"*163*"))&gt;=1,"SIM","")</f>
        <v>#REF!</v>
      </c>
      <c r="E172" s="5" t="e">
        <f>IF((COUNTIFS(#REF!,$C172,#REF!,E$1))&gt;=1,"SIM","")</f>
        <v>#REF!</v>
      </c>
      <c r="F172" s="5" t="e">
        <f>IF((COUNTIFS(#REF!,$C172,#REF!,F$1))&gt;=1,"SIM","")</f>
        <v>#REF!</v>
      </c>
      <c r="G172" s="5" t="e">
        <f>IF((COUNTIFS(#REF!,$C172,#REF!,"*606*"))&gt;=1,"SIM","")</f>
        <v>#REF!</v>
      </c>
      <c r="H172" s="5" t="e">
        <f>IF((COUNTIFS(#REF!,$C172,#REF!,"*605*"))&gt;=1,"SIM","")</f>
        <v>#REF!</v>
      </c>
      <c r="I172" s="5" t="e">
        <f>IF((COUNTIFS(#REF!,$C172,#REF!,I$1))&gt;=1,"SIM","")</f>
        <v>#REF!</v>
      </c>
      <c r="J172" s="5" t="e">
        <f>IF((COUNTIFS(#REF!,$C172,#REF!,J$1))&gt;=1,"SIM","")</f>
        <v>#REF!</v>
      </c>
      <c r="K172" s="5" t="e">
        <f>IF((COUNTIFS(#REF!,$C172,#REF!,K$1))&gt;=1,"SIM","")</f>
        <v>#REF!</v>
      </c>
      <c r="L172" s="5" t="e">
        <f>IF((COUNTIFS(#REF!,$C172,#REF!,L$1))&gt;=1,"SIM","")</f>
        <v>#REF!</v>
      </c>
      <c r="M172" s="5" t="e">
        <f>IF((COUNTIFS(#REF!,$C172,#REF!,M$1))&gt;=1,"SIM","")</f>
        <v>#REF!</v>
      </c>
      <c r="N172" s="5" t="e">
        <f>IF((COUNTIFS(#REF!,$C172,#REF!,N$1))&gt;=1,"SIM","")</f>
        <v>#REF!</v>
      </c>
      <c r="O172" s="5"/>
      <c r="P172" s="5" t="e">
        <f>IF((COUNTIFS(#REF!,$C172,#REF!,P$1))&gt;=1,"SIM","")</f>
        <v>#REF!</v>
      </c>
      <c r="Q172" s="5" t="e">
        <f>IF((COUNTIFS(#REF!,$C172,#REF!,Q$1))&gt;=1,"SIM","")</f>
        <v>#REF!</v>
      </c>
      <c r="R172" s="5" t="e">
        <f>IF((COUNTIFS(#REF!,$C172,#REF!,"*CARTA*"))&gt;=1,"SIM","")</f>
        <v>#REF!</v>
      </c>
      <c r="S172" s="5" t="e">
        <f>IF((COUNTIFS(#REF!,$C172,#REF!,"*CARTA NOTIFICAÇÃO/DEVOL*"))&gt;=1,"SIM","")</f>
        <v>#REF!</v>
      </c>
      <c r="T172" s="5" t="e">
        <f>IF((COUNTIFS(#REF!,$C172,#REF!,"*LIGAÇÃO ATIVA DEV PRIN/LOC*"))&gt;=1,"SIM","")</f>
        <v>#REF!</v>
      </c>
    </row>
    <row r="173" spans="1:20">
      <c r="A173" s="24" t="s">
        <v>2157</v>
      </c>
      <c r="B173" s="24" t="s">
        <v>1750</v>
      </c>
      <c r="C173" s="24" t="s">
        <v>1839</v>
      </c>
      <c r="D173" s="5" t="e">
        <f>IF((COUNTIFS(#REF!,$C173,#REF!,"*163*"))&gt;=1,"SIM","")</f>
        <v>#REF!</v>
      </c>
      <c r="E173" s="5" t="e">
        <f>IF((COUNTIFS(#REF!,$C173,#REF!,E$1))&gt;=1,"SIM","")</f>
        <v>#REF!</v>
      </c>
      <c r="F173" s="5" t="e">
        <f>IF((COUNTIFS(#REF!,$C173,#REF!,F$1))&gt;=1,"SIM","")</f>
        <v>#REF!</v>
      </c>
      <c r="G173" s="5" t="e">
        <f>IF((COUNTIFS(#REF!,$C173,#REF!,"*606*"))&gt;=1,"SIM","")</f>
        <v>#REF!</v>
      </c>
      <c r="H173" s="5" t="e">
        <f>IF((COUNTIFS(#REF!,$C173,#REF!,"*605*"))&gt;=1,"SIM","")</f>
        <v>#REF!</v>
      </c>
      <c r="I173" s="5" t="e">
        <f>IF((COUNTIFS(#REF!,$C173,#REF!,I$1))&gt;=1,"SIM","")</f>
        <v>#REF!</v>
      </c>
      <c r="J173" s="5" t="e">
        <f>IF((COUNTIFS(#REF!,$C173,#REF!,J$1))&gt;=1,"SIM","")</f>
        <v>#REF!</v>
      </c>
      <c r="K173" s="5" t="e">
        <f>IF((COUNTIFS(#REF!,$C173,#REF!,K$1))&gt;=1,"SIM","")</f>
        <v>#REF!</v>
      </c>
      <c r="L173" s="5" t="e">
        <f>IF((COUNTIFS(#REF!,$C173,#REF!,L$1))&gt;=1,"SIM","")</f>
        <v>#REF!</v>
      </c>
      <c r="M173" s="5" t="e">
        <f>IF((COUNTIFS(#REF!,$C173,#REF!,M$1))&gt;=1,"SIM","")</f>
        <v>#REF!</v>
      </c>
      <c r="N173" s="5" t="e">
        <f>IF((COUNTIFS(#REF!,$C173,#REF!,N$1))&gt;=1,"SIM","")</f>
        <v>#REF!</v>
      </c>
      <c r="O173" s="5"/>
      <c r="P173" s="5" t="e">
        <f>IF((COUNTIFS(#REF!,$C173,#REF!,P$1))&gt;=1,"SIM","")</f>
        <v>#REF!</v>
      </c>
      <c r="Q173" s="5" t="e">
        <f>IF((COUNTIFS(#REF!,$C173,#REF!,Q$1))&gt;=1,"SIM","")</f>
        <v>#REF!</v>
      </c>
      <c r="R173" s="5" t="e">
        <f>IF((COUNTIFS(#REF!,$C173,#REF!,"*CARTA*"))&gt;=1,"SIM","")</f>
        <v>#REF!</v>
      </c>
      <c r="S173" s="5" t="e">
        <f>IF((COUNTIFS(#REF!,$C173,#REF!,"*CARTA NOTIFICAÇÃO/DEVOL*"))&gt;=1,"SIM","")</f>
        <v>#REF!</v>
      </c>
      <c r="T173" s="5" t="e">
        <f>IF((COUNTIFS(#REF!,$C173,#REF!,"*LIGAÇÃO ATIVA DEV PRIN/LOC*"))&gt;=1,"SIM","")</f>
        <v>#REF!</v>
      </c>
    </row>
    <row r="174" spans="1:20">
      <c r="A174" s="24" t="s">
        <v>2153</v>
      </c>
      <c r="B174" s="24" t="s">
        <v>834</v>
      </c>
      <c r="C174" s="24" t="s">
        <v>835</v>
      </c>
      <c r="D174" s="5" t="e">
        <f>IF((COUNTIFS(#REF!,$C174,#REF!,"*163*"))&gt;=1,"SIM","")</f>
        <v>#REF!</v>
      </c>
      <c r="E174" s="5" t="e">
        <f>IF((COUNTIFS(#REF!,$C174,#REF!,E$1))&gt;=1,"SIM","")</f>
        <v>#REF!</v>
      </c>
      <c r="F174" s="5" t="e">
        <f>IF((COUNTIFS(#REF!,$C174,#REF!,F$1))&gt;=1,"SIM","")</f>
        <v>#REF!</v>
      </c>
      <c r="G174" s="5" t="e">
        <f>IF((COUNTIFS(#REF!,$C174,#REF!,"*606*"))&gt;=1,"SIM","")</f>
        <v>#REF!</v>
      </c>
      <c r="H174" s="5" t="e">
        <f>IF((COUNTIFS(#REF!,$C174,#REF!,"*605*"))&gt;=1,"SIM","")</f>
        <v>#REF!</v>
      </c>
      <c r="I174" s="5" t="e">
        <f>IF((COUNTIFS(#REF!,$C174,#REF!,I$1))&gt;=1,"SIM","")</f>
        <v>#REF!</v>
      </c>
      <c r="J174" s="5" t="e">
        <f>IF((COUNTIFS(#REF!,$C174,#REF!,J$1))&gt;=1,"SIM","")</f>
        <v>#REF!</v>
      </c>
      <c r="K174" s="5" t="e">
        <f>IF((COUNTIFS(#REF!,$C174,#REF!,K$1))&gt;=1,"SIM","")</f>
        <v>#REF!</v>
      </c>
      <c r="L174" s="5" t="e">
        <f>IF((COUNTIFS(#REF!,$C174,#REF!,L$1))&gt;=1,"SIM","")</f>
        <v>#REF!</v>
      </c>
      <c r="M174" s="5" t="e">
        <f>IF((COUNTIFS(#REF!,$C174,#REF!,M$1))&gt;=1,"SIM","")</f>
        <v>#REF!</v>
      </c>
      <c r="N174" s="5" t="e">
        <f>IF((COUNTIFS(#REF!,$C174,#REF!,N$1))&gt;=1,"SIM","")</f>
        <v>#REF!</v>
      </c>
      <c r="O174" s="5"/>
      <c r="P174" s="5" t="e">
        <f>IF((COUNTIFS(#REF!,$C174,#REF!,P$1))&gt;=1,"SIM","")</f>
        <v>#REF!</v>
      </c>
      <c r="Q174" s="5" t="e">
        <f>IF((COUNTIFS(#REF!,$C174,#REF!,Q$1))&gt;=1,"SIM","")</f>
        <v>#REF!</v>
      </c>
      <c r="R174" s="5" t="e">
        <f>IF((COUNTIFS(#REF!,$C174,#REF!,"*CARTA*"))&gt;=1,"SIM","")</f>
        <v>#REF!</v>
      </c>
      <c r="S174" s="5" t="e">
        <f>IF((COUNTIFS(#REF!,$C174,#REF!,"*CARTA NOTIFICAÇÃO/DEVOL*"))&gt;=1,"SIM","")</f>
        <v>#REF!</v>
      </c>
      <c r="T174" s="5" t="e">
        <f>IF((COUNTIFS(#REF!,$C174,#REF!,"*LIGAÇÃO ATIVA DEV PRIN/LOC*"))&gt;=1,"SIM","")</f>
        <v>#REF!</v>
      </c>
    </row>
    <row r="175" spans="1:20">
      <c r="A175" s="24" t="s">
        <v>2159</v>
      </c>
      <c r="B175" s="24" t="s">
        <v>828</v>
      </c>
      <c r="C175" s="24" t="s">
        <v>829</v>
      </c>
      <c r="D175" s="5" t="e">
        <f>IF((COUNTIFS(#REF!,$C175,#REF!,"*163*"))&gt;=1,"SIM","")</f>
        <v>#REF!</v>
      </c>
      <c r="E175" s="5" t="e">
        <f>IF((COUNTIFS(#REF!,$C175,#REF!,E$1))&gt;=1,"SIM","")</f>
        <v>#REF!</v>
      </c>
      <c r="F175" s="5" t="e">
        <f>IF((COUNTIFS(#REF!,$C175,#REF!,F$1))&gt;=1,"SIM","")</f>
        <v>#REF!</v>
      </c>
      <c r="G175" s="5" t="e">
        <f>IF((COUNTIFS(#REF!,$C175,#REF!,"*606*"))&gt;=1,"SIM","")</f>
        <v>#REF!</v>
      </c>
      <c r="H175" s="5" t="e">
        <f>IF((COUNTIFS(#REF!,$C175,#REF!,"*605*"))&gt;=1,"SIM","")</f>
        <v>#REF!</v>
      </c>
      <c r="I175" s="5" t="e">
        <f>IF((COUNTIFS(#REF!,$C175,#REF!,I$1))&gt;=1,"SIM","")</f>
        <v>#REF!</v>
      </c>
      <c r="J175" s="5" t="e">
        <f>IF((COUNTIFS(#REF!,$C175,#REF!,J$1))&gt;=1,"SIM","")</f>
        <v>#REF!</v>
      </c>
      <c r="K175" s="5" t="e">
        <f>IF((COUNTIFS(#REF!,$C175,#REF!,K$1))&gt;=1,"SIM","")</f>
        <v>#REF!</v>
      </c>
      <c r="L175" s="5" t="e">
        <f>IF((COUNTIFS(#REF!,$C175,#REF!,L$1))&gt;=1,"SIM","")</f>
        <v>#REF!</v>
      </c>
      <c r="M175" s="5" t="e">
        <f>IF((COUNTIFS(#REF!,$C175,#REF!,M$1))&gt;=1,"SIM","")</f>
        <v>#REF!</v>
      </c>
      <c r="N175" s="5" t="e">
        <f>IF((COUNTIFS(#REF!,$C175,#REF!,N$1))&gt;=1,"SIM","")</f>
        <v>#REF!</v>
      </c>
      <c r="O175" s="5"/>
      <c r="P175" s="5" t="e">
        <f>IF((COUNTIFS(#REF!,$C175,#REF!,P$1))&gt;=1,"SIM","")</f>
        <v>#REF!</v>
      </c>
      <c r="Q175" s="5" t="e">
        <f>IF((COUNTIFS(#REF!,$C175,#REF!,Q$1))&gt;=1,"SIM","")</f>
        <v>#REF!</v>
      </c>
      <c r="R175" s="5" t="e">
        <f>IF((COUNTIFS(#REF!,$C175,#REF!,"*CARTA*"))&gt;=1,"SIM","")</f>
        <v>#REF!</v>
      </c>
      <c r="S175" s="5" t="e">
        <f>IF((COUNTIFS(#REF!,$C175,#REF!,"*CARTA NOTIFICAÇÃO/DEVOL*"))&gt;=1,"SIM","")</f>
        <v>#REF!</v>
      </c>
      <c r="T175" s="5" t="e">
        <f>IF((COUNTIFS(#REF!,$C175,#REF!,"*LIGAÇÃO ATIVA DEV PRIN/LOC*"))&gt;=1,"SIM","")</f>
        <v>#REF!</v>
      </c>
    </row>
    <row r="176" spans="1:20">
      <c r="A176" s="24" t="s">
        <v>2153</v>
      </c>
      <c r="B176" s="24" t="s">
        <v>236</v>
      </c>
      <c r="C176" s="24" t="s">
        <v>237</v>
      </c>
      <c r="D176" s="5" t="e">
        <f>IF((COUNTIFS(#REF!,$C176,#REF!,"*163*"))&gt;=1,"SIM","")</f>
        <v>#REF!</v>
      </c>
      <c r="E176" s="5" t="e">
        <f>IF((COUNTIFS(#REF!,$C176,#REF!,E$1))&gt;=1,"SIM","")</f>
        <v>#REF!</v>
      </c>
      <c r="F176" s="5" t="e">
        <f>IF((COUNTIFS(#REF!,$C176,#REF!,F$1))&gt;=1,"SIM","")</f>
        <v>#REF!</v>
      </c>
      <c r="G176" s="5" t="e">
        <f>IF((COUNTIFS(#REF!,$C176,#REF!,"*606*"))&gt;=1,"SIM","")</f>
        <v>#REF!</v>
      </c>
      <c r="H176" s="5" t="e">
        <f>IF((COUNTIFS(#REF!,$C176,#REF!,"*605*"))&gt;=1,"SIM","")</f>
        <v>#REF!</v>
      </c>
      <c r="I176" s="5" t="e">
        <f>IF((COUNTIFS(#REF!,$C176,#REF!,I$1))&gt;=1,"SIM","")</f>
        <v>#REF!</v>
      </c>
      <c r="J176" s="5" t="e">
        <f>IF((COUNTIFS(#REF!,$C176,#REF!,J$1))&gt;=1,"SIM","")</f>
        <v>#REF!</v>
      </c>
      <c r="K176" s="5" t="e">
        <f>IF((COUNTIFS(#REF!,$C176,#REF!,K$1))&gt;=1,"SIM","")</f>
        <v>#REF!</v>
      </c>
      <c r="L176" s="5" t="e">
        <f>IF((COUNTIFS(#REF!,$C176,#REF!,L$1))&gt;=1,"SIM","")</f>
        <v>#REF!</v>
      </c>
      <c r="M176" s="5" t="e">
        <f>IF((COUNTIFS(#REF!,$C176,#REF!,M$1))&gt;=1,"SIM","")</f>
        <v>#REF!</v>
      </c>
      <c r="N176" s="5" t="e">
        <f>IF((COUNTIFS(#REF!,$C176,#REF!,N$1))&gt;=1,"SIM","")</f>
        <v>#REF!</v>
      </c>
      <c r="O176" s="5"/>
      <c r="P176" s="5" t="e">
        <f>IF((COUNTIFS(#REF!,$C176,#REF!,P$1))&gt;=1,"SIM","")</f>
        <v>#REF!</v>
      </c>
      <c r="Q176" s="5" t="e">
        <f>IF((COUNTIFS(#REF!,$C176,#REF!,Q$1))&gt;=1,"SIM","")</f>
        <v>#REF!</v>
      </c>
      <c r="R176" s="5" t="e">
        <f>IF((COUNTIFS(#REF!,$C176,#REF!,"*CARTA*"))&gt;=1,"SIM","")</f>
        <v>#REF!</v>
      </c>
      <c r="S176" s="5" t="e">
        <f>IF((COUNTIFS(#REF!,$C176,#REF!,"*CARTA NOTIFICAÇÃO/DEVOL*"))&gt;=1,"SIM","")</f>
        <v>#REF!</v>
      </c>
      <c r="T176" s="5" t="e">
        <f>IF((COUNTIFS(#REF!,$C176,#REF!,"*LIGAÇÃO ATIVA DEV PRIN/LOC*"))&gt;=1,"SIM","")</f>
        <v>#REF!</v>
      </c>
    </row>
    <row r="177" spans="1:20">
      <c r="A177" s="24" t="s">
        <v>2154</v>
      </c>
      <c r="B177" s="24" t="s">
        <v>38</v>
      </c>
      <c r="C177" s="24" t="s">
        <v>39</v>
      </c>
      <c r="D177" s="5" t="e">
        <f>IF((COUNTIFS(#REF!,$C177,#REF!,"*163*"))&gt;=1,"SIM","")</f>
        <v>#REF!</v>
      </c>
      <c r="E177" s="5" t="e">
        <f>IF((COUNTIFS(#REF!,$C177,#REF!,E$1))&gt;=1,"SIM","")</f>
        <v>#REF!</v>
      </c>
      <c r="F177" s="5" t="e">
        <f>IF((COUNTIFS(#REF!,$C177,#REF!,F$1))&gt;=1,"SIM","")</f>
        <v>#REF!</v>
      </c>
      <c r="G177" s="5" t="e">
        <f>IF((COUNTIFS(#REF!,$C177,#REF!,"*606*"))&gt;=1,"SIM","")</f>
        <v>#REF!</v>
      </c>
      <c r="H177" s="5" t="e">
        <f>IF((COUNTIFS(#REF!,$C177,#REF!,"*605*"))&gt;=1,"SIM","")</f>
        <v>#REF!</v>
      </c>
      <c r="I177" s="5" t="e">
        <f>IF((COUNTIFS(#REF!,$C177,#REF!,I$1))&gt;=1,"SIM","")</f>
        <v>#REF!</v>
      </c>
      <c r="J177" s="5" t="e">
        <f>IF((COUNTIFS(#REF!,$C177,#REF!,J$1))&gt;=1,"SIM","")</f>
        <v>#REF!</v>
      </c>
      <c r="K177" s="5" t="e">
        <f>IF((COUNTIFS(#REF!,$C177,#REF!,K$1))&gt;=1,"SIM","")</f>
        <v>#REF!</v>
      </c>
      <c r="L177" s="5" t="e">
        <f>IF((COUNTIFS(#REF!,$C177,#REF!,L$1))&gt;=1,"SIM","")</f>
        <v>#REF!</v>
      </c>
      <c r="M177" s="5" t="e">
        <f>IF((COUNTIFS(#REF!,$C177,#REF!,M$1))&gt;=1,"SIM","")</f>
        <v>#REF!</v>
      </c>
      <c r="N177" s="5" t="e">
        <f>IF((COUNTIFS(#REF!,$C177,#REF!,N$1))&gt;=1,"SIM","")</f>
        <v>#REF!</v>
      </c>
      <c r="O177" s="5"/>
      <c r="P177" s="5" t="e">
        <f>IF((COUNTIFS(#REF!,$C177,#REF!,P$1))&gt;=1,"SIM","")</f>
        <v>#REF!</v>
      </c>
      <c r="Q177" s="5" t="e">
        <f>IF((COUNTIFS(#REF!,$C177,#REF!,Q$1))&gt;=1,"SIM","")</f>
        <v>#REF!</v>
      </c>
      <c r="R177" s="5" t="e">
        <f>IF((COUNTIFS(#REF!,$C177,#REF!,"*CARTA*"))&gt;=1,"SIM","")</f>
        <v>#REF!</v>
      </c>
      <c r="S177" s="5" t="e">
        <f>IF((COUNTIFS(#REF!,$C177,#REF!,"*CARTA NOTIFICAÇÃO/DEVOL*"))&gt;=1,"SIM","")</f>
        <v>#REF!</v>
      </c>
      <c r="T177" s="5" t="e">
        <f>IF((COUNTIFS(#REF!,$C177,#REF!,"*LIGAÇÃO ATIVA DEV PRIN/LOC*"))&gt;=1,"SIM","")</f>
        <v>#REF!</v>
      </c>
    </row>
    <row r="178" spans="1:20">
      <c r="A178" s="24" t="s">
        <v>2159</v>
      </c>
      <c r="B178" s="24" t="s">
        <v>978</v>
      </c>
      <c r="C178" s="24" t="s">
        <v>979</v>
      </c>
      <c r="D178" s="5" t="e">
        <f>IF((COUNTIFS(#REF!,$C178,#REF!,"*163*"))&gt;=1,"SIM","")</f>
        <v>#REF!</v>
      </c>
      <c r="E178" s="5" t="e">
        <f>IF((COUNTIFS(#REF!,$C178,#REF!,E$1))&gt;=1,"SIM","")</f>
        <v>#REF!</v>
      </c>
      <c r="F178" s="5" t="e">
        <f>IF((COUNTIFS(#REF!,$C178,#REF!,F$1))&gt;=1,"SIM","")</f>
        <v>#REF!</v>
      </c>
      <c r="G178" s="5" t="e">
        <f>IF((COUNTIFS(#REF!,$C178,#REF!,"*606*"))&gt;=1,"SIM","")</f>
        <v>#REF!</v>
      </c>
      <c r="H178" s="5" t="e">
        <f>IF((COUNTIFS(#REF!,$C178,#REF!,"*605*"))&gt;=1,"SIM","")</f>
        <v>#REF!</v>
      </c>
      <c r="I178" s="5" t="e">
        <f>IF((COUNTIFS(#REF!,$C178,#REF!,I$1))&gt;=1,"SIM","")</f>
        <v>#REF!</v>
      </c>
      <c r="J178" s="5" t="e">
        <f>IF((COUNTIFS(#REF!,$C178,#REF!,J$1))&gt;=1,"SIM","")</f>
        <v>#REF!</v>
      </c>
      <c r="K178" s="5" t="e">
        <f>IF((COUNTIFS(#REF!,$C178,#REF!,K$1))&gt;=1,"SIM","")</f>
        <v>#REF!</v>
      </c>
      <c r="L178" s="5" t="e">
        <f>IF((COUNTIFS(#REF!,$C178,#REF!,L$1))&gt;=1,"SIM","")</f>
        <v>#REF!</v>
      </c>
      <c r="M178" s="5" t="e">
        <f>IF((COUNTIFS(#REF!,$C178,#REF!,M$1))&gt;=1,"SIM","")</f>
        <v>#REF!</v>
      </c>
      <c r="N178" s="5" t="e">
        <f>IF((COUNTIFS(#REF!,$C178,#REF!,N$1))&gt;=1,"SIM","")</f>
        <v>#REF!</v>
      </c>
      <c r="O178" s="5"/>
      <c r="P178" s="5" t="e">
        <f>IF((COUNTIFS(#REF!,$C178,#REF!,P$1))&gt;=1,"SIM","")</f>
        <v>#REF!</v>
      </c>
      <c r="Q178" s="5" t="e">
        <f>IF((COUNTIFS(#REF!,$C178,#REF!,Q$1))&gt;=1,"SIM","")</f>
        <v>#REF!</v>
      </c>
      <c r="R178" s="5" t="e">
        <f>IF((COUNTIFS(#REF!,$C178,#REF!,"*CARTA*"))&gt;=1,"SIM","")</f>
        <v>#REF!</v>
      </c>
      <c r="S178" s="5" t="e">
        <f>IF((COUNTIFS(#REF!,$C178,#REF!,"*CARTA NOTIFICAÇÃO/DEVOL*"))&gt;=1,"SIM","")</f>
        <v>#REF!</v>
      </c>
      <c r="T178" s="5" t="e">
        <f>IF((COUNTIFS(#REF!,$C178,#REF!,"*LIGAÇÃO ATIVA DEV PRIN/LOC*"))&gt;=1,"SIM","")</f>
        <v>#REF!</v>
      </c>
    </row>
    <row r="179" spans="1:20">
      <c r="A179" s="24" t="s">
        <v>2159</v>
      </c>
      <c r="B179" s="24" t="s">
        <v>1020</v>
      </c>
      <c r="C179" s="24" t="s">
        <v>1021</v>
      </c>
      <c r="D179" s="5" t="e">
        <f>IF((COUNTIFS(#REF!,$C179,#REF!,"*163*"))&gt;=1,"SIM","")</f>
        <v>#REF!</v>
      </c>
      <c r="E179" s="5" t="e">
        <f>IF((COUNTIFS(#REF!,$C179,#REF!,E$1))&gt;=1,"SIM","")</f>
        <v>#REF!</v>
      </c>
      <c r="F179" s="5" t="e">
        <f>IF((COUNTIFS(#REF!,$C179,#REF!,F$1))&gt;=1,"SIM","")</f>
        <v>#REF!</v>
      </c>
      <c r="G179" s="5" t="e">
        <f>IF((COUNTIFS(#REF!,$C179,#REF!,"*606*"))&gt;=1,"SIM","")</f>
        <v>#REF!</v>
      </c>
      <c r="H179" s="5" t="e">
        <f>IF((COUNTIFS(#REF!,$C179,#REF!,"*605*"))&gt;=1,"SIM","")</f>
        <v>#REF!</v>
      </c>
      <c r="I179" s="5" t="e">
        <f>IF((COUNTIFS(#REF!,$C179,#REF!,I$1))&gt;=1,"SIM","")</f>
        <v>#REF!</v>
      </c>
      <c r="J179" s="5" t="e">
        <f>IF((COUNTIFS(#REF!,$C179,#REF!,J$1))&gt;=1,"SIM","")</f>
        <v>#REF!</v>
      </c>
      <c r="K179" s="5" t="e">
        <f>IF((COUNTIFS(#REF!,$C179,#REF!,K$1))&gt;=1,"SIM","")</f>
        <v>#REF!</v>
      </c>
      <c r="L179" s="5" t="e">
        <f>IF((COUNTIFS(#REF!,$C179,#REF!,L$1))&gt;=1,"SIM","")</f>
        <v>#REF!</v>
      </c>
      <c r="M179" s="5" t="e">
        <f>IF((COUNTIFS(#REF!,$C179,#REF!,M$1))&gt;=1,"SIM","")</f>
        <v>#REF!</v>
      </c>
      <c r="N179" s="5" t="e">
        <f>IF((COUNTIFS(#REF!,$C179,#REF!,N$1))&gt;=1,"SIM","")</f>
        <v>#REF!</v>
      </c>
      <c r="O179" s="5"/>
      <c r="P179" s="5" t="e">
        <f>IF((COUNTIFS(#REF!,$C179,#REF!,P$1))&gt;=1,"SIM","")</f>
        <v>#REF!</v>
      </c>
      <c r="Q179" s="5" t="e">
        <f>IF((COUNTIFS(#REF!,$C179,#REF!,Q$1))&gt;=1,"SIM","")</f>
        <v>#REF!</v>
      </c>
      <c r="R179" s="5" t="e">
        <f>IF((COUNTIFS(#REF!,$C179,#REF!,"*CARTA*"))&gt;=1,"SIM","")</f>
        <v>#REF!</v>
      </c>
      <c r="S179" s="5" t="e">
        <f>IF((COUNTIFS(#REF!,$C179,#REF!,"*CARTA NOTIFICAÇÃO/DEVOL*"))&gt;=1,"SIM","")</f>
        <v>#REF!</v>
      </c>
      <c r="T179" s="5" t="e">
        <f>IF((COUNTIFS(#REF!,$C179,#REF!,"*LIGAÇÃO ATIVA DEV PRIN/LOC*"))&gt;=1,"SIM","")</f>
        <v>#REF!</v>
      </c>
    </row>
    <row r="180" spans="1:20">
      <c r="A180" s="24" t="s">
        <v>2158</v>
      </c>
      <c r="B180" s="24" t="s">
        <v>1657</v>
      </c>
      <c r="C180" s="24" t="s">
        <v>1658</v>
      </c>
      <c r="D180" s="5" t="e">
        <f>IF((COUNTIFS(#REF!,$C180,#REF!,"*163*"))&gt;=1,"SIM","")</f>
        <v>#REF!</v>
      </c>
      <c r="E180" s="5" t="e">
        <f>IF((COUNTIFS(#REF!,$C180,#REF!,E$1))&gt;=1,"SIM","")</f>
        <v>#REF!</v>
      </c>
      <c r="F180" s="5" t="e">
        <f>IF((COUNTIFS(#REF!,$C180,#REF!,F$1))&gt;=1,"SIM","")</f>
        <v>#REF!</v>
      </c>
      <c r="G180" s="5" t="e">
        <f>IF((COUNTIFS(#REF!,$C180,#REF!,"*606*"))&gt;=1,"SIM","")</f>
        <v>#REF!</v>
      </c>
      <c r="H180" s="5" t="e">
        <f>IF((COUNTIFS(#REF!,$C180,#REF!,"*605*"))&gt;=1,"SIM","")</f>
        <v>#REF!</v>
      </c>
      <c r="I180" s="5" t="e">
        <f>IF((COUNTIFS(#REF!,$C180,#REF!,I$1))&gt;=1,"SIM","")</f>
        <v>#REF!</v>
      </c>
      <c r="J180" s="5" t="e">
        <f>IF((COUNTIFS(#REF!,$C180,#REF!,J$1))&gt;=1,"SIM","")</f>
        <v>#REF!</v>
      </c>
      <c r="K180" s="5" t="e">
        <f>IF((COUNTIFS(#REF!,$C180,#REF!,K$1))&gt;=1,"SIM","")</f>
        <v>#REF!</v>
      </c>
      <c r="L180" s="5" t="e">
        <f>IF((COUNTIFS(#REF!,$C180,#REF!,L$1))&gt;=1,"SIM","")</f>
        <v>#REF!</v>
      </c>
      <c r="M180" s="5" t="e">
        <f>IF((COUNTIFS(#REF!,$C180,#REF!,M$1))&gt;=1,"SIM","")</f>
        <v>#REF!</v>
      </c>
      <c r="N180" s="5" t="e">
        <f>IF((COUNTIFS(#REF!,$C180,#REF!,N$1))&gt;=1,"SIM","")</f>
        <v>#REF!</v>
      </c>
      <c r="O180" s="5"/>
      <c r="P180" s="5" t="e">
        <f>IF((COUNTIFS(#REF!,$C180,#REF!,P$1))&gt;=1,"SIM","")</f>
        <v>#REF!</v>
      </c>
      <c r="Q180" s="5" t="e">
        <f>IF((COUNTIFS(#REF!,$C180,#REF!,Q$1))&gt;=1,"SIM","")</f>
        <v>#REF!</v>
      </c>
      <c r="R180" s="5" t="e">
        <f>IF((COUNTIFS(#REF!,$C180,#REF!,"*CARTA*"))&gt;=1,"SIM","")</f>
        <v>#REF!</v>
      </c>
      <c r="S180" s="5" t="e">
        <f>IF((COUNTIFS(#REF!,$C180,#REF!,"*CARTA NOTIFICAÇÃO/DEVOL*"))&gt;=1,"SIM","")</f>
        <v>#REF!</v>
      </c>
      <c r="T180" s="5" t="e">
        <f>IF((COUNTIFS(#REF!,$C180,#REF!,"*LIGAÇÃO ATIVA DEV PRIN/LOC*"))&gt;=1,"SIM","")</f>
        <v>#REF!</v>
      </c>
    </row>
    <row r="181" spans="1:20">
      <c r="A181" s="24" t="s">
        <v>2153</v>
      </c>
      <c r="B181" s="24" t="s">
        <v>317</v>
      </c>
      <c r="C181" s="24" t="s">
        <v>318</v>
      </c>
      <c r="D181" s="5" t="e">
        <f>IF((COUNTIFS(#REF!,$C181,#REF!,"*163*"))&gt;=1,"SIM","")</f>
        <v>#REF!</v>
      </c>
      <c r="E181" s="5" t="e">
        <f>IF((COUNTIFS(#REF!,$C181,#REF!,E$1))&gt;=1,"SIM","")</f>
        <v>#REF!</v>
      </c>
      <c r="F181" s="5" t="e">
        <f>IF((COUNTIFS(#REF!,$C181,#REF!,F$1))&gt;=1,"SIM","")</f>
        <v>#REF!</v>
      </c>
      <c r="G181" s="5" t="e">
        <f>IF((COUNTIFS(#REF!,$C181,#REF!,"*606*"))&gt;=1,"SIM","")</f>
        <v>#REF!</v>
      </c>
      <c r="H181" s="5" t="e">
        <f>IF((COUNTIFS(#REF!,$C181,#REF!,"*605*"))&gt;=1,"SIM","")</f>
        <v>#REF!</v>
      </c>
      <c r="I181" s="5" t="e">
        <f>IF((COUNTIFS(#REF!,$C181,#REF!,I$1))&gt;=1,"SIM","")</f>
        <v>#REF!</v>
      </c>
      <c r="J181" s="5" t="e">
        <f>IF((COUNTIFS(#REF!,$C181,#REF!,J$1))&gt;=1,"SIM","")</f>
        <v>#REF!</v>
      </c>
      <c r="K181" s="5" t="e">
        <f>IF((COUNTIFS(#REF!,$C181,#REF!,K$1))&gt;=1,"SIM","")</f>
        <v>#REF!</v>
      </c>
      <c r="L181" s="5" t="e">
        <f>IF((COUNTIFS(#REF!,$C181,#REF!,L$1))&gt;=1,"SIM","")</f>
        <v>#REF!</v>
      </c>
      <c r="M181" s="5" t="e">
        <f>IF((COUNTIFS(#REF!,$C181,#REF!,M$1))&gt;=1,"SIM","")</f>
        <v>#REF!</v>
      </c>
      <c r="N181" s="5" t="e">
        <f>IF((COUNTIFS(#REF!,$C181,#REF!,N$1))&gt;=1,"SIM","")</f>
        <v>#REF!</v>
      </c>
      <c r="O181" s="5"/>
      <c r="P181" s="5" t="e">
        <f>IF((COUNTIFS(#REF!,$C181,#REF!,P$1))&gt;=1,"SIM","")</f>
        <v>#REF!</v>
      </c>
      <c r="Q181" s="5" t="e">
        <f>IF((COUNTIFS(#REF!,$C181,#REF!,Q$1))&gt;=1,"SIM","")</f>
        <v>#REF!</v>
      </c>
      <c r="R181" s="5" t="e">
        <f>IF((COUNTIFS(#REF!,$C181,#REF!,"*CARTA*"))&gt;=1,"SIM","")</f>
        <v>#REF!</v>
      </c>
      <c r="S181" s="5" t="e">
        <f>IF((COUNTIFS(#REF!,$C181,#REF!,"*CARTA NOTIFICAÇÃO/DEVOL*"))&gt;=1,"SIM","")</f>
        <v>#REF!</v>
      </c>
      <c r="T181" s="5" t="e">
        <f>IF((COUNTIFS(#REF!,$C181,#REF!,"*LIGAÇÃO ATIVA DEV PRIN/LOC*"))&gt;=1,"SIM","")</f>
        <v>#REF!</v>
      </c>
    </row>
    <row r="182" spans="1:20">
      <c r="A182" s="24" t="s">
        <v>2159</v>
      </c>
      <c r="B182" s="24" t="s">
        <v>1527</v>
      </c>
      <c r="C182" s="24" t="s">
        <v>1528</v>
      </c>
      <c r="D182" s="5" t="e">
        <f>IF((COUNTIFS(#REF!,$C182,#REF!,"*163*"))&gt;=1,"SIM","")</f>
        <v>#REF!</v>
      </c>
      <c r="E182" s="5" t="e">
        <f>IF((COUNTIFS(#REF!,$C182,#REF!,E$1))&gt;=1,"SIM","")</f>
        <v>#REF!</v>
      </c>
      <c r="F182" s="5" t="e">
        <f>IF((COUNTIFS(#REF!,$C182,#REF!,F$1))&gt;=1,"SIM","")</f>
        <v>#REF!</v>
      </c>
      <c r="G182" s="5" t="e">
        <f>IF((COUNTIFS(#REF!,$C182,#REF!,"*606*"))&gt;=1,"SIM","")</f>
        <v>#REF!</v>
      </c>
      <c r="H182" s="5" t="e">
        <f>IF((COUNTIFS(#REF!,$C182,#REF!,"*605*"))&gt;=1,"SIM","")</f>
        <v>#REF!</v>
      </c>
      <c r="I182" s="5" t="e">
        <f>IF((COUNTIFS(#REF!,$C182,#REF!,I$1))&gt;=1,"SIM","")</f>
        <v>#REF!</v>
      </c>
      <c r="J182" s="5" t="e">
        <f>IF((COUNTIFS(#REF!,$C182,#REF!,J$1))&gt;=1,"SIM","")</f>
        <v>#REF!</v>
      </c>
      <c r="K182" s="5" t="e">
        <f>IF((COUNTIFS(#REF!,$C182,#REF!,K$1))&gt;=1,"SIM","")</f>
        <v>#REF!</v>
      </c>
      <c r="L182" s="5" t="e">
        <f>IF((COUNTIFS(#REF!,$C182,#REF!,L$1))&gt;=1,"SIM","")</f>
        <v>#REF!</v>
      </c>
      <c r="M182" s="5" t="e">
        <f>IF((COUNTIFS(#REF!,$C182,#REF!,M$1))&gt;=1,"SIM","")</f>
        <v>#REF!</v>
      </c>
      <c r="N182" s="5" t="e">
        <f>IF((COUNTIFS(#REF!,$C182,#REF!,N$1))&gt;=1,"SIM","")</f>
        <v>#REF!</v>
      </c>
      <c r="O182" s="5"/>
      <c r="P182" s="5" t="e">
        <f>IF((COUNTIFS(#REF!,$C182,#REF!,P$1))&gt;=1,"SIM","")</f>
        <v>#REF!</v>
      </c>
      <c r="Q182" s="5" t="e">
        <f>IF((COUNTIFS(#REF!,$C182,#REF!,Q$1))&gt;=1,"SIM","")</f>
        <v>#REF!</v>
      </c>
      <c r="R182" s="5" t="e">
        <f>IF((COUNTIFS(#REF!,$C182,#REF!,"*CARTA*"))&gt;=1,"SIM","")</f>
        <v>#REF!</v>
      </c>
      <c r="S182" s="5" t="e">
        <f>IF((COUNTIFS(#REF!,$C182,#REF!,"*CARTA NOTIFICAÇÃO/DEVOL*"))&gt;=1,"SIM","")</f>
        <v>#REF!</v>
      </c>
      <c r="T182" s="5" t="e">
        <f>IF((COUNTIFS(#REF!,$C182,#REF!,"*LIGAÇÃO ATIVA DEV PRIN/LOC*"))&gt;=1,"SIM","")</f>
        <v>#REF!</v>
      </c>
    </row>
    <row r="183" spans="1:20">
      <c r="A183" s="24" t="s">
        <v>2153</v>
      </c>
      <c r="B183" s="24" t="s">
        <v>352</v>
      </c>
      <c r="C183" s="24" t="s">
        <v>353</v>
      </c>
      <c r="D183" s="5" t="e">
        <f>IF((COUNTIFS(#REF!,$C183,#REF!,"*163*"))&gt;=1,"SIM","")</f>
        <v>#REF!</v>
      </c>
      <c r="E183" s="5" t="e">
        <f>IF((COUNTIFS(#REF!,$C183,#REF!,E$1))&gt;=1,"SIM","")</f>
        <v>#REF!</v>
      </c>
      <c r="F183" s="5" t="e">
        <f>IF((COUNTIFS(#REF!,$C183,#REF!,F$1))&gt;=1,"SIM","")</f>
        <v>#REF!</v>
      </c>
      <c r="G183" s="5" t="e">
        <f>IF((COUNTIFS(#REF!,$C183,#REF!,"*606*"))&gt;=1,"SIM","")</f>
        <v>#REF!</v>
      </c>
      <c r="H183" s="5" t="e">
        <f>IF((COUNTIFS(#REF!,$C183,#REF!,"*605*"))&gt;=1,"SIM","")</f>
        <v>#REF!</v>
      </c>
      <c r="I183" s="5" t="e">
        <f>IF((COUNTIFS(#REF!,$C183,#REF!,I$1))&gt;=1,"SIM","")</f>
        <v>#REF!</v>
      </c>
      <c r="J183" s="5" t="e">
        <f>IF((COUNTIFS(#REF!,$C183,#REF!,J$1))&gt;=1,"SIM","")</f>
        <v>#REF!</v>
      </c>
      <c r="K183" s="5" t="e">
        <f>IF((COUNTIFS(#REF!,$C183,#REF!,K$1))&gt;=1,"SIM","")</f>
        <v>#REF!</v>
      </c>
      <c r="L183" s="5" t="e">
        <f>IF((COUNTIFS(#REF!,$C183,#REF!,L$1))&gt;=1,"SIM","")</f>
        <v>#REF!</v>
      </c>
      <c r="M183" s="5" t="e">
        <f>IF((COUNTIFS(#REF!,$C183,#REF!,M$1))&gt;=1,"SIM","")</f>
        <v>#REF!</v>
      </c>
      <c r="N183" s="5" t="e">
        <f>IF((COUNTIFS(#REF!,$C183,#REF!,N$1))&gt;=1,"SIM","")</f>
        <v>#REF!</v>
      </c>
      <c r="O183" s="5"/>
      <c r="P183" s="5" t="e">
        <f>IF((COUNTIFS(#REF!,$C183,#REF!,P$1))&gt;=1,"SIM","")</f>
        <v>#REF!</v>
      </c>
      <c r="Q183" s="5" t="e">
        <f>IF((COUNTIFS(#REF!,$C183,#REF!,Q$1))&gt;=1,"SIM","")</f>
        <v>#REF!</v>
      </c>
      <c r="R183" s="5" t="e">
        <f>IF((COUNTIFS(#REF!,$C183,#REF!,"*CARTA*"))&gt;=1,"SIM","")</f>
        <v>#REF!</v>
      </c>
      <c r="S183" s="5" t="e">
        <f>IF((COUNTIFS(#REF!,$C183,#REF!,"*CARTA NOTIFICAÇÃO/DEVOL*"))&gt;=1,"SIM","")</f>
        <v>#REF!</v>
      </c>
      <c r="T183" s="5" t="e">
        <f>IF((COUNTIFS(#REF!,$C183,#REF!,"*LIGAÇÃO ATIVA DEV PRIN/LOC*"))&gt;=1,"SIM","")</f>
        <v>#REF!</v>
      </c>
    </row>
    <row r="184" spans="1:20">
      <c r="A184" s="24" t="s">
        <v>2159</v>
      </c>
      <c r="B184" s="24" t="s">
        <v>857</v>
      </c>
      <c r="C184" s="24" t="s">
        <v>858</v>
      </c>
      <c r="D184" s="5" t="e">
        <f>IF((COUNTIFS(#REF!,$C184,#REF!,"*163*"))&gt;=1,"SIM","")</f>
        <v>#REF!</v>
      </c>
      <c r="E184" s="5" t="e">
        <f>IF((COUNTIFS(#REF!,$C184,#REF!,E$1))&gt;=1,"SIM","")</f>
        <v>#REF!</v>
      </c>
      <c r="F184" s="5" t="e">
        <f>IF((COUNTIFS(#REF!,$C184,#REF!,F$1))&gt;=1,"SIM","")</f>
        <v>#REF!</v>
      </c>
      <c r="G184" s="5" t="e">
        <f>IF((COUNTIFS(#REF!,$C184,#REF!,"*606*"))&gt;=1,"SIM","")</f>
        <v>#REF!</v>
      </c>
      <c r="H184" s="5" t="e">
        <f>IF((COUNTIFS(#REF!,$C184,#REF!,"*605*"))&gt;=1,"SIM","")</f>
        <v>#REF!</v>
      </c>
      <c r="I184" s="5" t="e">
        <f>IF((COUNTIFS(#REF!,$C184,#REF!,I$1))&gt;=1,"SIM","")</f>
        <v>#REF!</v>
      </c>
      <c r="J184" s="5" t="e">
        <f>IF((COUNTIFS(#REF!,$C184,#REF!,J$1))&gt;=1,"SIM","")</f>
        <v>#REF!</v>
      </c>
      <c r="K184" s="5" t="e">
        <f>IF((COUNTIFS(#REF!,$C184,#REF!,K$1))&gt;=1,"SIM","")</f>
        <v>#REF!</v>
      </c>
      <c r="L184" s="5" t="e">
        <f>IF((COUNTIFS(#REF!,$C184,#REF!,L$1))&gt;=1,"SIM","")</f>
        <v>#REF!</v>
      </c>
      <c r="M184" s="5" t="e">
        <f>IF((COUNTIFS(#REF!,$C184,#REF!,M$1))&gt;=1,"SIM","")</f>
        <v>#REF!</v>
      </c>
      <c r="N184" s="5" t="e">
        <f>IF((COUNTIFS(#REF!,$C184,#REF!,N$1))&gt;=1,"SIM","")</f>
        <v>#REF!</v>
      </c>
      <c r="O184" s="5"/>
      <c r="P184" s="5" t="e">
        <f>IF((COUNTIFS(#REF!,$C184,#REF!,P$1))&gt;=1,"SIM","")</f>
        <v>#REF!</v>
      </c>
      <c r="Q184" s="5" t="e">
        <f>IF((COUNTIFS(#REF!,$C184,#REF!,Q$1))&gt;=1,"SIM","")</f>
        <v>#REF!</v>
      </c>
      <c r="R184" s="5" t="e">
        <f>IF((COUNTIFS(#REF!,$C184,#REF!,"*CARTA*"))&gt;=1,"SIM","")</f>
        <v>#REF!</v>
      </c>
      <c r="S184" s="5" t="e">
        <f>IF((COUNTIFS(#REF!,$C184,#REF!,"*CARTA NOTIFICAÇÃO/DEVOL*"))&gt;=1,"SIM","")</f>
        <v>#REF!</v>
      </c>
      <c r="T184" s="5" t="e">
        <f>IF((COUNTIFS(#REF!,$C184,#REF!,"*LIGAÇÃO ATIVA DEV PRIN/LOC*"))&gt;=1,"SIM","")</f>
        <v>#REF!</v>
      </c>
    </row>
    <row r="185" spans="1:20">
      <c r="A185" s="24" t="s">
        <v>2153</v>
      </c>
      <c r="B185" s="24" t="s">
        <v>259</v>
      </c>
      <c r="C185" s="24" t="s">
        <v>260</v>
      </c>
      <c r="D185" s="5" t="e">
        <f>IF((COUNTIFS(#REF!,$C185,#REF!,"*163*"))&gt;=1,"SIM","")</f>
        <v>#REF!</v>
      </c>
      <c r="E185" s="5" t="e">
        <f>IF((COUNTIFS(#REF!,$C185,#REF!,E$1))&gt;=1,"SIM","")</f>
        <v>#REF!</v>
      </c>
      <c r="F185" s="5" t="e">
        <f>IF((COUNTIFS(#REF!,$C185,#REF!,F$1))&gt;=1,"SIM","")</f>
        <v>#REF!</v>
      </c>
      <c r="G185" s="5" t="e">
        <f>IF((COUNTIFS(#REF!,$C185,#REF!,"*606*"))&gt;=1,"SIM","")</f>
        <v>#REF!</v>
      </c>
      <c r="H185" s="5" t="e">
        <f>IF((COUNTIFS(#REF!,$C185,#REF!,"*605*"))&gt;=1,"SIM","")</f>
        <v>#REF!</v>
      </c>
      <c r="I185" s="5" t="e">
        <f>IF((COUNTIFS(#REF!,$C185,#REF!,I$1))&gt;=1,"SIM","")</f>
        <v>#REF!</v>
      </c>
      <c r="J185" s="5" t="e">
        <f>IF((COUNTIFS(#REF!,$C185,#REF!,J$1))&gt;=1,"SIM","")</f>
        <v>#REF!</v>
      </c>
      <c r="K185" s="5" t="e">
        <f>IF((COUNTIFS(#REF!,$C185,#REF!,K$1))&gt;=1,"SIM","")</f>
        <v>#REF!</v>
      </c>
      <c r="L185" s="5" t="e">
        <f>IF((COUNTIFS(#REF!,$C185,#REF!,L$1))&gt;=1,"SIM","")</f>
        <v>#REF!</v>
      </c>
      <c r="M185" s="5" t="e">
        <f>IF((COUNTIFS(#REF!,$C185,#REF!,M$1))&gt;=1,"SIM","")</f>
        <v>#REF!</v>
      </c>
      <c r="N185" s="5" t="e">
        <f>IF((COUNTIFS(#REF!,$C185,#REF!,N$1))&gt;=1,"SIM","")</f>
        <v>#REF!</v>
      </c>
      <c r="O185" s="5"/>
      <c r="P185" s="5" t="e">
        <f>IF((COUNTIFS(#REF!,$C185,#REF!,P$1))&gt;=1,"SIM","")</f>
        <v>#REF!</v>
      </c>
      <c r="Q185" s="5" t="e">
        <f>IF((COUNTIFS(#REF!,$C185,#REF!,Q$1))&gt;=1,"SIM","")</f>
        <v>#REF!</v>
      </c>
      <c r="R185" s="5" t="e">
        <f>IF((COUNTIFS(#REF!,$C185,#REF!,"*CARTA*"))&gt;=1,"SIM","")</f>
        <v>#REF!</v>
      </c>
      <c r="S185" s="5" t="e">
        <f>IF((COUNTIFS(#REF!,$C185,#REF!,"*CARTA NOTIFICAÇÃO/DEVOL*"))&gt;=1,"SIM","")</f>
        <v>#REF!</v>
      </c>
      <c r="T185" s="5" t="e">
        <f>IF((COUNTIFS(#REF!,$C185,#REF!,"*LIGAÇÃO ATIVA DEV PRIN/LOC*"))&gt;=1,"SIM","")</f>
        <v>#REF!</v>
      </c>
    </row>
    <row r="186" spans="1:20">
      <c r="A186" s="24" t="s">
        <v>2153</v>
      </c>
      <c r="B186" s="24" t="s">
        <v>298</v>
      </c>
      <c r="C186" s="24" t="s">
        <v>299</v>
      </c>
      <c r="D186" s="5" t="e">
        <f>IF((COUNTIFS(#REF!,$C186,#REF!,"*163*"))&gt;=1,"SIM","")</f>
        <v>#REF!</v>
      </c>
      <c r="E186" s="5" t="e">
        <f>IF((COUNTIFS(#REF!,$C186,#REF!,E$1))&gt;=1,"SIM","")</f>
        <v>#REF!</v>
      </c>
      <c r="F186" s="5" t="e">
        <f>IF((COUNTIFS(#REF!,$C186,#REF!,F$1))&gt;=1,"SIM","")</f>
        <v>#REF!</v>
      </c>
      <c r="G186" s="5" t="e">
        <f>IF((COUNTIFS(#REF!,$C186,#REF!,"*606*"))&gt;=1,"SIM","")</f>
        <v>#REF!</v>
      </c>
      <c r="H186" s="5" t="e">
        <f>IF((COUNTIFS(#REF!,$C186,#REF!,"*605*"))&gt;=1,"SIM","")</f>
        <v>#REF!</v>
      </c>
      <c r="I186" s="5" t="e">
        <f>IF((COUNTIFS(#REF!,$C186,#REF!,I$1))&gt;=1,"SIM","")</f>
        <v>#REF!</v>
      </c>
      <c r="J186" s="5" t="e">
        <f>IF((COUNTIFS(#REF!,$C186,#REF!,J$1))&gt;=1,"SIM","")</f>
        <v>#REF!</v>
      </c>
      <c r="K186" s="5" t="e">
        <f>IF((COUNTIFS(#REF!,$C186,#REF!,K$1))&gt;=1,"SIM","")</f>
        <v>#REF!</v>
      </c>
      <c r="L186" s="5" t="e">
        <f>IF((COUNTIFS(#REF!,$C186,#REF!,L$1))&gt;=1,"SIM","")</f>
        <v>#REF!</v>
      </c>
      <c r="M186" s="5" t="e">
        <f>IF((COUNTIFS(#REF!,$C186,#REF!,M$1))&gt;=1,"SIM","")</f>
        <v>#REF!</v>
      </c>
      <c r="N186" s="5" t="e">
        <f>IF((COUNTIFS(#REF!,$C186,#REF!,N$1))&gt;=1,"SIM","")</f>
        <v>#REF!</v>
      </c>
      <c r="O186" s="5"/>
      <c r="P186" s="5" t="e">
        <f>IF((COUNTIFS(#REF!,$C186,#REF!,P$1))&gt;=1,"SIM","")</f>
        <v>#REF!</v>
      </c>
      <c r="Q186" s="5" t="e">
        <f>IF((COUNTIFS(#REF!,$C186,#REF!,Q$1))&gt;=1,"SIM","")</f>
        <v>#REF!</v>
      </c>
      <c r="R186" s="5" t="e">
        <f>IF((COUNTIFS(#REF!,$C186,#REF!,"*CARTA*"))&gt;=1,"SIM","")</f>
        <v>#REF!</v>
      </c>
      <c r="S186" s="5" t="e">
        <f>IF((COUNTIFS(#REF!,$C186,#REF!,"*CARTA NOTIFICAÇÃO/DEVOL*"))&gt;=1,"SIM","")</f>
        <v>#REF!</v>
      </c>
      <c r="T186" s="5" t="e">
        <f>IF((COUNTIFS(#REF!,$C186,#REF!,"*LIGAÇÃO ATIVA DEV PRIN/LOC*"))&gt;=1,"SIM","")</f>
        <v>#REF!</v>
      </c>
    </row>
    <row r="187" spans="1:20">
      <c r="A187" s="24" t="s">
        <v>2153</v>
      </c>
      <c r="B187" s="24" t="s">
        <v>1166</v>
      </c>
      <c r="C187" s="24" t="s">
        <v>1167</v>
      </c>
      <c r="D187" s="5" t="e">
        <f>IF((COUNTIFS(#REF!,$C187,#REF!,"*163*"))&gt;=1,"SIM","")</f>
        <v>#REF!</v>
      </c>
      <c r="E187" s="5" t="e">
        <f>IF((COUNTIFS(#REF!,$C187,#REF!,E$1))&gt;=1,"SIM","")</f>
        <v>#REF!</v>
      </c>
      <c r="F187" s="5" t="e">
        <f>IF((COUNTIFS(#REF!,$C187,#REF!,F$1))&gt;=1,"SIM","")</f>
        <v>#REF!</v>
      </c>
      <c r="G187" s="5" t="e">
        <f>IF((COUNTIFS(#REF!,$C187,#REF!,"*606*"))&gt;=1,"SIM","")</f>
        <v>#REF!</v>
      </c>
      <c r="H187" s="5" t="e">
        <f>IF((COUNTIFS(#REF!,$C187,#REF!,"*605*"))&gt;=1,"SIM","")</f>
        <v>#REF!</v>
      </c>
      <c r="I187" s="5" t="e">
        <f>IF((COUNTIFS(#REF!,$C187,#REF!,I$1))&gt;=1,"SIM","")</f>
        <v>#REF!</v>
      </c>
      <c r="J187" s="5" t="e">
        <f>IF((COUNTIFS(#REF!,$C187,#REF!,J$1))&gt;=1,"SIM","")</f>
        <v>#REF!</v>
      </c>
      <c r="K187" s="5" t="e">
        <f>IF((COUNTIFS(#REF!,$C187,#REF!,K$1))&gt;=1,"SIM","")</f>
        <v>#REF!</v>
      </c>
      <c r="L187" s="5" t="e">
        <f>IF((COUNTIFS(#REF!,$C187,#REF!,L$1))&gt;=1,"SIM","")</f>
        <v>#REF!</v>
      </c>
      <c r="M187" s="5" t="e">
        <f>IF((COUNTIFS(#REF!,$C187,#REF!,M$1))&gt;=1,"SIM","")</f>
        <v>#REF!</v>
      </c>
      <c r="N187" s="5" t="e">
        <f>IF((COUNTIFS(#REF!,$C187,#REF!,N$1))&gt;=1,"SIM","")</f>
        <v>#REF!</v>
      </c>
      <c r="O187" s="5"/>
      <c r="P187" s="5" t="e">
        <f>IF((COUNTIFS(#REF!,$C187,#REF!,P$1))&gt;=1,"SIM","")</f>
        <v>#REF!</v>
      </c>
      <c r="Q187" s="5" t="e">
        <f>IF((COUNTIFS(#REF!,$C187,#REF!,Q$1))&gt;=1,"SIM","")</f>
        <v>#REF!</v>
      </c>
      <c r="R187" s="5" t="e">
        <f>IF((COUNTIFS(#REF!,$C187,#REF!,"*CARTA*"))&gt;=1,"SIM","")</f>
        <v>#REF!</v>
      </c>
      <c r="S187" s="5" t="e">
        <f>IF((COUNTIFS(#REF!,$C187,#REF!,"*CARTA NOTIFICAÇÃO/DEVOL*"))&gt;=1,"SIM","")</f>
        <v>#REF!</v>
      </c>
      <c r="T187" s="5" t="e">
        <f>IF((COUNTIFS(#REF!,$C187,#REF!,"*LIGAÇÃO ATIVA DEV PRIN/LOC*"))&gt;=1,"SIM","")</f>
        <v>#REF!</v>
      </c>
    </row>
    <row r="188" spans="1:20">
      <c r="A188" s="24" t="s">
        <v>2159</v>
      </c>
      <c r="B188" s="24" t="s">
        <v>1666</v>
      </c>
      <c r="C188" s="24" t="s">
        <v>1667</v>
      </c>
      <c r="D188" s="5" t="e">
        <f>IF((COUNTIFS(#REF!,$C188,#REF!,"*163*"))&gt;=1,"SIM","")</f>
        <v>#REF!</v>
      </c>
      <c r="E188" s="5" t="e">
        <f>IF((COUNTIFS(#REF!,$C188,#REF!,E$1))&gt;=1,"SIM","")</f>
        <v>#REF!</v>
      </c>
      <c r="F188" s="5" t="e">
        <f>IF((COUNTIFS(#REF!,$C188,#REF!,F$1))&gt;=1,"SIM","")</f>
        <v>#REF!</v>
      </c>
      <c r="G188" s="5" t="e">
        <f>IF((COUNTIFS(#REF!,$C188,#REF!,"*606*"))&gt;=1,"SIM","")</f>
        <v>#REF!</v>
      </c>
      <c r="H188" s="5" t="e">
        <f>IF((COUNTIFS(#REF!,$C188,#REF!,"*605*"))&gt;=1,"SIM","")</f>
        <v>#REF!</v>
      </c>
      <c r="I188" s="5" t="e">
        <f>IF((COUNTIFS(#REF!,$C188,#REF!,I$1))&gt;=1,"SIM","")</f>
        <v>#REF!</v>
      </c>
      <c r="J188" s="5" t="e">
        <f>IF((COUNTIFS(#REF!,$C188,#REF!,J$1))&gt;=1,"SIM","")</f>
        <v>#REF!</v>
      </c>
      <c r="K188" s="5" t="e">
        <f>IF((COUNTIFS(#REF!,$C188,#REF!,K$1))&gt;=1,"SIM","")</f>
        <v>#REF!</v>
      </c>
      <c r="L188" s="5" t="e">
        <f>IF((COUNTIFS(#REF!,$C188,#REF!,L$1))&gt;=1,"SIM","")</f>
        <v>#REF!</v>
      </c>
      <c r="M188" s="5" t="e">
        <f>IF((COUNTIFS(#REF!,$C188,#REF!,M$1))&gt;=1,"SIM","")</f>
        <v>#REF!</v>
      </c>
      <c r="N188" s="5" t="e">
        <f>IF((COUNTIFS(#REF!,$C188,#REF!,N$1))&gt;=1,"SIM","")</f>
        <v>#REF!</v>
      </c>
      <c r="O188" s="5"/>
      <c r="P188" s="5" t="e">
        <f>IF((COUNTIFS(#REF!,$C188,#REF!,P$1))&gt;=1,"SIM","")</f>
        <v>#REF!</v>
      </c>
      <c r="Q188" s="5" t="e">
        <f>IF((COUNTIFS(#REF!,$C188,#REF!,Q$1))&gt;=1,"SIM","")</f>
        <v>#REF!</v>
      </c>
      <c r="R188" s="5" t="e">
        <f>IF((COUNTIFS(#REF!,$C188,#REF!,"*CARTA*"))&gt;=1,"SIM","")</f>
        <v>#REF!</v>
      </c>
      <c r="S188" s="5" t="e">
        <f>IF((COUNTIFS(#REF!,$C188,#REF!,"*CARTA NOTIFICAÇÃO/DEVOL*"))&gt;=1,"SIM","")</f>
        <v>#REF!</v>
      </c>
      <c r="T188" s="5" t="e">
        <f>IF((COUNTIFS(#REF!,$C188,#REF!,"*LIGAÇÃO ATIVA DEV PRIN/LOC*"))&gt;=1,"SIM","")</f>
        <v>#REF!</v>
      </c>
    </row>
    <row r="189" spans="1:20">
      <c r="A189" s="24" t="s">
        <v>2153</v>
      </c>
      <c r="B189" s="24" t="s">
        <v>623</v>
      </c>
      <c r="C189" s="24" t="s">
        <v>624</v>
      </c>
      <c r="D189" s="5" t="e">
        <f>IF((COUNTIFS(#REF!,$C189,#REF!,"*163*"))&gt;=1,"SIM","")</f>
        <v>#REF!</v>
      </c>
      <c r="E189" s="5" t="e">
        <f>IF((COUNTIFS(#REF!,$C189,#REF!,E$1))&gt;=1,"SIM","")</f>
        <v>#REF!</v>
      </c>
      <c r="F189" s="5" t="e">
        <f>IF((COUNTIFS(#REF!,$C189,#REF!,F$1))&gt;=1,"SIM","")</f>
        <v>#REF!</v>
      </c>
      <c r="G189" s="5" t="e">
        <f>IF((COUNTIFS(#REF!,$C189,#REF!,"*606*"))&gt;=1,"SIM","")</f>
        <v>#REF!</v>
      </c>
      <c r="H189" s="5" t="e">
        <f>IF((COUNTIFS(#REF!,$C189,#REF!,"*605*"))&gt;=1,"SIM","")</f>
        <v>#REF!</v>
      </c>
      <c r="I189" s="5" t="e">
        <f>IF((COUNTIFS(#REF!,$C189,#REF!,I$1))&gt;=1,"SIM","")</f>
        <v>#REF!</v>
      </c>
      <c r="J189" s="5" t="e">
        <f>IF((COUNTIFS(#REF!,$C189,#REF!,J$1))&gt;=1,"SIM","")</f>
        <v>#REF!</v>
      </c>
      <c r="K189" s="5" t="e">
        <f>IF((COUNTIFS(#REF!,$C189,#REF!,K$1))&gt;=1,"SIM","")</f>
        <v>#REF!</v>
      </c>
      <c r="L189" s="5" t="e">
        <f>IF((COUNTIFS(#REF!,$C189,#REF!,L$1))&gt;=1,"SIM","")</f>
        <v>#REF!</v>
      </c>
      <c r="M189" s="5" t="e">
        <f>IF((COUNTIFS(#REF!,$C189,#REF!,M$1))&gt;=1,"SIM","")</f>
        <v>#REF!</v>
      </c>
      <c r="N189" s="5" t="e">
        <f>IF((COUNTIFS(#REF!,$C189,#REF!,N$1))&gt;=1,"SIM","")</f>
        <v>#REF!</v>
      </c>
      <c r="O189" s="5"/>
      <c r="P189" s="5" t="e">
        <f>IF((COUNTIFS(#REF!,$C189,#REF!,P$1))&gt;=1,"SIM","")</f>
        <v>#REF!</v>
      </c>
      <c r="Q189" s="5" t="e">
        <f>IF((COUNTIFS(#REF!,$C189,#REF!,Q$1))&gt;=1,"SIM","")</f>
        <v>#REF!</v>
      </c>
      <c r="R189" s="5" t="e">
        <f>IF((COUNTIFS(#REF!,$C189,#REF!,"*CARTA*"))&gt;=1,"SIM","")</f>
        <v>#REF!</v>
      </c>
      <c r="S189" s="5" t="e">
        <f>IF((COUNTIFS(#REF!,$C189,#REF!,"*CARTA NOTIFICAÇÃO/DEVOL*"))&gt;=1,"SIM","")</f>
        <v>#REF!</v>
      </c>
      <c r="T189" s="5" t="e">
        <f>IF((COUNTIFS(#REF!,$C189,#REF!,"*LIGAÇÃO ATIVA DEV PRIN/LOC*"))&gt;=1,"SIM","")</f>
        <v>#REF!</v>
      </c>
    </row>
    <row r="190" spans="1:20">
      <c r="A190" s="24" t="s">
        <v>2153</v>
      </c>
      <c r="B190" s="24" t="s">
        <v>1157</v>
      </c>
      <c r="C190" s="24" t="s">
        <v>1158</v>
      </c>
      <c r="D190" s="5" t="e">
        <f>IF((COUNTIFS(#REF!,$C190,#REF!,"*163*"))&gt;=1,"SIM","")</f>
        <v>#REF!</v>
      </c>
      <c r="E190" s="5" t="e">
        <f>IF((COUNTIFS(#REF!,$C190,#REF!,E$1))&gt;=1,"SIM","")</f>
        <v>#REF!</v>
      </c>
      <c r="F190" s="5" t="e">
        <f>IF((COUNTIFS(#REF!,$C190,#REF!,F$1))&gt;=1,"SIM","")</f>
        <v>#REF!</v>
      </c>
      <c r="G190" s="5" t="e">
        <f>IF((COUNTIFS(#REF!,$C190,#REF!,"*606*"))&gt;=1,"SIM","")</f>
        <v>#REF!</v>
      </c>
      <c r="H190" s="5" t="e">
        <f>IF((COUNTIFS(#REF!,$C190,#REF!,"*605*"))&gt;=1,"SIM","")</f>
        <v>#REF!</v>
      </c>
      <c r="I190" s="5" t="e">
        <f>IF((COUNTIFS(#REF!,$C190,#REF!,I$1))&gt;=1,"SIM","")</f>
        <v>#REF!</v>
      </c>
      <c r="J190" s="5" t="e">
        <f>IF((COUNTIFS(#REF!,$C190,#REF!,J$1))&gt;=1,"SIM","")</f>
        <v>#REF!</v>
      </c>
      <c r="K190" s="5" t="e">
        <f>IF((COUNTIFS(#REF!,$C190,#REF!,K$1))&gt;=1,"SIM","")</f>
        <v>#REF!</v>
      </c>
      <c r="L190" s="5" t="e">
        <f>IF((COUNTIFS(#REF!,$C190,#REF!,L$1))&gt;=1,"SIM","")</f>
        <v>#REF!</v>
      </c>
      <c r="M190" s="5" t="e">
        <f>IF((COUNTIFS(#REF!,$C190,#REF!,M$1))&gt;=1,"SIM","")</f>
        <v>#REF!</v>
      </c>
      <c r="N190" s="5" t="e">
        <f>IF((COUNTIFS(#REF!,$C190,#REF!,N$1))&gt;=1,"SIM","")</f>
        <v>#REF!</v>
      </c>
      <c r="O190" s="5"/>
      <c r="P190" s="5" t="e">
        <f>IF((COUNTIFS(#REF!,$C190,#REF!,P$1))&gt;=1,"SIM","")</f>
        <v>#REF!</v>
      </c>
      <c r="Q190" s="5" t="e">
        <f>IF((COUNTIFS(#REF!,$C190,#REF!,Q$1))&gt;=1,"SIM","")</f>
        <v>#REF!</v>
      </c>
      <c r="R190" s="5" t="e">
        <f>IF((COUNTIFS(#REF!,$C190,#REF!,"*CARTA*"))&gt;=1,"SIM","")</f>
        <v>#REF!</v>
      </c>
      <c r="S190" s="5" t="e">
        <f>IF((COUNTIFS(#REF!,$C190,#REF!,"*CARTA NOTIFICAÇÃO/DEVOL*"))&gt;=1,"SIM","")</f>
        <v>#REF!</v>
      </c>
      <c r="T190" s="5" t="e">
        <f>IF((COUNTIFS(#REF!,$C190,#REF!,"*LIGAÇÃO ATIVA DEV PRIN/LOC*"))&gt;=1,"SIM","")</f>
        <v>#REF!</v>
      </c>
    </row>
    <row r="191" spans="1:20">
      <c r="A191" s="24" t="s">
        <v>2155</v>
      </c>
      <c r="B191" s="24" t="s">
        <v>47</v>
      </c>
      <c r="C191" s="24" t="s">
        <v>48</v>
      </c>
      <c r="D191" s="5" t="e">
        <f>IF((COUNTIFS(#REF!,$C191,#REF!,"*163*"))&gt;=1,"SIM","")</f>
        <v>#REF!</v>
      </c>
      <c r="E191" s="5" t="e">
        <f>IF((COUNTIFS(#REF!,$C191,#REF!,E$1))&gt;=1,"SIM","")</f>
        <v>#REF!</v>
      </c>
      <c r="F191" s="5" t="e">
        <f>IF((COUNTIFS(#REF!,$C191,#REF!,F$1))&gt;=1,"SIM","")</f>
        <v>#REF!</v>
      </c>
      <c r="G191" s="5" t="e">
        <f>IF((COUNTIFS(#REF!,$C191,#REF!,"*606*"))&gt;=1,"SIM","")</f>
        <v>#REF!</v>
      </c>
      <c r="H191" s="5" t="e">
        <f>IF((COUNTIFS(#REF!,$C191,#REF!,"*605*"))&gt;=1,"SIM","")</f>
        <v>#REF!</v>
      </c>
      <c r="I191" s="5" t="e">
        <f>IF((COUNTIFS(#REF!,$C191,#REF!,I$1))&gt;=1,"SIM","")</f>
        <v>#REF!</v>
      </c>
      <c r="J191" s="5" t="e">
        <f>IF((COUNTIFS(#REF!,$C191,#REF!,J$1))&gt;=1,"SIM","")</f>
        <v>#REF!</v>
      </c>
      <c r="K191" s="5" t="e">
        <f>IF((COUNTIFS(#REF!,$C191,#REF!,K$1))&gt;=1,"SIM","")</f>
        <v>#REF!</v>
      </c>
      <c r="L191" s="5" t="e">
        <f>IF((COUNTIFS(#REF!,$C191,#REF!,L$1))&gt;=1,"SIM","")</f>
        <v>#REF!</v>
      </c>
      <c r="M191" s="5" t="e">
        <f>IF((COUNTIFS(#REF!,$C191,#REF!,M$1))&gt;=1,"SIM","")</f>
        <v>#REF!</v>
      </c>
      <c r="N191" s="5" t="e">
        <f>IF((COUNTIFS(#REF!,$C191,#REF!,N$1))&gt;=1,"SIM","")</f>
        <v>#REF!</v>
      </c>
      <c r="O191" s="5"/>
      <c r="P191" s="5" t="e">
        <f>IF((COUNTIFS(#REF!,$C191,#REF!,P$1))&gt;=1,"SIM","")</f>
        <v>#REF!</v>
      </c>
      <c r="Q191" s="5" t="e">
        <f>IF((COUNTIFS(#REF!,$C191,#REF!,Q$1))&gt;=1,"SIM","")</f>
        <v>#REF!</v>
      </c>
      <c r="R191" s="5" t="e">
        <f>IF((COUNTIFS(#REF!,$C191,#REF!,"*CARTA*"))&gt;=1,"SIM","")</f>
        <v>#REF!</v>
      </c>
      <c r="S191" s="5" t="e">
        <f>IF((COUNTIFS(#REF!,$C191,#REF!,"*CARTA NOTIFICAÇÃO/DEVOL*"))&gt;=1,"SIM","")</f>
        <v>#REF!</v>
      </c>
      <c r="T191" s="5" t="e">
        <f>IF((COUNTIFS(#REF!,$C191,#REF!,"*LIGAÇÃO ATIVA DEV PRIN/LOC*"))&gt;=1,"SIM","")</f>
        <v>#REF!</v>
      </c>
    </row>
    <row r="192" spans="1:20">
      <c r="A192" s="24" t="s">
        <v>2159</v>
      </c>
      <c r="B192" s="24" t="s">
        <v>1412</v>
      </c>
      <c r="C192" s="24" t="s">
        <v>1413</v>
      </c>
      <c r="D192" s="5" t="e">
        <f>IF((COUNTIFS(#REF!,$C192,#REF!,"*163*"))&gt;=1,"SIM","")</f>
        <v>#REF!</v>
      </c>
      <c r="E192" s="5" t="e">
        <f>IF((COUNTIFS(#REF!,$C192,#REF!,E$1))&gt;=1,"SIM","")</f>
        <v>#REF!</v>
      </c>
      <c r="F192" s="5" t="e">
        <f>IF((COUNTIFS(#REF!,$C192,#REF!,F$1))&gt;=1,"SIM","")</f>
        <v>#REF!</v>
      </c>
      <c r="G192" s="5" t="e">
        <f>IF((COUNTIFS(#REF!,$C192,#REF!,"*606*"))&gt;=1,"SIM","")</f>
        <v>#REF!</v>
      </c>
      <c r="H192" s="5" t="e">
        <f>IF((COUNTIFS(#REF!,$C192,#REF!,"*605*"))&gt;=1,"SIM","")</f>
        <v>#REF!</v>
      </c>
      <c r="I192" s="5" t="e">
        <f>IF((COUNTIFS(#REF!,$C192,#REF!,I$1))&gt;=1,"SIM","")</f>
        <v>#REF!</v>
      </c>
      <c r="J192" s="5" t="e">
        <f>IF((COUNTIFS(#REF!,$C192,#REF!,J$1))&gt;=1,"SIM","")</f>
        <v>#REF!</v>
      </c>
      <c r="K192" s="5" t="e">
        <f>IF((COUNTIFS(#REF!,$C192,#REF!,K$1))&gt;=1,"SIM","")</f>
        <v>#REF!</v>
      </c>
      <c r="L192" s="5" t="e">
        <f>IF((COUNTIFS(#REF!,$C192,#REF!,L$1))&gt;=1,"SIM","")</f>
        <v>#REF!</v>
      </c>
      <c r="M192" s="5" t="e">
        <f>IF((COUNTIFS(#REF!,$C192,#REF!,M$1))&gt;=1,"SIM","")</f>
        <v>#REF!</v>
      </c>
      <c r="N192" s="5" t="e">
        <f>IF((COUNTIFS(#REF!,$C192,#REF!,N$1))&gt;=1,"SIM","")</f>
        <v>#REF!</v>
      </c>
      <c r="O192" s="5"/>
      <c r="P192" s="5" t="e">
        <f>IF((COUNTIFS(#REF!,$C192,#REF!,P$1))&gt;=1,"SIM","")</f>
        <v>#REF!</v>
      </c>
      <c r="Q192" s="5" t="e">
        <f>IF((COUNTIFS(#REF!,$C192,#REF!,Q$1))&gt;=1,"SIM","")</f>
        <v>#REF!</v>
      </c>
      <c r="R192" s="5" t="e">
        <f>IF((COUNTIFS(#REF!,$C192,#REF!,"*CARTA*"))&gt;=1,"SIM","")</f>
        <v>#REF!</v>
      </c>
      <c r="S192" s="5" t="e">
        <f>IF((COUNTIFS(#REF!,$C192,#REF!,"*CARTA NOTIFICAÇÃO/DEVOL*"))&gt;=1,"SIM","")</f>
        <v>#REF!</v>
      </c>
      <c r="T192" s="5" t="e">
        <f>IF((COUNTIFS(#REF!,$C192,#REF!,"*LIGAÇÃO ATIVA DEV PRIN/LOC*"))&gt;=1,"SIM","")</f>
        <v>#REF!</v>
      </c>
    </row>
    <row r="193" spans="1:20">
      <c r="A193" s="24" t="s">
        <v>2159</v>
      </c>
      <c r="B193" s="24" t="s">
        <v>1936</v>
      </c>
      <c r="C193" s="24" t="s">
        <v>1937</v>
      </c>
      <c r="D193" s="5" t="e">
        <f>IF((COUNTIFS(#REF!,$C193,#REF!,"*163*"))&gt;=1,"SIM","")</f>
        <v>#REF!</v>
      </c>
      <c r="E193" s="5" t="e">
        <f>IF((COUNTIFS(#REF!,$C193,#REF!,E$1))&gt;=1,"SIM","")</f>
        <v>#REF!</v>
      </c>
      <c r="F193" s="5" t="e">
        <f>IF((COUNTIFS(#REF!,$C193,#REF!,F$1))&gt;=1,"SIM","")</f>
        <v>#REF!</v>
      </c>
      <c r="G193" s="5" t="e">
        <f>IF((COUNTIFS(#REF!,$C193,#REF!,"*606*"))&gt;=1,"SIM","")</f>
        <v>#REF!</v>
      </c>
      <c r="H193" s="5" t="e">
        <f>IF((COUNTIFS(#REF!,$C193,#REF!,"*605*"))&gt;=1,"SIM","")</f>
        <v>#REF!</v>
      </c>
      <c r="I193" s="5" t="e">
        <f>IF((COUNTIFS(#REF!,$C193,#REF!,I$1))&gt;=1,"SIM","")</f>
        <v>#REF!</v>
      </c>
      <c r="J193" s="5" t="e">
        <f>IF((COUNTIFS(#REF!,$C193,#REF!,J$1))&gt;=1,"SIM","")</f>
        <v>#REF!</v>
      </c>
      <c r="K193" s="5" t="e">
        <f>IF((COUNTIFS(#REF!,$C193,#REF!,K$1))&gt;=1,"SIM","")</f>
        <v>#REF!</v>
      </c>
      <c r="L193" s="5" t="e">
        <f>IF((COUNTIFS(#REF!,$C193,#REF!,L$1))&gt;=1,"SIM","")</f>
        <v>#REF!</v>
      </c>
      <c r="M193" s="5" t="e">
        <f>IF((COUNTIFS(#REF!,$C193,#REF!,M$1))&gt;=1,"SIM","")</f>
        <v>#REF!</v>
      </c>
      <c r="N193" s="5" t="e">
        <f>IF((COUNTIFS(#REF!,$C193,#REF!,N$1))&gt;=1,"SIM","")</f>
        <v>#REF!</v>
      </c>
      <c r="O193" s="5"/>
      <c r="P193" s="5" t="e">
        <f>IF((COUNTIFS(#REF!,$C193,#REF!,P$1))&gt;=1,"SIM","")</f>
        <v>#REF!</v>
      </c>
      <c r="Q193" s="5" t="e">
        <f>IF((COUNTIFS(#REF!,$C193,#REF!,Q$1))&gt;=1,"SIM","")</f>
        <v>#REF!</v>
      </c>
      <c r="R193" s="5" t="e">
        <f>IF((COUNTIFS(#REF!,$C193,#REF!,"*CARTA*"))&gt;=1,"SIM","")</f>
        <v>#REF!</v>
      </c>
      <c r="S193" s="5" t="e">
        <f>IF((COUNTIFS(#REF!,$C193,#REF!,"*CARTA NOTIFICAÇÃO/DEVOL*"))&gt;=1,"SIM","")</f>
        <v>#REF!</v>
      </c>
      <c r="T193" s="5" t="e">
        <f>IF((COUNTIFS(#REF!,$C193,#REF!,"*LIGAÇÃO ATIVA DEV PRIN/LOC*"))&gt;=1,"SIM","")</f>
        <v>#REF!</v>
      </c>
    </row>
    <row r="194" spans="1:20">
      <c r="A194" s="24" t="s">
        <v>2159</v>
      </c>
      <c r="B194" s="24" t="s">
        <v>1384</v>
      </c>
      <c r="C194" s="24" t="s">
        <v>1385</v>
      </c>
      <c r="D194" s="5" t="e">
        <f>IF((COUNTIFS(#REF!,$C194,#REF!,"*163*"))&gt;=1,"SIM","")</f>
        <v>#REF!</v>
      </c>
      <c r="E194" s="5" t="e">
        <f>IF((COUNTIFS(#REF!,$C194,#REF!,E$1))&gt;=1,"SIM","")</f>
        <v>#REF!</v>
      </c>
      <c r="F194" s="5" t="e">
        <f>IF((COUNTIFS(#REF!,$C194,#REF!,F$1))&gt;=1,"SIM","")</f>
        <v>#REF!</v>
      </c>
      <c r="G194" s="5" t="e">
        <f>IF((COUNTIFS(#REF!,$C194,#REF!,"*606*"))&gt;=1,"SIM","")</f>
        <v>#REF!</v>
      </c>
      <c r="H194" s="5" t="e">
        <f>IF((COUNTIFS(#REF!,$C194,#REF!,"*605*"))&gt;=1,"SIM","")</f>
        <v>#REF!</v>
      </c>
      <c r="I194" s="5" t="e">
        <f>IF((COUNTIFS(#REF!,$C194,#REF!,I$1))&gt;=1,"SIM","")</f>
        <v>#REF!</v>
      </c>
      <c r="J194" s="5" t="e">
        <f>IF((COUNTIFS(#REF!,$C194,#REF!,J$1))&gt;=1,"SIM","")</f>
        <v>#REF!</v>
      </c>
      <c r="K194" s="5" t="e">
        <f>IF((COUNTIFS(#REF!,$C194,#REF!,K$1))&gt;=1,"SIM","")</f>
        <v>#REF!</v>
      </c>
      <c r="L194" s="5" t="e">
        <f>IF((COUNTIFS(#REF!,$C194,#REF!,L$1))&gt;=1,"SIM","")</f>
        <v>#REF!</v>
      </c>
      <c r="M194" s="5" t="e">
        <f>IF((COUNTIFS(#REF!,$C194,#REF!,M$1))&gt;=1,"SIM","")</f>
        <v>#REF!</v>
      </c>
      <c r="N194" s="5" t="e">
        <f>IF((COUNTIFS(#REF!,$C194,#REF!,N$1))&gt;=1,"SIM","")</f>
        <v>#REF!</v>
      </c>
      <c r="O194" s="5"/>
      <c r="P194" s="5" t="e">
        <f>IF((COUNTIFS(#REF!,$C194,#REF!,P$1))&gt;=1,"SIM","")</f>
        <v>#REF!</v>
      </c>
      <c r="Q194" s="5" t="e">
        <f>IF((COUNTIFS(#REF!,$C194,#REF!,Q$1))&gt;=1,"SIM","")</f>
        <v>#REF!</v>
      </c>
      <c r="R194" s="5" t="e">
        <f>IF((COUNTIFS(#REF!,$C194,#REF!,"*CARTA*"))&gt;=1,"SIM","")</f>
        <v>#REF!</v>
      </c>
      <c r="S194" s="5" t="e">
        <f>IF((COUNTIFS(#REF!,$C194,#REF!,"*CARTA NOTIFICAÇÃO/DEVOL*"))&gt;=1,"SIM","")</f>
        <v>#REF!</v>
      </c>
      <c r="T194" s="5" t="e">
        <f>IF((COUNTIFS(#REF!,$C194,#REF!,"*LIGAÇÃO ATIVA DEV PRIN/LOC*"))&gt;=1,"SIM","")</f>
        <v>#REF!</v>
      </c>
    </row>
    <row r="195" spans="1:20">
      <c r="A195" s="24" t="s">
        <v>2153</v>
      </c>
      <c r="B195" s="24" t="s">
        <v>198</v>
      </c>
      <c r="C195" s="24" t="s">
        <v>199</v>
      </c>
      <c r="D195" s="5" t="e">
        <f>IF((COUNTIFS(#REF!,$C195,#REF!,"*163*"))&gt;=1,"SIM","")</f>
        <v>#REF!</v>
      </c>
      <c r="E195" s="5" t="e">
        <f>IF((COUNTIFS(#REF!,$C195,#REF!,E$1))&gt;=1,"SIM","")</f>
        <v>#REF!</v>
      </c>
      <c r="F195" s="5" t="e">
        <f>IF((COUNTIFS(#REF!,$C195,#REF!,F$1))&gt;=1,"SIM","")</f>
        <v>#REF!</v>
      </c>
      <c r="G195" s="5" t="e">
        <f>IF((COUNTIFS(#REF!,$C195,#REF!,"*606*"))&gt;=1,"SIM","")</f>
        <v>#REF!</v>
      </c>
      <c r="H195" s="5" t="e">
        <f>IF((COUNTIFS(#REF!,$C195,#REF!,"*605*"))&gt;=1,"SIM","")</f>
        <v>#REF!</v>
      </c>
      <c r="I195" s="5" t="e">
        <f>IF((COUNTIFS(#REF!,$C195,#REF!,I$1))&gt;=1,"SIM","")</f>
        <v>#REF!</v>
      </c>
      <c r="J195" s="5" t="e">
        <f>IF((COUNTIFS(#REF!,$C195,#REF!,J$1))&gt;=1,"SIM","")</f>
        <v>#REF!</v>
      </c>
      <c r="K195" s="5" t="e">
        <f>IF((COUNTIFS(#REF!,$C195,#REF!,K$1))&gt;=1,"SIM","")</f>
        <v>#REF!</v>
      </c>
      <c r="L195" s="5" t="e">
        <f>IF((COUNTIFS(#REF!,$C195,#REF!,L$1))&gt;=1,"SIM","")</f>
        <v>#REF!</v>
      </c>
      <c r="M195" s="5" t="e">
        <f>IF((COUNTIFS(#REF!,$C195,#REF!,M$1))&gt;=1,"SIM","")</f>
        <v>#REF!</v>
      </c>
      <c r="N195" s="5" t="e">
        <f>IF((COUNTIFS(#REF!,$C195,#REF!,N$1))&gt;=1,"SIM","")</f>
        <v>#REF!</v>
      </c>
      <c r="O195" s="5"/>
      <c r="P195" s="5" t="e">
        <f>IF((COUNTIFS(#REF!,$C195,#REF!,P$1))&gt;=1,"SIM","")</f>
        <v>#REF!</v>
      </c>
      <c r="Q195" s="5" t="e">
        <f>IF((COUNTIFS(#REF!,$C195,#REF!,Q$1))&gt;=1,"SIM","")</f>
        <v>#REF!</v>
      </c>
      <c r="R195" s="5" t="e">
        <f>IF((COUNTIFS(#REF!,$C195,#REF!,"*CARTA*"))&gt;=1,"SIM","")</f>
        <v>#REF!</v>
      </c>
      <c r="S195" s="5" t="e">
        <f>IF((COUNTIFS(#REF!,$C195,#REF!,"*CARTA NOTIFICAÇÃO/DEVOL*"))&gt;=1,"SIM","")</f>
        <v>#REF!</v>
      </c>
      <c r="T195" s="5" t="e">
        <f>IF((COUNTIFS(#REF!,$C195,#REF!,"*LIGAÇÃO ATIVA DEV PRIN/LOC*"))&gt;=1,"SIM","")</f>
        <v>#REF!</v>
      </c>
    </row>
    <row r="196" spans="1:20">
      <c r="A196" s="24" t="s">
        <v>2153</v>
      </c>
      <c r="B196" s="24" t="s">
        <v>910</v>
      </c>
      <c r="C196" s="24" t="s">
        <v>911</v>
      </c>
      <c r="D196" s="5" t="e">
        <f>IF((COUNTIFS(#REF!,$C196,#REF!,"*163*"))&gt;=1,"SIM","")</f>
        <v>#REF!</v>
      </c>
      <c r="E196" s="5" t="e">
        <f>IF((COUNTIFS(#REF!,$C196,#REF!,E$1))&gt;=1,"SIM","")</f>
        <v>#REF!</v>
      </c>
      <c r="F196" s="5" t="e">
        <f>IF((COUNTIFS(#REF!,$C196,#REF!,F$1))&gt;=1,"SIM","")</f>
        <v>#REF!</v>
      </c>
      <c r="G196" s="5" t="e">
        <f>IF((COUNTIFS(#REF!,$C196,#REF!,"*606*"))&gt;=1,"SIM","")</f>
        <v>#REF!</v>
      </c>
      <c r="H196" s="5" t="e">
        <f>IF((COUNTIFS(#REF!,$C196,#REF!,"*605*"))&gt;=1,"SIM","")</f>
        <v>#REF!</v>
      </c>
      <c r="I196" s="5" t="e">
        <f>IF((COUNTIFS(#REF!,$C196,#REF!,I$1))&gt;=1,"SIM","")</f>
        <v>#REF!</v>
      </c>
      <c r="J196" s="5" t="e">
        <f>IF((COUNTIFS(#REF!,$C196,#REF!,J$1))&gt;=1,"SIM","")</f>
        <v>#REF!</v>
      </c>
      <c r="K196" s="5" t="e">
        <f>IF((COUNTIFS(#REF!,$C196,#REF!,K$1))&gt;=1,"SIM","")</f>
        <v>#REF!</v>
      </c>
      <c r="L196" s="5" t="e">
        <f>IF((COUNTIFS(#REF!,$C196,#REF!,L$1))&gt;=1,"SIM","")</f>
        <v>#REF!</v>
      </c>
      <c r="M196" s="5" t="e">
        <f>IF((COUNTIFS(#REF!,$C196,#REF!,M$1))&gt;=1,"SIM","")</f>
        <v>#REF!</v>
      </c>
      <c r="N196" s="5" t="e">
        <f>IF((COUNTIFS(#REF!,$C196,#REF!,N$1))&gt;=1,"SIM","")</f>
        <v>#REF!</v>
      </c>
      <c r="O196" s="5"/>
      <c r="P196" s="5" t="e">
        <f>IF((COUNTIFS(#REF!,$C196,#REF!,P$1))&gt;=1,"SIM","")</f>
        <v>#REF!</v>
      </c>
      <c r="Q196" s="5" t="e">
        <f>IF((COUNTIFS(#REF!,$C196,#REF!,Q$1))&gt;=1,"SIM","")</f>
        <v>#REF!</v>
      </c>
      <c r="R196" s="5" t="e">
        <f>IF((COUNTIFS(#REF!,$C196,#REF!,"*CARTA*"))&gt;=1,"SIM","")</f>
        <v>#REF!</v>
      </c>
      <c r="S196" s="5" t="e">
        <f>IF((COUNTIFS(#REF!,$C196,#REF!,"*CARTA NOTIFICAÇÃO/DEVOL*"))&gt;=1,"SIM","")</f>
        <v>#REF!</v>
      </c>
      <c r="T196" s="5" t="e">
        <f>IF((COUNTIFS(#REF!,$C196,#REF!,"*LIGAÇÃO ATIVA DEV PRIN/LOC*"))&gt;=1,"SIM","")</f>
        <v>#REF!</v>
      </c>
    </row>
    <row r="197" spans="1:20">
      <c r="A197" s="24" t="s">
        <v>2153</v>
      </c>
      <c r="B197" s="24" t="s">
        <v>748</v>
      </c>
      <c r="C197" s="24" t="s">
        <v>749</v>
      </c>
      <c r="D197" s="5" t="e">
        <f>IF((COUNTIFS(#REF!,$C197,#REF!,"*163*"))&gt;=1,"SIM","")</f>
        <v>#REF!</v>
      </c>
      <c r="E197" s="5" t="e">
        <f>IF((COUNTIFS(#REF!,$C197,#REF!,E$1))&gt;=1,"SIM","")</f>
        <v>#REF!</v>
      </c>
      <c r="F197" s="5" t="e">
        <f>IF((COUNTIFS(#REF!,$C197,#REF!,F$1))&gt;=1,"SIM","")</f>
        <v>#REF!</v>
      </c>
      <c r="G197" s="5" t="e">
        <f>IF((COUNTIFS(#REF!,$C197,#REF!,"*606*"))&gt;=1,"SIM","")</f>
        <v>#REF!</v>
      </c>
      <c r="H197" s="5" t="e">
        <f>IF((COUNTIFS(#REF!,$C197,#REF!,"*605*"))&gt;=1,"SIM","")</f>
        <v>#REF!</v>
      </c>
      <c r="I197" s="5" t="e">
        <f>IF((COUNTIFS(#REF!,$C197,#REF!,I$1))&gt;=1,"SIM","")</f>
        <v>#REF!</v>
      </c>
      <c r="J197" s="5" t="e">
        <f>IF((COUNTIFS(#REF!,$C197,#REF!,J$1))&gt;=1,"SIM","")</f>
        <v>#REF!</v>
      </c>
      <c r="K197" s="5" t="e">
        <f>IF((COUNTIFS(#REF!,$C197,#REF!,K$1))&gt;=1,"SIM","")</f>
        <v>#REF!</v>
      </c>
      <c r="L197" s="5" t="e">
        <f>IF((COUNTIFS(#REF!,$C197,#REF!,L$1))&gt;=1,"SIM","")</f>
        <v>#REF!</v>
      </c>
      <c r="M197" s="5" t="e">
        <f>IF((COUNTIFS(#REF!,$C197,#REF!,M$1))&gt;=1,"SIM","")</f>
        <v>#REF!</v>
      </c>
      <c r="N197" s="5" t="e">
        <f>IF((COUNTIFS(#REF!,$C197,#REF!,N$1))&gt;=1,"SIM","")</f>
        <v>#REF!</v>
      </c>
      <c r="O197" s="5"/>
      <c r="P197" s="5" t="e">
        <f>IF((COUNTIFS(#REF!,$C197,#REF!,P$1))&gt;=1,"SIM","")</f>
        <v>#REF!</v>
      </c>
      <c r="Q197" s="5" t="e">
        <f>IF((COUNTIFS(#REF!,$C197,#REF!,Q$1))&gt;=1,"SIM","")</f>
        <v>#REF!</v>
      </c>
      <c r="R197" s="5" t="e">
        <f>IF((COUNTIFS(#REF!,$C197,#REF!,"*CARTA*"))&gt;=1,"SIM","")</f>
        <v>#REF!</v>
      </c>
      <c r="S197" s="5" t="e">
        <f>IF((COUNTIFS(#REF!,$C197,#REF!,"*CARTA NOTIFICAÇÃO/DEVOL*"))&gt;=1,"SIM","")</f>
        <v>#REF!</v>
      </c>
      <c r="T197" s="5" t="e">
        <f>IF((COUNTIFS(#REF!,$C197,#REF!,"*LIGAÇÃO ATIVA DEV PRIN/LOC*"))&gt;=1,"SIM","")</f>
        <v>#REF!</v>
      </c>
    </row>
    <row r="198" spans="1:20">
      <c r="A198" s="24" t="s">
        <v>2153</v>
      </c>
      <c r="B198" s="24" t="s">
        <v>708</v>
      </c>
      <c r="C198" s="24" t="s">
        <v>709</v>
      </c>
      <c r="D198" s="5" t="e">
        <f>IF((COUNTIFS(#REF!,$C198,#REF!,"*163*"))&gt;=1,"SIM","")</f>
        <v>#REF!</v>
      </c>
      <c r="E198" s="5" t="e">
        <f>IF((COUNTIFS(#REF!,$C198,#REF!,E$1))&gt;=1,"SIM","")</f>
        <v>#REF!</v>
      </c>
      <c r="F198" s="5" t="e">
        <f>IF((COUNTIFS(#REF!,$C198,#REF!,F$1))&gt;=1,"SIM","")</f>
        <v>#REF!</v>
      </c>
      <c r="G198" s="5" t="e">
        <f>IF((COUNTIFS(#REF!,$C198,#REF!,"*606*"))&gt;=1,"SIM","")</f>
        <v>#REF!</v>
      </c>
      <c r="H198" s="5" t="e">
        <f>IF((COUNTIFS(#REF!,$C198,#REF!,"*605*"))&gt;=1,"SIM","")</f>
        <v>#REF!</v>
      </c>
      <c r="I198" s="5" t="e">
        <f>IF((COUNTIFS(#REF!,$C198,#REF!,I$1))&gt;=1,"SIM","")</f>
        <v>#REF!</v>
      </c>
      <c r="J198" s="5" t="e">
        <f>IF((COUNTIFS(#REF!,$C198,#REF!,J$1))&gt;=1,"SIM","")</f>
        <v>#REF!</v>
      </c>
      <c r="K198" s="5" t="e">
        <f>IF((COUNTIFS(#REF!,$C198,#REF!,K$1))&gt;=1,"SIM","")</f>
        <v>#REF!</v>
      </c>
      <c r="L198" s="5" t="e">
        <f>IF((COUNTIFS(#REF!,$C198,#REF!,L$1))&gt;=1,"SIM","")</f>
        <v>#REF!</v>
      </c>
      <c r="M198" s="5" t="e">
        <f>IF((COUNTIFS(#REF!,$C198,#REF!,M$1))&gt;=1,"SIM","")</f>
        <v>#REF!</v>
      </c>
      <c r="N198" s="5" t="e">
        <f>IF((COUNTIFS(#REF!,$C198,#REF!,N$1))&gt;=1,"SIM","")</f>
        <v>#REF!</v>
      </c>
      <c r="O198" s="5"/>
      <c r="P198" s="5" t="e">
        <f>IF((COUNTIFS(#REF!,$C198,#REF!,P$1))&gt;=1,"SIM","")</f>
        <v>#REF!</v>
      </c>
      <c r="Q198" s="5" t="e">
        <f>IF((COUNTIFS(#REF!,$C198,#REF!,Q$1))&gt;=1,"SIM","")</f>
        <v>#REF!</v>
      </c>
      <c r="R198" s="5" t="e">
        <f>IF((COUNTIFS(#REF!,$C198,#REF!,"*CARTA*"))&gt;=1,"SIM","")</f>
        <v>#REF!</v>
      </c>
      <c r="S198" s="5" t="e">
        <f>IF((COUNTIFS(#REF!,$C198,#REF!,"*CARTA NOTIFICAÇÃO/DEVOL*"))&gt;=1,"SIM","")</f>
        <v>#REF!</v>
      </c>
      <c r="T198" s="5" t="e">
        <f>IF((COUNTIFS(#REF!,$C198,#REF!,"*LIGAÇÃO ATIVA DEV PRIN/LOC*"))&gt;=1,"SIM","")</f>
        <v>#REF!</v>
      </c>
    </row>
    <row r="199" spans="1:20">
      <c r="A199" s="24" t="s">
        <v>2154</v>
      </c>
      <c r="B199" s="24" t="s">
        <v>41</v>
      </c>
      <c r="C199" s="24" t="s">
        <v>42</v>
      </c>
      <c r="D199" s="5" t="e">
        <f>IF((COUNTIFS(#REF!,$C199,#REF!,"*163*"))&gt;=1,"SIM","")</f>
        <v>#REF!</v>
      </c>
      <c r="E199" s="5" t="e">
        <f>IF((COUNTIFS(#REF!,$C199,#REF!,E$1))&gt;=1,"SIM","")</f>
        <v>#REF!</v>
      </c>
      <c r="F199" s="5" t="e">
        <f>IF((COUNTIFS(#REF!,$C199,#REF!,F$1))&gt;=1,"SIM","")</f>
        <v>#REF!</v>
      </c>
      <c r="G199" s="5" t="e">
        <f>IF((COUNTIFS(#REF!,$C199,#REF!,"*606*"))&gt;=1,"SIM","")</f>
        <v>#REF!</v>
      </c>
      <c r="H199" s="5" t="e">
        <f>IF((COUNTIFS(#REF!,$C199,#REF!,"*605*"))&gt;=1,"SIM","")</f>
        <v>#REF!</v>
      </c>
      <c r="I199" s="5" t="e">
        <f>IF((COUNTIFS(#REF!,$C199,#REF!,I$1))&gt;=1,"SIM","")</f>
        <v>#REF!</v>
      </c>
      <c r="J199" s="5" t="e">
        <f>IF((COUNTIFS(#REF!,$C199,#REF!,J$1))&gt;=1,"SIM","")</f>
        <v>#REF!</v>
      </c>
      <c r="K199" s="5" t="e">
        <f>IF((COUNTIFS(#REF!,$C199,#REF!,K$1))&gt;=1,"SIM","")</f>
        <v>#REF!</v>
      </c>
      <c r="L199" s="5" t="e">
        <f>IF((COUNTIFS(#REF!,$C199,#REF!,L$1))&gt;=1,"SIM","")</f>
        <v>#REF!</v>
      </c>
      <c r="M199" s="5" t="e">
        <f>IF((COUNTIFS(#REF!,$C199,#REF!,M$1))&gt;=1,"SIM","")</f>
        <v>#REF!</v>
      </c>
      <c r="N199" s="5" t="e">
        <f>IF((COUNTIFS(#REF!,$C199,#REF!,N$1))&gt;=1,"SIM","")</f>
        <v>#REF!</v>
      </c>
      <c r="O199" s="5"/>
      <c r="P199" s="5" t="e">
        <f>IF((COUNTIFS(#REF!,$C199,#REF!,P$1))&gt;=1,"SIM","")</f>
        <v>#REF!</v>
      </c>
      <c r="Q199" s="5" t="e">
        <f>IF((COUNTIFS(#REF!,$C199,#REF!,Q$1))&gt;=1,"SIM","")</f>
        <v>#REF!</v>
      </c>
      <c r="R199" s="5" t="e">
        <f>IF((COUNTIFS(#REF!,$C199,#REF!,"*CARTA*"))&gt;=1,"SIM","")</f>
        <v>#REF!</v>
      </c>
      <c r="S199" s="5" t="e">
        <f>IF((COUNTIFS(#REF!,$C199,#REF!,"*CARTA NOTIFICAÇÃO/DEVOL*"))&gt;=1,"SIM","")</f>
        <v>#REF!</v>
      </c>
      <c r="T199" s="5" t="e">
        <f>IF((COUNTIFS(#REF!,$C199,#REF!,"*LIGAÇÃO ATIVA DEV PRIN/LOC*"))&gt;=1,"SIM","")</f>
        <v>#REF!</v>
      </c>
    </row>
    <row r="200" spans="1:20">
      <c r="A200" s="24" t="s">
        <v>2153</v>
      </c>
      <c r="B200" s="24" t="s">
        <v>528</v>
      </c>
      <c r="C200" s="24" t="s">
        <v>529</v>
      </c>
      <c r="D200" s="5" t="e">
        <f>IF((COUNTIFS(#REF!,$C200,#REF!,"*163*"))&gt;=1,"SIM","")</f>
        <v>#REF!</v>
      </c>
      <c r="E200" s="5" t="e">
        <f>IF((COUNTIFS(#REF!,$C200,#REF!,E$1))&gt;=1,"SIM","")</f>
        <v>#REF!</v>
      </c>
      <c r="F200" s="5" t="e">
        <f>IF((COUNTIFS(#REF!,$C200,#REF!,F$1))&gt;=1,"SIM","")</f>
        <v>#REF!</v>
      </c>
      <c r="G200" s="5" t="e">
        <f>IF((COUNTIFS(#REF!,$C200,#REF!,"*606*"))&gt;=1,"SIM","")</f>
        <v>#REF!</v>
      </c>
      <c r="H200" s="5" t="e">
        <f>IF((COUNTIFS(#REF!,$C200,#REF!,"*605*"))&gt;=1,"SIM","")</f>
        <v>#REF!</v>
      </c>
      <c r="I200" s="5" t="e">
        <f>IF((COUNTIFS(#REF!,$C200,#REF!,I$1))&gt;=1,"SIM","")</f>
        <v>#REF!</v>
      </c>
      <c r="J200" s="5" t="e">
        <f>IF((COUNTIFS(#REF!,$C200,#REF!,J$1))&gt;=1,"SIM","")</f>
        <v>#REF!</v>
      </c>
      <c r="K200" s="5" t="e">
        <f>IF((COUNTIFS(#REF!,$C200,#REF!,K$1))&gt;=1,"SIM","")</f>
        <v>#REF!</v>
      </c>
      <c r="L200" s="5" t="e">
        <f>IF((COUNTIFS(#REF!,$C200,#REF!,L$1))&gt;=1,"SIM","")</f>
        <v>#REF!</v>
      </c>
      <c r="M200" s="5" t="e">
        <f>IF((COUNTIFS(#REF!,$C200,#REF!,M$1))&gt;=1,"SIM","")</f>
        <v>#REF!</v>
      </c>
      <c r="N200" s="5" t="e">
        <f>IF((COUNTIFS(#REF!,$C200,#REF!,N$1))&gt;=1,"SIM","")</f>
        <v>#REF!</v>
      </c>
      <c r="O200" s="5"/>
      <c r="P200" s="5" t="e">
        <f>IF((COUNTIFS(#REF!,$C200,#REF!,P$1))&gt;=1,"SIM","")</f>
        <v>#REF!</v>
      </c>
      <c r="Q200" s="5" t="e">
        <f>IF((COUNTIFS(#REF!,$C200,#REF!,Q$1))&gt;=1,"SIM","")</f>
        <v>#REF!</v>
      </c>
      <c r="R200" s="5" t="e">
        <f>IF((COUNTIFS(#REF!,$C200,#REF!,"*CARTA*"))&gt;=1,"SIM","")</f>
        <v>#REF!</v>
      </c>
      <c r="S200" s="5" t="e">
        <f>IF((COUNTIFS(#REF!,$C200,#REF!,"*CARTA NOTIFICAÇÃO/DEVOL*"))&gt;=1,"SIM","")</f>
        <v>#REF!</v>
      </c>
      <c r="T200" s="5" t="e">
        <f>IF((COUNTIFS(#REF!,$C200,#REF!,"*LIGAÇÃO ATIVA DEV PRIN/LOC*"))&gt;=1,"SIM","")</f>
        <v>#REF!</v>
      </c>
    </row>
    <row r="201" spans="1:20">
      <c r="A201" s="24" t="s">
        <v>2159</v>
      </c>
      <c r="B201" s="24" t="s">
        <v>968</v>
      </c>
      <c r="C201" s="24" t="s">
        <v>969</v>
      </c>
      <c r="D201" s="5" t="e">
        <f>IF((COUNTIFS(#REF!,$C201,#REF!,"*163*"))&gt;=1,"SIM","")</f>
        <v>#REF!</v>
      </c>
      <c r="E201" s="5" t="e">
        <f>IF((COUNTIFS(#REF!,$C201,#REF!,E$1))&gt;=1,"SIM","")</f>
        <v>#REF!</v>
      </c>
      <c r="F201" s="5" t="e">
        <f>IF((COUNTIFS(#REF!,$C201,#REF!,F$1))&gt;=1,"SIM","")</f>
        <v>#REF!</v>
      </c>
      <c r="G201" s="5" t="e">
        <f>IF((COUNTIFS(#REF!,$C201,#REF!,"*606*"))&gt;=1,"SIM","")</f>
        <v>#REF!</v>
      </c>
      <c r="H201" s="5" t="e">
        <f>IF((COUNTIFS(#REF!,$C201,#REF!,"*605*"))&gt;=1,"SIM","")</f>
        <v>#REF!</v>
      </c>
      <c r="I201" s="5" t="e">
        <f>IF((COUNTIFS(#REF!,$C201,#REF!,I$1))&gt;=1,"SIM","")</f>
        <v>#REF!</v>
      </c>
      <c r="J201" s="5" t="e">
        <f>IF((COUNTIFS(#REF!,$C201,#REF!,J$1))&gt;=1,"SIM","")</f>
        <v>#REF!</v>
      </c>
      <c r="K201" s="5" t="e">
        <f>IF((COUNTIFS(#REF!,$C201,#REF!,K$1))&gt;=1,"SIM","")</f>
        <v>#REF!</v>
      </c>
      <c r="L201" s="5" t="e">
        <f>IF((COUNTIFS(#REF!,$C201,#REF!,L$1))&gt;=1,"SIM","")</f>
        <v>#REF!</v>
      </c>
      <c r="M201" s="5" t="e">
        <f>IF((COUNTIFS(#REF!,$C201,#REF!,M$1))&gt;=1,"SIM","")</f>
        <v>#REF!</v>
      </c>
      <c r="N201" s="5" t="e">
        <f>IF((COUNTIFS(#REF!,$C201,#REF!,N$1))&gt;=1,"SIM","")</f>
        <v>#REF!</v>
      </c>
      <c r="O201" s="5"/>
      <c r="P201" s="5" t="e">
        <f>IF((COUNTIFS(#REF!,$C201,#REF!,P$1))&gt;=1,"SIM","")</f>
        <v>#REF!</v>
      </c>
      <c r="Q201" s="5" t="e">
        <f>IF((COUNTIFS(#REF!,$C201,#REF!,Q$1))&gt;=1,"SIM","")</f>
        <v>#REF!</v>
      </c>
      <c r="R201" s="5" t="e">
        <f>IF((COUNTIFS(#REF!,$C201,#REF!,"*CARTA*"))&gt;=1,"SIM","")</f>
        <v>#REF!</v>
      </c>
      <c r="S201" s="5" t="e">
        <f>IF((COUNTIFS(#REF!,$C201,#REF!,"*CARTA NOTIFICAÇÃO/DEVOL*"))&gt;=1,"SIM","")</f>
        <v>#REF!</v>
      </c>
      <c r="T201" s="5" t="e">
        <f>IF((COUNTIFS(#REF!,$C201,#REF!,"*LIGAÇÃO ATIVA DEV PRIN/LOC*"))&gt;=1,"SIM","")</f>
        <v>#REF!</v>
      </c>
    </row>
    <row r="202" spans="1:20">
      <c r="A202" s="24" t="s">
        <v>2153</v>
      </c>
      <c r="B202" s="24" t="s">
        <v>698</v>
      </c>
      <c r="C202" s="24" t="s">
        <v>699</v>
      </c>
      <c r="D202" s="5" t="e">
        <f>IF((COUNTIFS(#REF!,$C202,#REF!,"*163*"))&gt;=1,"SIM","")</f>
        <v>#REF!</v>
      </c>
      <c r="E202" s="5" t="e">
        <f>IF((COUNTIFS(#REF!,$C202,#REF!,E$1))&gt;=1,"SIM","")</f>
        <v>#REF!</v>
      </c>
      <c r="F202" s="5" t="e">
        <f>IF((COUNTIFS(#REF!,$C202,#REF!,F$1))&gt;=1,"SIM","")</f>
        <v>#REF!</v>
      </c>
      <c r="G202" s="5" t="e">
        <f>IF((COUNTIFS(#REF!,$C202,#REF!,"*606*"))&gt;=1,"SIM","")</f>
        <v>#REF!</v>
      </c>
      <c r="H202" s="5" t="e">
        <f>IF((COUNTIFS(#REF!,$C202,#REF!,"*605*"))&gt;=1,"SIM","")</f>
        <v>#REF!</v>
      </c>
      <c r="I202" s="5" t="e">
        <f>IF((COUNTIFS(#REF!,$C202,#REF!,I$1))&gt;=1,"SIM","")</f>
        <v>#REF!</v>
      </c>
      <c r="J202" s="5" t="e">
        <f>IF((COUNTIFS(#REF!,$C202,#REF!,J$1))&gt;=1,"SIM","")</f>
        <v>#REF!</v>
      </c>
      <c r="K202" s="5" t="e">
        <f>IF((COUNTIFS(#REF!,$C202,#REF!,K$1))&gt;=1,"SIM","")</f>
        <v>#REF!</v>
      </c>
      <c r="L202" s="5" t="e">
        <f>IF((COUNTIFS(#REF!,$C202,#REF!,L$1))&gt;=1,"SIM","")</f>
        <v>#REF!</v>
      </c>
      <c r="M202" s="5" t="e">
        <f>IF((COUNTIFS(#REF!,$C202,#REF!,M$1))&gt;=1,"SIM","")</f>
        <v>#REF!</v>
      </c>
      <c r="N202" s="5" t="e">
        <f>IF((COUNTIFS(#REF!,$C202,#REF!,N$1))&gt;=1,"SIM","")</f>
        <v>#REF!</v>
      </c>
      <c r="O202" s="5"/>
      <c r="P202" s="5" t="e">
        <f>IF((COUNTIFS(#REF!,$C202,#REF!,P$1))&gt;=1,"SIM","")</f>
        <v>#REF!</v>
      </c>
      <c r="Q202" s="5" t="e">
        <f>IF((COUNTIFS(#REF!,$C202,#REF!,Q$1))&gt;=1,"SIM","")</f>
        <v>#REF!</v>
      </c>
      <c r="R202" s="5" t="e">
        <f>IF((COUNTIFS(#REF!,$C202,#REF!,"*CARTA*"))&gt;=1,"SIM","")</f>
        <v>#REF!</v>
      </c>
      <c r="S202" s="5" t="e">
        <f>IF((COUNTIFS(#REF!,$C202,#REF!,"*CARTA NOTIFICAÇÃO/DEVOL*"))&gt;=1,"SIM","")</f>
        <v>#REF!</v>
      </c>
      <c r="T202" s="5" t="e">
        <f>IF((COUNTIFS(#REF!,$C202,#REF!,"*LIGAÇÃO ATIVA DEV PRIN/LOC*"))&gt;=1,"SIM","")</f>
        <v>#REF!</v>
      </c>
    </row>
    <row r="203" spans="1:20">
      <c r="A203" s="24" t="s">
        <v>2159</v>
      </c>
      <c r="B203" s="24" t="s">
        <v>2087</v>
      </c>
      <c r="C203" s="24" t="s">
        <v>2088</v>
      </c>
      <c r="D203" s="5" t="e">
        <f>IF((COUNTIFS(#REF!,$C203,#REF!,"*163*"))&gt;=1,"SIM","")</f>
        <v>#REF!</v>
      </c>
      <c r="E203" s="5" t="e">
        <f>IF((COUNTIFS(#REF!,$C203,#REF!,E$1))&gt;=1,"SIM","")</f>
        <v>#REF!</v>
      </c>
      <c r="F203" s="5" t="e">
        <f>IF((COUNTIFS(#REF!,$C203,#REF!,F$1))&gt;=1,"SIM","")</f>
        <v>#REF!</v>
      </c>
      <c r="G203" s="5" t="e">
        <f>IF((COUNTIFS(#REF!,$C203,#REF!,"*606*"))&gt;=1,"SIM","")</f>
        <v>#REF!</v>
      </c>
      <c r="H203" s="5" t="e">
        <f>IF((COUNTIFS(#REF!,$C203,#REF!,"*605*"))&gt;=1,"SIM","")</f>
        <v>#REF!</v>
      </c>
      <c r="I203" s="5" t="e">
        <f>IF((COUNTIFS(#REF!,$C203,#REF!,I$1))&gt;=1,"SIM","")</f>
        <v>#REF!</v>
      </c>
      <c r="J203" s="5" t="e">
        <f>IF((COUNTIFS(#REF!,$C203,#REF!,J$1))&gt;=1,"SIM","")</f>
        <v>#REF!</v>
      </c>
      <c r="K203" s="5" t="e">
        <f>IF((COUNTIFS(#REF!,$C203,#REF!,K$1))&gt;=1,"SIM","")</f>
        <v>#REF!</v>
      </c>
      <c r="L203" s="5" t="e">
        <f>IF((COUNTIFS(#REF!,$C203,#REF!,L$1))&gt;=1,"SIM","")</f>
        <v>#REF!</v>
      </c>
      <c r="M203" s="5" t="e">
        <f>IF((COUNTIFS(#REF!,$C203,#REF!,M$1))&gt;=1,"SIM","")</f>
        <v>#REF!</v>
      </c>
      <c r="N203" s="5" t="e">
        <f>IF((COUNTIFS(#REF!,$C203,#REF!,N$1))&gt;=1,"SIM","")</f>
        <v>#REF!</v>
      </c>
      <c r="O203" s="5"/>
      <c r="P203" s="5" t="e">
        <f>IF((COUNTIFS(#REF!,$C203,#REF!,P$1))&gt;=1,"SIM","")</f>
        <v>#REF!</v>
      </c>
      <c r="Q203" s="5" t="e">
        <f>IF((COUNTIFS(#REF!,$C203,#REF!,Q$1))&gt;=1,"SIM","")</f>
        <v>#REF!</v>
      </c>
      <c r="R203" s="5" t="e">
        <f>IF((COUNTIFS(#REF!,$C203,#REF!,"*CARTA*"))&gt;=1,"SIM","")</f>
        <v>#REF!</v>
      </c>
      <c r="S203" s="5" t="e">
        <f>IF((COUNTIFS(#REF!,$C203,#REF!,"*CARTA NOTIFICAÇÃO/DEVOL*"))&gt;=1,"SIM","")</f>
        <v>#REF!</v>
      </c>
      <c r="T203" s="5" t="e">
        <f>IF((COUNTIFS(#REF!,$C203,#REF!,"*LIGAÇÃO ATIVA DEV PRIN/LOC*"))&gt;=1,"SIM","")</f>
        <v>#REF!</v>
      </c>
    </row>
    <row r="204" spans="1:20">
      <c r="A204" s="24" t="s">
        <v>2159</v>
      </c>
      <c r="B204" s="24" t="s">
        <v>1002</v>
      </c>
      <c r="C204" s="24" t="s">
        <v>1003</v>
      </c>
      <c r="D204" s="5" t="e">
        <f>IF((COUNTIFS(#REF!,$C204,#REF!,"*163*"))&gt;=1,"SIM","")</f>
        <v>#REF!</v>
      </c>
      <c r="E204" s="5" t="e">
        <f>IF((COUNTIFS(#REF!,$C204,#REF!,E$1))&gt;=1,"SIM","")</f>
        <v>#REF!</v>
      </c>
      <c r="F204" s="5" t="e">
        <f>IF((COUNTIFS(#REF!,$C204,#REF!,F$1))&gt;=1,"SIM","")</f>
        <v>#REF!</v>
      </c>
      <c r="G204" s="5" t="e">
        <f>IF((COUNTIFS(#REF!,$C204,#REF!,"*606*"))&gt;=1,"SIM","")</f>
        <v>#REF!</v>
      </c>
      <c r="H204" s="5" t="e">
        <f>IF((COUNTIFS(#REF!,$C204,#REF!,"*605*"))&gt;=1,"SIM","")</f>
        <v>#REF!</v>
      </c>
      <c r="I204" s="5" t="e">
        <f>IF((COUNTIFS(#REF!,$C204,#REF!,I$1))&gt;=1,"SIM","")</f>
        <v>#REF!</v>
      </c>
      <c r="J204" s="5" t="e">
        <f>IF((COUNTIFS(#REF!,$C204,#REF!,J$1))&gt;=1,"SIM","")</f>
        <v>#REF!</v>
      </c>
      <c r="K204" s="5" t="e">
        <f>IF((COUNTIFS(#REF!,$C204,#REF!,K$1))&gt;=1,"SIM","")</f>
        <v>#REF!</v>
      </c>
      <c r="L204" s="5" t="e">
        <f>IF((COUNTIFS(#REF!,$C204,#REF!,L$1))&gt;=1,"SIM","")</f>
        <v>#REF!</v>
      </c>
      <c r="M204" s="5" t="e">
        <f>IF((COUNTIFS(#REF!,$C204,#REF!,M$1))&gt;=1,"SIM","")</f>
        <v>#REF!</v>
      </c>
      <c r="N204" s="5" t="e">
        <f>IF((COUNTIFS(#REF!,$C204,#REF!,N$1))&gt;=1,"SIM","")</f>
        <v>#REF!</v>
      </c>
      <c r="O204" s="5"/>
      <c r="P204" s="5" t="e">
        <f>IF((COUNTIFS(#REF!,$C204,#REF!,P$1))&gt;=1,"SIM","")</f>
        <v>#REF!</v>
      </c>
      <c r="Q204" s="5" t="e">
        <f>IF((COUNTIFS(#REF!,$C204,#REF!,Q$1))&gt;=1,"SIM","")</f>
        <v>#REF!</v>
      </c>
      <c r="R204" s="5" t="e">
        <f>IF((COUNTIFS(#REF!,$C204,#REF!,"*CARTA*"))&gt;=1,"SIM","")</f>
        <v>#REF!</v>
      </c>
      <c r="S204" s="5" t="e">
        <f>IF((COUNTIFS(#REF!,$C204,#REF!,"*CARTA NOTIFICAÇÃO/DEVOL*"))&gt;=1,"SIM","")</f>
        <v>#REF!</v>
      </c>
      <c r="T204" s="5" t="e">
        <f>IF((COUNTIFS(#REF!,$C204,#REF!,"*LIGAÇÃO ATIVA DEV PRIN/LOC*"))&gt;=1,"SIM","")</f>
        <v>#REF!</v>
      </c>
    </row>
    <row r="205" spans="1:20">
      <c r="A205" s="24" t="s">
        <v>2153</v>
      </c>
      <c r="B205" s="24" t="s">
        <v>1196</v>
      </c>
      <c r="C205" s="24" t="s">
        <v>1197</v>
      </c>
      <c r="D205" s="5" t="e">
        <f>IF((COUNTIFS(#REF!,$C205,#REF!,"*163*"))&gt;=1,"SIM","")</f>
        <v>#REF!</v>
      </c>
      <c r="E205" s="5" t="e">
        <f>IF((COUNTIFS(#REF!,$C205,#REF!,E$1))&gt;=1,"SIM","")</f>
        <v>#REF!</v>
      </c>
      <c r="F205" s="5" t="e">
        <f>IF((COUNTIFS(#REF!,$C205,#REF!,F$1))&gt;=1,"SIM","")</f>
        <v>#REF!</v>
      </c>
      <c r="G205" s="5" t="e">
        <f>IF((COUNTIFS(#REF!,$C205,#REF!,"*606*"))&gt;=1,"SIM","")</f>
        <v>#REF!</v>
      </c>
      <c r="H205" s="5" t="e">
        <f>IF((COUNTIFS(#REF!,$C205,#REF!,"*605*"))&gt;=1,"SIM","")</f>
        <v>#REF!</v>
      </c>
      <c r="I205" s="5" t="e">
        <f>IF((COUNTIFS(#REF!,$C205,#REF!,I$1))&gt;=1,"SIM","")</f>
        <v>#REF!</v>
      </c>
      <c r="J205" s="5" t="e">
        <f>IF((COUNTIFS(#REF!,$C205,#REF!,J$1))&gt;=1,"SIM","")</f>
        <v>#REF!</v>
      </c>
      <c r="K205" s="5" t="e">
        <f>IF((COUNTIFS(#REF!,$C205,#REF!,K$1))&gt;=1,"SIM","")</f>
        <v>#REF!</v>
      </c>
      <c r="L205" s="5" t="e">
        <f>IF((COUNTIFS(#REF!,$C205,#REF!,L$1))&gt;=1,"SIM","")</f>
        <v>#REF!</v>
      </c>
      <c r="M205" s="5" t="e">
        <f>IF((COUNTIFS(#REF!,$C205,#REF!,M$1))&gt;=1,"SIM","")</f>
        <v>#REF!</v>
      </c>
      <c r="N205" s="5" t="e">
        <f>IF((COUNTIFS(#REF!,$C205,#REF!,N$1))&gt;=1,"SIM","")</f>
        <v>#REF!</v>
      </c>
      <c r="O205" s="5"/>
      <c r="P205" s="5" t="e">
        <f>IF((COUNTIFS(#REF!,$C205,#REF!,P$1))&gt;=1,"SIM","")</f>
        <v>#REF!</v>
      </c>
      <c r="Q205" s="5" t="e">
        <f>IF((COUNTIFS(#REF!,$C205,#REF!,Q$1))&gt;=1,"SIM","")</f>
        <v>#REF!</v>
      </c>
      <c r="R205" s="5" t="e">
        <f>IF((COUNTIFS(#REF!,$C205,#REF!,"*CARTA*"))&gt;=1,"SIM","")</f>
        <v>#REF!</v>
      </c>
      <c r="S205" s="5" t="e">
        <f>IF((COUNTIFS(#REF!,$C205,#REF!,"*CARTA NOTIFICAÇÃO/DEVOL*"))&gt;=1,"SIM","")</f>
        <v>#REF!</v>
      </c>
      <c r="T205" s="5" t="e">
        <f>IF((COUNTIFS(#REF!,$C205,#REF!,"*LIGAÇÃO ATIVA DEV PRIN/LOC*"))&gt;=1,"SIM","")</f>
        <v>#REF!</v>
      </c>
    </row>
    <row r="206" spans="1:20">
      <c r="A206" s="24" t="s">
        <v>2158</v>
      </c>
      <c r="B206" s="24" t="s">
        <v>1525</v>
      </c>
      <c r="C206" s="24" t="s">
        <v>1526</v>
      </c>
      <c r="D206" s="5" t="e">
        <f>IF((COUNTIFS(#REF!,$C206,#REF!,"*163*"))&gt;=1,"SIM","")</f>
        <v>#REF!</v>
      </c>
      <c r="E206" s="5" t="e">
        <f>IF((COUNTIFS(#REF!,$C206,#REF!,E$1))&gt;=1,"SIM","")</f>
        <v>#REF!</v>
      </c>
      <c r="F206" s="5" t="e">
        <f>IF((COUNTIFS(#REF!,$C206,#REF!,F$1))&gt;=1,"SIM","")</f>
        <v>#REF!</v>
      </c>
      <c r="G206" s="5" t="e">
        <f>IF((COUNTIFS(#REF!,$C206,#REF!,"*606*"))&gt;=1,"SIM","")</f>
        <v>#REF!</v>
      </c>
      <c r="H206" s="5" t="e">
        <f>IF((COUNTIFS(#REF!,$C206,#REF!,"*605*"))&gt;=1,"SIM","")</f>
        <v>#REF!</v>
      </c>
      <c r="I206" s="5" t="e">
        <f>IF((COUNTIFS(#REF!,$C206,#REF!,I$1))&gt;=1,"SIM","")</f>
        <v>#REF!</v>
      </c>
      <c r="J206" s="5" t="e">
        <f>IF((COUNTIFS(#REF!,$C206,#REF!,J$1))&gt;=1,"SIM","")</f>
        <v>#REF!</v>
      </c>
      <c r="K206" s="5" t="e">
        <f>IF((COUNTIFS(#REF!,$C206,#REF!,K$1))&gt;=1,"SIM","")</f>
        <v>#REF!</v>
      </c>
      <c r="L206" s="5" t="e">
        <f>IF((COUNTIFS(#REF!,$C206,#REF!,L$1))&gt;=1,"SIM","")</f>
        <v>#REF!</v>
      </c>
      <c r="M206" s="5" t="e">
        <f>IF((COUNTIFS(#REF!,$C206,#REF!,M$1))&gt;=1,"SIM","")</f>
        <v>#REF!</v>
      </c>
      <c r="N206" s="5" t="e">
        <f>IF((COUNTIFS(#REF!,$C206,#REF!,N$1))&gt;=1,"SIM","")</f>
        <v>#REF!</v>
      </c>
      <c r="O206" s="5"/>
      <c r="P206" s="5" t="e">
        <f>IF((COUNTIFS(#REF!,$C206,#REF!,P$1))&gt;=1,"SIM","")</f>
        <v>#REF!</v>
      </c>
      <c r="Q206" s="5" t="e">
        <f>IF((COUNTIFS(#REF!,$C206,#REF!,Q$1))&gt;=1,"SIM","")</f>
        <v>#REF!</v>
      </c>
      <c r="R206" s="5" t="e">
        <f>IF((COUNTIFS(#REF!,$C206,#REF!,"*CARTA*"))&gt;=1,"SIM","")</f>
        <v>#REF!</v>
      </c>
      <c r="S206" s="5" t="e">
        <f>IF((COUNTIFS(#REF!,$C206,#REF!,"*CARTA NOTIFICAÇÃO/DEVOL*"))&gt;=1,"SIM","")</f>
        <v>#REF!</v>
      </c>
      <c r="T206" s="5" t="e">
        <f>IF((COUNTIFS(#REF!,$C206,#REF!,"*LIGAÇÃO ATIVA DEV PRIN/LOC*"))&gt;=1,"SIM","")</f>
        <v>#REF!</v>
      </c>
    </row>
    <row r="207" spans="1:20">
      <c r="A207" s="24" t="s">
        <v>2155</v>
      </c>
      <c r="B207" s="24" t="s">
        <v>45</v>
      </c>
      <c r="C207" s="24" t="s">
        <v>46</v>
      </c>
      <c r="D207" s="5" t="e">
        <f>IF((COUNTIFS(#REF!,$C207,#REF!,"*163*"))&gt;=1,"SIM","")</f>
        <v>#REF!</v>
      </c>
      <c r="E207" s="5" t="e">
        <f>IF((COUNTIFS(#REF!,$C207,#REF!,E$1))&gt;=1,"SIM","")</f>
        <v>#REF!</v>
      </c>
      <c r="F207" s="5" t="e">
        <f>IF((COUNTIFS(#REF!,$C207,#REF!,F$1))&gt;=1,"SIM","")</f>
        <v>#REF!</v>
      </c>
      <c r="G207" s="5" t="e">
        <f>IF((COUNTIFS(#REF!,$C207,#REF!,"*606*"))&gt;=1,"SIM","")</f>
        <v>#REF!</v>
      </c>
      <c r="H207" s="5" t="e">
        <f>IF((COUNTIFS(#REF!,$C207,#REF!,"*605*"))&gt;=1,"SIM","")</f>
        <v>#REF!</v>
      </c>
      <c r="I207" s="5" t="e">
        <f>IF((COUNTIFS(#REF!,$C207,#REF!,I$1))&gt;=1,"SIM","")</f>
        <v>#REF!</v>
      </c>
      <c r="J207" s="5" t="e">
        <f>IF((COUNTIFS(#REF!,$C207,#REF!,J$1))&gt;=1,"SIM","")</f>
        <v>#REF!</v>
      </c>
      <c r="K207" s="5" t="e">
        <f>IF((COUNTIFS(#REF!,$C207,#REF!,K$1))&gt;=1,"SIM","")</f>
        <v>#REF!</v>
      </c>
      <c r="L207" s="5" t="e">
        <f>IF((COUNTIFS(#REF!,$C207,#REF!,L$1))&gt;=1,"SIM","")</f>
        <v>#REF!</v>
      </c>
      <c r="M207" s="5" t="e">
        <f>IF((COUNTIFS(#REF!,$C207,#REF!,M$1))&gt;=1,"SIM","")</f>
        <v>#REF!</v>
      </c>
      <c r="N207" s="5" t="e">
        <f>IF((COUNTIFS(#REF!,$C207,#REF!,N$1))&gt;=1,"SIM","")</f>
        <v>#REF!</v>
      </c>
      <c r="O207" s="5"/>
      <c r="P207" s="5" t="e">
        <f>IF((COUNTIFS(#REF!,$C207,#REF!,P$1))&gt;=1,"SIM","")</f>
        <v>#REF!</v>
      </c>
      <c r="Q207" s="5" t="e">
        <f>IF((COUNTIFS(#REF!,$C207,#REF!,Q$1))&gt;=1,"SIM","")</f>
        <v>#REF!</v>
      </c>
      <c r="R207" s="5" t="e">
        <f>IF((COUNTIFS(#REF!,$C207,#REF!,"*CARTA*"))&gt;=1,"SIM","")</f>
        <v>#REF!</v>
      </c>
      <c r="S207" s="5" t="e">
        <f>IF((COUNTIFS(#REF!,$C207,#REF!,"*CARTA NOTIFICAÇÃO/DEVOL*"))&gt;=1,"SIM","")</f>
        <v>#REF!</v>
      </c>
      <c r="T207" s="5" t="e">
        <f>IF((COUNTIFS(#REF!,$C207,#REF!,"*LIGAÇÃO ATIVA DEV PRIN/LOC*"))&gt;=1,"SIM","")</f>
        <v>#REF!</v>
      </c>
    </row>
    <row r="208" spans="1:20">
      <c r="A208" s="24" t="s">
        <v>2153</v>
      </c>
      <c r="B208" s="24" t="s">
        <v>547</v>
      </c>
      <c r="C208" s="24" t="s">
        <v>548</v>
      </c>
      <c r="D208" s="5" t="e">
        <f>IF((COUNTIFS(#REF!,$C208,#REF!,"*163*"))&gt;=1,"SIM","")</f>
        <v>#REF!</v>
      </c>
      <c r="E208" s="5" t="e">
        <f>IF((COUNTIFS(#REF!,$C208,#REF!,E$1))&gt;=1,"SIM","")</f>
        <v>#REF!</v>
      </c>
      <c r="F208" s="5" t="e">
        <f>IF((COUNTIFS(#REF!,$C208,#REF!,F$1))&gt;=1,"SIM","")</f>
        <v>#REF!</v>
      </c>
      <c r="G208" s="5" t="e">
        <f>IF((COUNTIFS(#REF!,$C208,#REF!,"*606*"))&gt;=1,"SIM","")</f>
        <v>#REF!</v>
      </c>
      <c r="H208" s="5" t="e">
        <f>IF((COUNTIFS(#REF!,$C208,#REF!,"*605*"))&gt;=1,"SIM","")</f>
        <v>#REF!</v>
      </c>
      <c r="I208" s="5" t="e">
        <f>IF((COUNTIFS(#REF!,$C208,#REF!,I$1))&gt;=1,"SIM","")</f>
        <v>#REF!</v>
      </c>
      <c r="J208" s="5" t="e">
        <f>IF((COUNTIFS(#REF!,$C208,#REF!,J$1))&gt;=1,"SIM","")</f>
        <v>#REF!</v>
      </c>
      <c r="K208" s="5" t="e">
        <f>IF((COUNTIFS(#REF!,$C208,#REF!,K$1))&gt;=1,"SIM","")</f>
        <v>#REF!</v>
      </c>
      <c r="L208" s="5" t="e">
        <f>IF((COUNTIFS(#REF!,$C208,#REF!,L$1))&gt;=1,"SIM","")</f>
        <v>#REF!</v>
      </c>
      <c r="M208" s="5" t="e">
        <f>IF((COUNTIFS(#REF!,$C208,#REF!,M$1))&gt;=1,"SIM","")</f>
        <v>#REF!</v>
      </c>
      <c r="N208" s="5" t="e">
        <f>IF((COUNTIFS(#REF!,$C208,#REF!,N$1))&gt;=1,"SIM","")</f>
        <v>#REF!</v>
      </c>
      <c r="O208" s="5"/>
      <c r="P208" s="5" t="e">
        <f>IF((COUNTIFS(#REF!,$C208,#REF!,P$1))&gt;=1,"SIM","")</f>
        <v>#REF!</v>
      </c>
      <c r="Q208" s="5" t="e">
        <f>IF((COUNTIFS(#REF!,$C208,#REF!,Q$1))&gt;=1,"SIM","")</f>
        <v>#REF!</v>
      </c>
      <c r="R208" s="5" t="e">
        <f>IF((COUNTIFS(#REF!,$C208,#REF!,"*CARTA*"))&gt;=1,"SIM","")</f>
        <v>#REF!</v>
      </c>
      <c r="S208" s="5" t="e">
        <f>IF((COUNTIFS(#REF!,$C208,#REF!,"*CARTA NOTIFICAÇÃO/DEVOL*"))&gt;=1,"SIM","")</f>
        <v>#REF!</v>
      </c>
      <c r="T208" s="5" t="e">
        <f>IF((COUNTIFS(#REF!,$C208,#REF!,"*LIGAÇÃO ATIVA DEV PRIN/LOC*"))&gt;=1,"SIM","")</f>
        <v>#REF!</v>
      </c>
    </row>
    <row r="209" spans="1:20">
      <c r="A209" s="24" t="s">
        <v>2157</v>
      </c>
      <c r="B209" s="24" t="s">
        <v>2085</v>
      </c>
      <c r="C209" s="24" t="s">
        <v>2086</v>
      </c>
      <c r="D209" s="5" t="e">
        <f>IF((COUNTIFS(#REF!,$C209,#REF!,"*163*"))&gt;=1,"SIM","")</f>
        <v>#REF!</v>
      </c>
      <c r="E209" s="5" t="e">
        <f>IF((COUNTIFS(#REF!,$C209,#REF!,E$1))&gt;=1,"SIM","")</f>
        <v>#REF!</v>
      </c>
      <c r="F209" s="5" t="e">
        <f>IF((COUNTIFS(#REF!,$C209,#REF!,F$1))&gt;=1,"SIM","")</f>
        <v>#REF!</v>
      </c>
      <c r="G209" s="5" t="e">
        <f>IF((COUNTIFS(#REF!,$C209,#REF!,"*606*"))&gt;=1,"SIM","")</f>
        <v>#REF!</v>
      </c>
      <c r="H209" s="5" t="e">
        <f>IF((COUNTIFS(#REF!,$C209,#REF!,"*605*"))&gt;=1,"SIM","")</f>
        <v>#REF!</v>
      </c>
      <c r="I209" s="5" t="e">
        <f>IF((COUNTIFS(#REF!,$C209,#REF!,I$1))&gt;=1,"SIM","")</f>
        <v>#REF!</v>
      </c>
      <c r="J209" s="5" t="e">
        <f>IF((COUNTIFS(#REF!,$C209,#REF!,J$1))&gt;=1,"SIM","")</f>
        <v>#REF!</v>
      </c>
      <c r="K209" s="5" t="e">
        <f>IF((COUNTIFS(#REF!,$C209,#REF!,K$1))&gt;=1,"SIM","")</f>
        <v>#REF!</v>
      </c>
      <c r="L209" s="5" t="e">
        <f>IF((COUNTIFS(#REF!,$C209,#REF!,L$1))&gt;=1,"SIM","")</f>
        <v>#REF!</v>
      </c>
      <c r="M209" s="5" t="e">
        <f>IF((COUNTIFS(#REF!,$C209,#REF!,M$1))&gt;=1,"SIM","")</f>
        <v>#REF!</v>
      </c>
      <c r="N209" s="5" t="e">
        <f>IF((COUNTIFS(#REF!,$C209,#REF!,N$1))&gt;=1,"SIM","")</f>
        <v>#REF!</v>
      </c>
      <c r="O209" s="5"/>
      <c r="P209" s="5" t="e">
        <f>IF((COUNTIFS(#REF!,$C209,#REF!,P$1))&gt;=1,"SIM","")</f>
        <v>#REF!</v>
      </c>
      <c r="Q209" s="5" t="e">
        <f>IF((COUNTIFS(#REF!,$C209,#REF!,Q$1))&gt;=1,"SIM","")</f>
        <v>#REF!</v>
      </c>
      <c r="R209" s="5" t="e">
        <f>IF((COUNTIFS(#REF!,$C209,#REF!,"*CARTA*"))&gt;=1,"SIM","")</f>
        <v>#REF!</v>
      </c>
      <c r="S209" s="5" t="e">
        <f>IF((COUNTIFS(#REF!,$C209,#REF!,"*CARTA NOTIFICAÇÃO/DEVOL*"))&gt;=1,"SIM","")</f>
        <v>#REF!</v>
      </c>
      <c r="T209" s="5" t="e">
        <f>IF((COUNTIFS(#REF!,$C209,#REF!,"*LIGAÇÃO ATIVA DEV PRIN/LOC*"))&gt;=1,"SIM","")</f>
        <v>#REF!</v>
      </c>
    </row>
    <row r="210" spans="1:20">
      <c r="A210" s="24" t="s">
        <v>2153</v>
      </c>
      <c r="B210" s="24" t="s">
        <v>926</v>
      </c>
      <c r="C210" s="24" t="s">
        <v>927</v>
      </c>
      <c r="D210" s="5" t="e">
        <f>IF((COUNTIFS(#REF!,$C210,#REF!,"*163*"))&gt;=1,"SIM","")</f>
        <v>#REF!</v>
      </c>
      <c r="E210" s="5" t="e">
        <f>IF((COUNTIFS(#REF!,$C210,#REF!,E$1))&gt;=1,"SIM","")</f>
        <v>#REF!</v>
      </c>
      <c r="F210" s="5" t="e">
        <f>IF((COUNTIFS(#REF!,$C210,#REF!,F$1))&gt;=1,"SIM","")</f>
        <v>#REF!</v>
      </c>
      <c r="G210" s="5" t="e">
        <f>IF((COUNTIFS(#REF!,$C210,#REF!,"*606*"))&gt;=1,"SIM","")</f>
        <v>#REF!</v>
      </c>
      <c r="H210" s="5" t="e">
        <f>IF((COUNTIFS(#REF!,$C210,#REF!,"*605*"))&gt;=1,"SIM","")</f>
        <v>#REF!</v>
      </c>
      <c r="I210" s="5" t="e">
        <f>IF((COUNTIFS(#REF!,$C210,#REF!,I$1))&gt;=1,"SIM","")</f>
        <v>#REF!</v>
      </c>
      <c r="J210" s="5" t="e">
        <f>IF((COUNTIFS(#REF!,$C210,#REF!,J$1))&gt;=1,"SIM","")</f>
        <v>#REF!</v>
      </c>
      <c r="K210" s="5" t="e">
        <f>IF((COUNTIFS(#REF!,$C210,#REF!,K$1))&gt;=1,"SIM","")</f>
        <v>#REF!</v>
      </c>
      <c r="L210" s="5" t="e">
        <f>IF((COUNTIFS(#REF!,$C210,#REF!,L$1))&gt;=1,"SIM","")</f>
        <v>#REF!</v>
      </c>
      <c r="M210" s="5" t="e">
        <f>IF((COUNTIFS(#REF!,$C210,#REF!,M$1))&gt;=1,"SIM","")</f>
        <v>#REF!</v>
      </c>
      <c r="N210" s="5" t="e">
        <f>IF((COUNTIFS(#REF!,$C210,#REF!,N$1))&gt;=1,"SIM","")</f>
        <v>#REF!</v>
      </c>
      <c r="O210" s="5"/>
      <c r="P210" s="5" t="e">
        <f>IF((COUNTIFS(#REF!,$C210,#REF!,P$1))&gt;=1,"SIM","")</f>
        <v>#REF!</v>
      </c>
      <c r="Q210" s="5" t="e">
        <f>IF((COUNTIFS(#REF!,$C210,#REF!,Q$1))&gt;=1,"SIM","")</f>
        <v>#REF!</v>
      </c>
      <c r="R210" s="5" t="e">
        <f>IF((COUNTIFS(#REF!,$C210,#REF!,"*CARTA*"))&gt;=1,"SIM","")</f>
        <v>#REF!</v>
      </c>
      <c r="S210" s="5" t="e">
        <f>IF((COUNTIFS(#REF!,$C210,#REF!,"*CARTA NOTIFICAÇÃO/DEVOL*"))&gt;=1,"SIM","")</f>
        <v>#REF!</v>
      </c>
      <c r="T210" s="5" t="e">
        <f>IF((COUNTIFS(#REF!,$C210,#REF!,"*LIGAÇÃO ATIVA DEV PRIN/LOC*"))&gt;=1,"SIM","")</f>
        <v>#REF!</v>
      </c>
    </row>
    <row r="211" spans="1:20">
      <c r="A211" s="24" t="s">
        <v>2153</v>
      </c>
      <c r="B211" s="24" t="s">
        <v>433</v>
      </c>
      <c r="C211" s="24" t="s">
        <v>434</v>
      </c>
      <c r="D211" s="5" t="e">
        <f>IF((COUNTIFS(#REF!,$C211,#REF!,"*163*"))&gt;=1,"SIM","")</f>
        <v>#REF!</v>
      </c>
      <c r="E211" s="5" t="e">
        <f>IF((COUNTIFS(#REF!,$C211,#REF!,E$1))&gt;=1,"SIM","")</f>
        <v>#REF!</v>
      </c>
      <c r="F211" s="5" t="e">
        <f>IF((COUNTIFS(#REF!,$C211,#REF!,F$1))&gt;=1,"SIM","")</f>
        <v>#REF!</v>
      </c>
      <c r="G211" s="5" t="e">
        <f>IF((COUNTIFS(#REF!,$C211,#REF!,"*606*"))&gt;=1,"SIM","")</f>
        <v>#REF!</v>
      </c>
      <c r="H211" s="5" t="e">
        <f>IF((COUNTIFS(#REF!,$C211,#REF!,"*605*"))&gt;=1,"SIM","")</f>
        <v>#REF!</v>
      </c>
      <c r="I211" s="5" t="e">
        <f>IF((COUNTIFS(#REF!,$C211,#REF!,I$1))&gt;=1,"SIM","")</f>
        <v>#REF!</v>
      </c>
      <c r="J211" s="5" t="e">
        <f>IF((COUNTIFS(#REF!,$C211,#REF!,J$1))&gt;=1,"SIM","")</f>
        <v>#REF!</v>
      </c>
      <c r="K211" s="5" t="e">
        <f>IF((COUNTIFS(#REF!,$C211,#REF!,K$1))&gt;=1,"SIM","")</f>
        <v>#REF!</v>
      </c>
      <c r="L211" s="5" t="e">
        <f>IF((COUNTIFS(#REF!,$C211,#REF!,L$1))&gt;=1,"SIM","")</f>
        <v>#REF!</v>
      </c>
      <c r="M211" s="5" t="e">
        <f>IF((COUNTIFS(#REF!,$C211,#REF!,M$1))&gt;=1,"SIM","")</f>
        <v>#REF!</v>
      </c>
      <c r="N211" s="5" t="e">
        <f>IF((COUNTIFS(#REF!,$C211,#REF!,N$1))&gt;=1,"SIM","")</f>
        <v>#REF!</v>
      </c>
      <c r="O211" s="5"/>
      <c r="P211" s="5" t="e">
        <f>IF((COUNTIFS(#REF!,$C211,#REF!,P$1))&gt;=1,"SIM","")</f>
        <v>#REF!</v>
      </c>
      <c r="Q211" s="5" t="e">
        <f>IF((COUNTIFS(#REF!,$C211,#REF!,Q$1))&gt;=1,"SIM","")</f>
        <v>#REF!</v>
      </c>
      <c r="R211" s="5" t="e">
        <f>IF((COUNTIFS(#REF!,$C211,#REF!,"*CARTA*"))&gt;=1,"SIM","")</f>
        <v>#REF!</v>
      </c>
      <c r="S211" s="5" t="e">
        <f>IF((COUNTIFS(#REF!,$C211,#REF!,"*CARTA NOTIFICAÇÃO/DEVOL*"))&gt;=1,"SIM","")</f>
        <v>#REF!</v>
      </c>
      <c r="T211" s="5" t="e">
        <f>IF((COUNTIFS(#REF!,$C211,#REF!,"*LIGAÇÃO ATIVA DEV PRIN/LOC*"))&gt;=1,"SIM","")</f>
        <v>#REF!</v>
      </c>
    </row>
    <row r="212" spans="1:20">
      <c r="A212" s="24" t="s">
        <v>2158</v>
      </c>
      <c r="B212" s="24" t="s">
        <v>1234</v>
      </c>
      <c r="C212" s="24" t="s">
        <v>1235</v>
      </c>
      <c r="D212" s="5" t="e">
        <f>IF((COUNTIFS(#REF!,$C212,#REF!,"*163*"))&gt;=1,"SIM","")</f>
        <v>#REF!</v>
      </c>
      <c r="E212" s="5" t="e">
        <f>IF((COUNTIFS(#REF!,$C212,#REF!,E$1))&gt;=1,"SIM","")</f>
        <v>#REF!</v>
      </c>
      <c r="F212" s="5" t="e">
        <f>IF((COUNTIFS(#REF!,$C212,#REF!,F$1))&gt;=1,"SIM","")</f>
        <v>#REF!</v>
      </c>
      <c r="G212" s="5" t="e">
        <f>IF((COUNTIFS(#REF!,$C212,#REF!,"*606*"))&gt;=1,"SIM","")</f>
        <v>#REF!</v>
      </c>
      <c r="H212" s="5" t="e">
        <f>IF((COUNTIFS(#REF!,$C212,#REF!,"*605*"))&gt;=1,"SIM","")</f>
        <v>#REF!</v>
      </c>
      <c r="I212" s="5" t="e">
        <f>IF((COUNTIFS(#REF!,$C212,#REF!,I$1))&gt;=1,"SIM","")</f>
        <v>#REF!</v>
      </c>
      <c r="J212" s="5" t="e">
        <f>IF((COUNTIFS(#REF!,$C212,#REF!,J$1))&gt;=1,"SIM","")</f>
        <v>#REF!</v>
      </c>
      <c r="K212" s="5" t="e">
        <f>IF((COUNTIFS(#REF!,$C212,#REF!,K$1))&gt;=1,"SIM","")</f>
        <v>#REF!</v>
      </c>
      <c r="L212" s="5" t="e">
        <f>IF((COUNTIFS(#REF!,$C212,#REF!,L$1))&gt;=1,"SIM","")</f>
        <v>#REF!</v>
      </c>
      <c r="M212" s="5" t="e">
        <f>IF((COUNTIFS(#REF!,$C212,#REF!,M$1))&gt;=1,"SIM","")</f>
        <v>#REF!</v>
      </c>
      <c r="N212" s="5" t="e">
        <f>IF((COUNTIFS(#REF!,$C212,#REF!,N$1))&gt;=1,"SIM","")</f>
        <v>#REF!</v>
      </c>
      <c r="O212" s="5"/>
      <c r="P212" s="5" t="e">
        <f>IF((COUNTIFS(#REF!,$C212,#REF!,P$1))&gt;=1,"SIM","")</f>
        <v>#REF!</v>
      </c>
      <c r="Q212" s="5" t="e">
        <f>IF((COUNTIFS(#REF!,$C212,#REF!,Q$1))&gt;=1,"SIM","")</f>
        <v>#REF!</v>
      </c>
      <c r="R212" s="5" t="e">
        <f>IF((COUNTIFS(#REF!,$C212,#REF!,"*CARTA*"))&gt;=1,"SIM","")</f>
        <v>#REF!</v>
      </c>
      <c r="S212" s="5" t="e">
        <f>IF((COUNTIFS(#REF!,$C212,#REF!,"*CARTA NOTIFICAÇÃO/DEVOL*"))&gt;=1,"SIM","")</f>
        <v>#REF!</v>
      </c>
      <c r="T212" s="5" t="e">
        <f>IF((COUNTIFS(#REF!,$C212,#REF!,"*LIGAÇÃO ATIVA DEV PRIN/LOC*"))&gt;=1,"SIM","")</f>
        <v>#REF!</v>
      </c>
    </row>
    <row r="213" spans="1:20">
      <c r="A213" s="24" t="s">
        <v>2153</v>
      </c>
      <c r="B213" s="24" t="s">
        <v>1014</v>
      </c>
      <c r="C213" s="24" t="s">
        <v>1015</v>
      </c>
      <c r="D213" s="5" t="e">
        <f>IF((COUNTIFS(#REF!,$C213,#REF!,"*163*"))&gt;=1,"SIM","")</f>
        <v>#REF!</v>
      </c>
      <c r="E213" s="5" t="e">
        <f>IF((COUNTIFS(#REF!,$C213,#REF!,E$1))&gt;=1,"SIM","")</f>
        <v>#REF!</v>
      </c>
      <c r="F213" s="5" t="e">
        <f>IF((COUNTIFS(#REF!,$C213,#REF!,F$1))&gt;=1,"SIM","")</f>
        <v>#REF!</v>
      </c>
      <c r="G213" s="5" t="e">
        <f>IF((COUNTIFS(#REF!,$C213,#REF!,"*606*"))&gt;=1,"SIM","")</f>
        <v>#REF!</v>
      </c>
      <c r="H213" s="5" t="e">
        <f>IF((COUNTIFS(#REF!,$C213,#REF!,"*605*"))&gt;=1,"SIM","")</f>
        <v>#REF!</v>
      </c>
      <c r="I213" s="5" t="e">
        <f>IF((COUNTIFS(#REF!,$C213,#REF!,I$1))&gt;=1,"SIM","")</f>
        <v>#REF!</v>
      </c>
      <c r="J213" s="5" t="e">
        <f>IF((COUNTIFS(#REF!,$C213,#REF!,J$1))&gt;=1,"SIM","")</f>
        <v>#REF!</v>
      </c>
      <c r="K213" s="5" t="e">
        <f>IF((COUNTIFS(#REF!,$C213,#REF!,K$1))&gt;=1,"SIM","")</f>
        <v>#REF!</v>
      </c>
      <c r="L213" s="5" t="e">
        <f>IF((COUNTIFS(#REF!,$C213,#REF!,L$1))&gt;=1,"SIM","")</f>
        <v>#REF!</v>
      </c>
      <c r="M213" s="5" t="e">
        <f>IF((COUNTIFS(#REF!,$C213,#REF!,M$1))&gt;=1,"SIM","")</f>
        <v>#REF!</v>
      </c>
      <c r="N213" s="5" t="e">
        <f>IF((COUNTIFS(#REF!,$C213,#REF!,N$1))&gt;=1,"SIM","")</f>
        <v>#REF!</v>
      </c>
      <c r="O213" s="5"/>
      <c r="P213" s="5" t="e">
        <f>IF((COUNTIFS(#REF!,$C213,#REF!,P$1))&gt;=1,"SIM","")</f>
        <v>#REF!</v>
      </c>
      <c r="Q213" s="5" t="e">
        <f>IF((COUNTIFS(#REF!,$C213,#REF!,Q$1))&gt;=1,"SIM","")</f>
        <v>#REF!</v>
      </c>
      <c r="R213" s="5" t="e">
        <f>IF((COUNTIFS(#REF!,$C213,#REF!,"*CARTA*"))&gt;=1,"SIM","")</f>
        <v>#REF!</v>
      </c>
      <c r="S213" s="5" t="e">
        <f>IF((COUNTIFS(#REF!,$C213,#REF!,"*CARTA NOTIFICAÇÃO/DEVOL*"))&gt;=1,"SIM","")</f>
        <v>#REF!</v>
      </c>
      <c r="T213" s="5" t="e">
        <f>IF((COUNTIFS(#REF!,$C213,#REF!,"*LIGAÇÃO ATIVA DEV PRIN/LOC*"))&gt;=1,"SIM","")</f>
        <v>#REF!</v>
      </c>
    </row>
    <row r="214" spans="1:20">
      <c r="A214" s="24" t="s">
        <v>2159</v>
      </c>
      <c r="B214" s="24" t="s">
        <v>1401</v>
      </c>
      <c r="C214" s="24" t="s">
        <v>1402</v>
      </c>
      <c r="D214" s="5" t="e">
        <f>IF((COUNTIFS(#REF!,$C214,#REF!,"*163*"))&gt;=1,"SIM","")</f>
        <v>#REF!</v>
      </c>
      <c r="E214" s="5" t="e">
        <f>IF((COUNTIFS(#REF!,$C214,#REF!,E$1))&gt;=1,"SIM","")</f>
        <v>#REF!</v>
      </c>
      <c r="F214" s="5" t="e">
        <f>IF((COUNTIFS(#REF!,$C214,#REF!,F$1))&gt;=1,"SIM","")</f>
        <v>#REF!</v>
      </c>
      <c r="G214" s="5" t="e">
        <f>IF((COUNTIFS(#REF!,$C214,#REF!,"*606*"))&gt;=1,"SIM","")</f>
        <v>#REF!</v>
      </c>
      <c r="H214" s="5" t="e">
        <f>IF((COUNTIFS(#REF!,$C214,#REF!,"*605*"))&gt;=1,"SIM","")</f>
        <v>#REF!</v>
      </c>
      <c r="I214" s="5" t="e">
        <f>IF((COUNTIFS(#REF!,$C214,#REF!,I$1))&gt;=1,"SIM","")</f>
        <v>#REF!</v>
      </c>
      <c r="J214" s="5" t="e">
        <f>IF((COUNTIFS(#REF!,$C214,#REF!,J$1))&gt;=1,"SIM","")</f>
        <v>#REF!</v>
      </c>
      <c r="K214" s="5" t="e">
        <f>IF((COUNTIFS(#REF!,$C214,#REF!,K$1))&gt;=1,"SIM","")</f>
        <v>#REF!</v>
      </c>
      <c r="L214" s="5" t="e">
        <f>IF((COUNTIFS(#REF!,$C214,#REF!,L$1))&gt;=1,"SIM","")</f>
        <v>#REF!</v>
      </c>
      <c r="M214" s="5" t="e">
        <f>IF((COUNTIFS(#REF!,$C214,#REF!,M$1))&gt;=1,"SIM","")</f>
        <v>#REF!</v>
      </c>
      <c r="N214" s="5" t="e">
        <f>IF((COUNTIFS(#REF!,$C214,#REF!,N$1))&gt;=1,"SIM","")</f>
        <v>#REF!</v>
      </c>
      <c r="O214" s="5"/>
      <c r="P214" s="5" t="e">
        <f>IF((COUNTIFS(#REF!,$C214,#REF!,P$1))&gt;=1,"SIM","")</f>
        <v>#REF!</v>
      </c>
      <c r="Q214" s="5" t="e">
        <f>IF((COUNTIFS(#REF!,$C214,#REF!,Q$1))&gt;=1,"SIM","")</f>
        <v>#REF!</v>
      </c>
      <c r="R214" s="5" t="e">
        <f>IF((COUNTIFS(#REF!,$C214,#REF!,"*CARTA*"))&gt;=1,"SIM","")</f>
        <v>#REF!</v>
      </c>
      <c r="S214" s="5" t="e">
        <f>IF((COUNTIFS(#REF!,$C214,#REF!,"*CARTA NOTIFICAÇÃO/DEVOL*"))&gt;=1,"SIM","")</f>
        <v>#REF!</v>
      </c>
      <c r="T214" s="5" t="e">
        <f>IF((COUNTIFS(#REF!,$C214,#REF!,"*LIGAÇÃO ATIVA DEV PRIN/LOC*"))&gt;=1,"SIM","")</f>
        <v>#REF!</v>
      </c>
    </row>
    <row r="215" spans="1:20">
      <c r="A215" s="24" t="s">
        <v>2153</v>
      </c>
      <c r="B215" s="24" t="s">
        <v>795</v>
      </c>
      <c r="C215" s="24" t="s">
        <v>796</v>
      </c>
      <c r="D215" s="5" t="e">
        <f>IF((COUNTIFS(#REF!,$C215,#REF!,"*163*"))&gt;=1,"SIM","")</f>
        <v>#REF!</v>
      </c>
      <c r="E215" s="5" t="e">
        <f>IF((COUNTIFS(#REF!,$C215,#REF!,E$1))&gt;=1,"SIM","")</f>
        <v>#REF!</v>
      </c>
      <c r="F215" s="5" t="e">
        <f>IF((COUNTIFS(#REF!,$C215,#REF!,F$1))&gt;=1,"SIM","")</f>
        <v>#REF!</v>
      </c>
      <c r="G215" s="5" t="e">
        <f>IF((COUNTIFS(#REF!,$C215,#REF!,"*606*"))&gt;=1,"SIM","")</f>
        <v>#REF!</v>
      </c>
      <c r="H215" s="5" t="e">
        <f>IF((COUNTIFS(#REF!,$C215,#REF!,"*605*"))&gt;=1,"SIM","")</f>
        <v>#REF!</v>
      </c>
      <c r="I215" s="5" t="e">
        <f>IF((COUNTIFS(#REF!,$C215,#REF!,I$1))&gt;=1,"SIM","")</f>
        <v>#REF!</v>
      </c>
      <c r="J215" s="5" t="e">
        <f>IF((COUNTIFS(#REF!,$C215,#REF!,J$1))&gt;=1,"SIM","")</f>
        <v>#REF!</v>
      </c>
      <c r="K215" s="5" t="e">
        <f>IF((COUNTIFS(#REF!,$C215,#REF!,K$1))&gt;=1,"SIM","")</f>
        <v>#REF!</v>
      </c>
      <c r="L215" s="5" t="e">
        <f>IF((COUNTIFS(#REF!,$C215,#REF!,L$1))&gt;=1,"SIM","")</f>
        <v>#REF!</v>
      </c>
      <c r="M215" s="5" t="e">
        <f>IF((COUNTIFS(#REF!,$C215,#REF!,M$1))&gt;=1,"SIM","")</f>
        <v>#REF!</v>
      </c>
      <c r="N215" s="5" t="e">
        <f>IF((COUNTIFS(#REF!,$C215,#REF!,N$1))&gt;=1,"SIM","")</f>
        <v>#REF!</v>
      </c>
      <c r="O215" s="5"/>
      <c r="P215" s="5" t="e">
        <f>IF((COUNTIFS(#REF!,$C215,#REF!,P$1))&gt;=1,"SIM","")</f>
        <v>#REF!</v>
      </c>
      <c r="Q215" s="5" t="e">
        <f>IF((COUNTIFS(#REF!,$C215,#REF!,Q$1))&gt;=1,"SIM","")</f>
        <v>#REF!</v>
      </c>
      <c r="R215" s="5" t="e">
        <f>IF((COUNTIFS(#REF!,$C215,#REF!,"*CARTA*"))&gt;=1,"SIM","")</f>
        <v>#REF!</v>
      </c>
      <c r="S215" s="5" t="e">
        <f>IF((COUNTIFS(#REF!,$C215,#REF!,"*CARTA NOTIFICAÇÃO/DEVOL*"))&gt;=1,"SIM","")</f>
        <v>#REF!</v>
      </c>
      <c r="T215" s="5" t="e">
        <f>IF((COUNTIFS(#REF!,$C215,#REF!,"*LIGAÇÃO ATIVA DEV PRIN/LOC*"))&gt;=1,"SIM","")</f>
        <v>#REF!</v>
      </c>
    </row>
    <row r="216" spans="1:20">
      <c r="A216" s="24" t="s">
        <v>2153</v>
      </c>
      <c r="B216" s="24" t="s">
        <v>336</v>
      </c>
      <c r="C216" s="24" t="s">
        <v>337</v>
      </c>
      <c r="D216" s="5" t="e">
        <f>IF((COUNTIFS(#REF!,$C216,#REF!,"*163*"))&gt;=1,"SIM","")</f>
        <v>#REF!</v>
      </c>
      <c r="E216" s="5" t="e">
        <f>IF((COUNTIFS(#REF!,$C216,#REF!,E$1))&gt;=1,"SIM","")</f>
        <v>#REF!</v>
      </c>
      <c r="F216" s="5" t="e">
        <f>IF((COUNTIFS(#REF!,$C216,#REF!,F$1))&gt;=1,"SIM","")</f>
        <v>#REF!</v>
      </c>
      <c r="G216" s="5" t="e">
        <f>IF((COUNTIFS(#REF!,$C216,#REF!,"*606*"))&gt;=1,"SIM","")</f>
        <v>#REF!</v>
      </c>
      <c r="H216" s="5" t="e">
        <f>IF((COUNTIFS(#REF!,$C216,#REF!,"*605*"))&gt;=1,"SIM","")</f>
        <v>#REF!</v>
      </c>
      <c r="I216" s="5" t="e">
        <f>IF((COUNTIFS(#REF!,$C216,#REF!,I$1))&gt;=1,"SIM","")</f>
        <v>#REF!</v>
      </c>
      <c r="J216" s="5" t="e">
        <f>IF((COUNTIFS(#REF!,$C216,#REF!,J$1))&gt;=1,"SIM","")</f>
        <v>#REF!</v>
      </c>
      <c r="K216" s="5" t="e">
        <f>IF((COUNTIFS(#REF!,$C216,#REF!,K$1))&gt;=1,"SIM","")</f>
        <v>#REF!</v>
      </c>
      <c r="L216" s="5" t="e">
        <f>IF((COUNTIFS(#REF!,$C216,#REF!,L$1))&gt;=1,"SIM","")</f>
        <v>#REF!</v>
      </c>
      <c r="M216" s="5" t="e">
        <f>IF((COUNTIFS(#REF!,$C216,#REF!,M$1))&gt;=1,"SIM","")</f>
        <v>#REF!</v>
      </c>
      <c r="N216" s="5" t="e">
        <f>IF((COUNTIFS(#REF!,$C216,#REF!,N$1))&gt;=1,"SIM","")</f>
        <v>#REF!</v>
      </c>
      <c r="O216" s="5"/>
      <c r="P216" s="5" t="e">
        <f>IF((COUNTIFS(#REF!,$C216,#REF!,P$1))&gt;=1,"SIM","")</f>
        <v>#REF!</v>
      </c>
      <c r="Q216" s="5" t="e">
        <f>IF((COUNTIFS(#REF!,$C216,#REF!,Q$1))&gt;=1,"SIM","")</f>
        <v>#REF!</v>
      </c>
      <c r="R216" s="5" t="e">
        <f>IF((COUNTIFS(#REF!,$C216,#REF!,"*CARTA*"))&gt;=1,"SIM","")</f>
        <v>#REF!</v>
      </c>
      <c r="S216" s="5" t="e">
        <f>IF((COUNTIFS(#REF!,$C216,#REF!,"*CARTA NOTIFICAÇÃO/DEVOL*"))&gt;=1,"SIM","")</f>
        <v>#REF!</v>
      </c>
      <c r="T216" s="5" t="e">
        <f>IF((COUNTIFS(#REF!,$C216,#REF!,"*LIGAÇÃO ATIVA DEV PRIN/LOC*"))&gt;=1,"SIM","")</f>
        <v>#REF!</v>
      </c>
    </row>
    <row r="217" spans="1:20">
      <c r="A217" s="24" t="s">
        <v>2153</v>
      </c>
      <c r="B217" s="24" t="s">
        <v>1172</v>
      </c>
      <c r="C217" s="24" t="s">
        <v>1173</v>
      </c>
      <c r="D217" s="5" t="e">
        <f>IF((COUNTIFS(#REF!,$C217,#REF!,"*163*"))&gt;=1,"SIM","")</f>
        <v>#REF!</v>
      </c>
      <c r="E217" s="5" t="e">
        <f>IF((COUNTIFS(#REF!,$C217,#REF!,E$1))&gt;=1,"SIM","")</f>
        <v>#REF!</v>
      </c>
      <c r="F217" s="5" t="e">
        <f>IF((COUNTIFS(#REF!,$C217,#REF!,F$1))&gt;=1,"SIM","")</f>
        <v>#REF!</v>
      </c>
      <c r="G217" s="5" t="e">
        <f>IF((COUNTIFS(#REF!,$C217,#REF!,"*606*"))&gt;=1,"SIM","")</f>
        <v>#REF!</v>
      </c>
      <c r="H217" s="5" t="e">
        <f>IF((COUNTIFS(#REF!,$C217,#REF!,"*605*"))&gt;=1,"SIM","")</f>
        <v>#REF!</v>
      </c>
      <c r="I217" s="5" t="e">
        <f>IF((COUNTIFS(#REF!,$C217,#REF!,I$1))&gt;=1,"SIM","")</f>
        <v>#REF!</v>
      </c>
      <c r="J217" s="5" t="e">
        <f>IF((COUNTIFS(#REF!,$C217,#REF!,J$1))&gt;=1,"SIM","")</f>
        <v>#REF!</v>
      </c>
      <c r="K217" s="5" t="e">
        <f>IF((COUNTIFS(#REF!,$C217,#REF!,K$1))&gt;=1,"SIM","")</f>
        <v>#REF!</v>
      </c>
      <c r="L217" s="5" t="e">
        <f>IF((COUNTIFS(#REF!,$C217,#REF!,L$1))&gt;=1,"SIM","")</f>
        <v>#REF!</v>
      </c>
      <c r="M217" s="5" t="e">
        <f>IF((COUNTIFS(#REF!,$C217,#REF!,M$1))&gt;=1,"SIM","")</f>
        <v>#REF!</v>
      </c>
      <c r="N217" s="5" t="e">
        <f>IF((COUNTIFS(#REF!,$C217,#REF!,N$1))&gt;=1,"SIM","")</f>
        <v>#REF!</v>
      </c>
      <c r="O217" s="5"/>
      <c r="P217" s="5" t="e">
        <f>IF((COUNTIFS(#REF!,$C217,#REF!,P$1))&gt;=1,"SIM","")</f>
        <v>#REF!</v>
      </c>
      <c r="Q217" s="5" t="e">
        <f>IF((COUNTIFS(#REF!,$C217,#REF!,Q$1))&gt;=1,"SIM","")</f>
        <v>#REF!</v>
      </c>
      <c r="R217" s="5" t="e">
        <f>IF((COUNTIFS(#REF!,$C217,#REF!,"*CARTA*"))&gt;=1,"SIM","")</f>
        <v>#REF!</v>
      </c>
      <c r="S217" s="5" t="e">
        <f>IF((COUNTIFS(#REF!,$C217,#REF!,"*CARTA NOTIFICAÇÃO/DEVOL*"))&gt;=1,"SIM","")</f>
        <v>#REF!</v>
      </c>
      <c r="T217" s="5" t="e">
        <f>IF((COUNTIFS(#REF!,$C217,#REF!,"*LIGAÇÃO ATIVA DEV PRIN/LOC*"))&gt;=1,"SIM","")</f>
        <v>#REF!</v>
      </c>
    </row>
    <row r="218" spans="1:20">
      <c r="A218" s="24" t="s">
        <v>2153</v>
      </c>
      <c r="B218" s="24" t="s">
        <v>740</v>
      </c>
      <c r="C218" s="24" t="s">
        <v>741</v>
      </c>
      <c r="D218" s="5" t="e">
        <f>IF((COUNTIFS(#REF!,$C218,#REF!,"*163*"))&gt;=1,"SIM","")</f>
        <v>#REF!</v>
      </c>
      <c r="E218" s="5" t="e">
        <f>IF((COUNTIFS(#REF!,$C218,#REF!,E$1))&gt;=1,"SIM","")</f>
        <v>#REF!</v>
      </c>
      <c r="F218" s="5" t="e">
        <f>IF((COUNTIFS(#REF!,$C218,#REF!,F$1))&gt;=1,"SIM","")</f>
        <v>#REF!</v>
      </c>
      <c r="G218" s="5" t="e">
        <f>IF((COUNTIFS(#REF!,$C218,#REF!,"*606*"))&gt;=1,"SIM","")</f>
        <v>#REF!</v>
      </c>
      <c r="H218" s="5" t="e">
        <f>IF((COUNTIFS(#REF!,$C218,#REF!,"*605*"))&gt;=1,"SIM","")</f>
        <v>#REF!</v>
      </c>
      <c r="I218" s="5" t="e">
        <f>IF((COUNTIFS(#REF!,$C218,#REF!,I$1))&gt;=1,"SIM","")</f>
        <v>#REF!</v>
      </c>
      <c r="J218" s="5" t="e">
        <f>IF((COUNTIFS(#REF!,$C218,#REF!,J$1))&gt;=1,"SIM","")</f>
        <v>#REF!</v>
      </c>
      <c r="K218" s="5" t="e">
        <f>IF((COUNTIFS(#REF!,$C218,#REF!,K$1))&gt;=1,"SIM","")</f>
        <v>#REF!</v>
      </c>
      <c r="L218" s="5" t="e">
        <f>IF((COUNTIFS(#REF!,$C218,#REF!,L$1))&gt;=1,"SIM","")</f>
        <v>#REF!</v>
      </c>
      <c r="M218" s="5" t="e">
        <f>IF((COUNTIFS(#REF!,$C218,#REF!,M$1))&gt;=1,"SIM","")</f>
        <v>#REF!</v>
      </c>
      <c r="N218" s="5" t="e">
        <f>IF((COUNTIFS(#REF!,$C218,#REF!,N$1))&gt;=1,"SIM","")</f>
        <v>#REF!</v>
      </c>
      <c r="O218" s="5"/>
      <c r="P218" s="5" t="e">
        <f>IF((COUNTIFS(#REF!,$C218,#REF!,P$1))&gt;=1,"SIM","")</f>
        <v>#REF!</v>
      </c>
      <c r="Q218" s="5" t="e">
        <f>IF((COUNTIFS(#REF!,$C218,#REF!,Q$1))&gt;=1,"SIM","")</f>
        <v>#REF!</v>
      </c>
      <c r="R218" s="5" t="e">
        <f>IF((COUNTIFS(#REF!,$C218,#REF!,"*CARTA*"))&gt;=1,"SIM","")</f>
        <v>#REF!</v>
      </c>
      <c r="S218" s="5" t="e">
        <f>IF((COUNTIFS(#REF!,$C218,#REF!,"*CARTA NOTIFICAÇÃO/DEVOL*"))&gt;=1,"SIM","")</f>
        <v>#REF!</v>
      </c>
      <c r="T218" s="5" t="e">
        <f>IF((COUNTIFS(#REF!,$C218,#REF!,"*LIGAÇÃO ATIVA DEV PRIN/LOC*"))&gt;=1,"SIM","")</f>
        <v>#REF!</v>
      </c>
    </row>
    <row r="219" spans="1:20">
      <c r="A219" s="24" t="s">
        <v>2159</v>
      </c>
      <c r="B219" s="24" t="s">
        <v>2052</v>
      </c>
      <c r="C219" s="24" t="s">
        <v>2053</v>
      </c>
      <c r="D219" s="5" t="e">
        <f>IF((COUNTIFS(#REF!,$C219,#REF!,"*163*"))&gt;=1,"SIM","")</f>
        <v>#REF!</v>
      </c>
      <c r="E219" s="5" t="e">
        <f>IF((COUNTIFS(#REF!,$C219,#REF!,E$1))&gt;=1,"SIM","")</f>
        <v>#REF!</v>
      </c>
      <c r="F219" s="5" t="e">
        <f>IF((COUNTIFS(#REF!,$C219,#REF!,F$1))&gt;=1,"SIM","")</f>
        <v>#REF!</v>
      </c>
      <c r="G219" s="5" t="e">
        <f>IF((COUNTIFS(#REF!,$C219,#REF!,"*606*"))&gt;=1,"SIM","")</f>
        <v>#REF!</v>
      </c>
      <c r="H219" s="5" t="e">
        <f>IF((COUNTIFS(#REF!,$C219,#REF!,"*605*"))&gt;=1,"SIM","")</f>
        <v>#REF!</v>
      </c>
      <c r="I219" s="5" t="e">
        <f>IF((COUNTIFS(#REF!,$C219,#REF!,I$1))&gt;=1,"SIM","")</f>
        <v>#REF!</v>
      </c>
      <c r="J219" s="5" t="e">
        <f>IF((COUNTIFS(#REF!,$C219,#REF!,J$1))&gt;=1,"SIM","")</f>
        <v>#REF!</v>
      </c>
      <c r="K219" s="5" t="e">
        <f>IF((COUNTIFS(#REF!,$C219,#REF!,K$1))&gt;=1,"SIM","")</f>
        <v>#REF!</v>
      </c>
      <c r="L219" s="5" t="e">
        <f>IF((COUNTIFS(#REF!,$C219,#REF!,L$1))&gt;=1,"SIM","")</f>
        <v>#REF!</v>
      </c>
      <c r="M219" s="5" t="e">
        <f>IF((COUNTIFS(#REF!,$C219,#REF!,M$1))&gt;=1,"SIM","")</f>
        <v>#REF!</v>
      </c>
      <c r="N219" s="5" t="e">
        <f>IF((COUNTIFS(#REF!,$C219,#REF!,N$1))&gt;=1,"SIM","")</f>
        <v>#REF!</v>
      </c>
      <c r="O219" s="5"/>
      <c r="P219" s="5" t="e">
        <f>IF((COUNTIFS(#REF!,$C219,#REF!,P$1))&gt;=1,"SIM","")</f>
        <v>#REF!</v>
      </c>
      <c r="Q219" s="5" t="e">
        <f>IF((COUNTIFS(#REF!,$C219,#REF!,Q$1))&gt;=1,"SIM","")</f>
        <v>#REF!</v>
      </c>
      <c r="R219" s="5" t="e">
        <f>IF((COUNTIFS(#REF!,$C219,#REF!,"*CARTA*"))&gt;=1,"SIM","")</f>
        <v>#REF!</v>
      </c>
      <c r="S219" s="5" t="e">
        <f>IF((COUNTIFS(#REF!,$C219,#REF!,"*CARTA NOTIFICAÇÃO/DEVOL*"))&gt;=1,"SIM","")</f>
        <v>#REF!</v>
      </c>
      <c r="T219" s="5" t="e">
        <f>IF((COUNTIFS(#REF!,$C219,#REF!,"*LIGAÇÃO ATIVA DEV PRIN/LOC*"))&gt;=1,"SIM","")</f>
        <v>#REF!</v>
      </c>
    </row>
    <row r="220" spans="1:20">
      <c r="A220" s="24" t="s">
        <v>2159</v>
      </c>
      <c r="B220" s="24" t="s">
        <v>1568</v>
      </c>
      <c r="C220" s="24" t="s">
        <v>1569</v>
      </c>
      <c r="D220" s="5" t="e">
        <f>IF((COUNTIFS(#REF!,$C220,#REF!,"*163*"))&gt;=1,"SIM","")</f>
        <v>#REF!</v>
      </c>
      <c r="E220" s="5" t="e">
        <f>IF((COUNTIFS(#REF!,$C220,#REF!,E$1))&gt;=1,"SIM","")</f>
        <v>#REF!</v>
      </c>
      <c r="F220" s="5" t="e">
        <f>IF((COUNTIFS(#REF!,$C220,#REF!,F$1))&gt;=1,"SIM","")</f>
        <v>#REF!</v>
      </c>
      <c r="G220" s="5" t="e">
        <f>IF((COUNTIFS(#REF!,$C220,#REF!,"*606*"))&gt;=1,"SIM","")</f>
        <v>#REF!</v>
      </c>
      <c r="H220" s="5" t="e">
        <f>IF((COUNTIFS(#REF!,$C220,#REF!,"*605*"))&gt;=1,"SIM","")</f>
        <v>#REF!</v>
      </c>
      <c r="I220" s="5" t="e">
        <f>IF((COUNTIFS(#REF!,$C220,#REF!,I$1))&gt;=1,"SIM","")</f>
        <v>#REF!</v>
      </c>
      <c r="J220" s="5" t="e">
        <f>IF((COUNTIFS(#REF!,$C220,#REF!,J$1))&gt;=1,"SIM","")</f>
        <v>#REF!</v>
      </c>
      <c r="K220" s="5" t="e">
        <f>IF((COUNTIFS(#REF!,$C220,#REF!,K$1))&gt;=1,"SIM","")</f>
        <v>#REF!</v>
      </c>
      <c r="L220" s="5" t="e">
        <f>IF((COUNTIFS(#REF!,$C220,#REF!,L$1))&gt;=1,"SIM","")</f>
        <v>#REF!</v>
      </c>
      <c r="M220" s="5" t="e">
        <f>IF((COUNTIFS(#REF!,$C220,#REF!,M$1))&gt;=1,"SIM","")</f>
        <v>#REF!</v>
      </c>
      <c r="N220" s="5" t="e">
        <f>IF((COUNTIFS(#REF!,$C220,#REF!,N$1))&gt;=1,"SIM","")</f>
        <v>#REF!</v>
      </c>
      <c r="O220" s="5"/>
      <c r="P220" s="5" t="e">
        <f>IF((COUNTIFS(#REF!,$C220,#REF!,P$1))&gt;=1,"SIM","")</f>
        <v>#REF!</v>
      </c>
      <c r="Q220" s="5" t="e">
        <f>IF((COUNTIFS(#REF!,$C220,#REF!,Q$1))&gt;=1,"SIM","")</f>
        <v>#REF!</v>
      </c>
      <c r="R220" s="5" t="e">
        <f>IF((COUNTIFS(#REF!,$C220,#REF!,"*CARTA*"))&gt;=1,"SIM","")</f>
        <v>#REF!</v>
      </c>
      <c r="S220" s="5" t="e">
        <f>IF((COUNTIFS(#REF!,$C220,#REF!,"*CARTA NOTIFICAÇÃO/DEVOL*"))&gt;=1,"SIM","")</f>
        <v>#REF!</v>
      </c>
      <c r="T220" s="5" t="e">
        <f>IF((COUNTIFS(#REF!,$C220,#REF!,"*LIGAÇÃO ATIVA DEV PRIN/LOC*"))&gt;=1,"SIM","")</f>
        <v>#REF!</v>
      </c>
    </row>
    <row r="221" spans="1:20">
      <c r="A221" s="24" t="s">
        <v>2159</v>
      </c>
      <c r="B221" s="24" t="s">
        <v>1827</v>
      </c>
      <c r="C221" s="24" t="s">
        <v>1828</v>
      </c>
      <c r="D221" s="5" t="e">
        <f>IF((COUNTIFS(#REF!,$C221,#REF!,"*163*"))&gt;=1,"SIM","")</f>
        <v>#REF!</v>
      </c>
      <c r="E221" s="5" t="e">
        <f>IF((COUNTIFS(#REF!,$C221,#REF!,E$1))&gt;=1,"SIM","")</f>
        <v>#REF!</v>
      </c>
      <c r="F221" s="5" t="e">
        <f>IF((COUNTIFS(#REF!,$C221,#REF!,F$1))&gt;=1,"SIM","")</f>
        <v>#REF!</v>
      </c>
      <c r="G221" s="5" t="e">
        <f>IF((COUNTIFS(#REF!,$C221,#REF!,"*606*"))&gt;=1,"SIM","")</f>
        <v>#REF!</v>
      </c>
      <c r="H221" s="5" t="e">
        <f>IF((COUNTIFS(#REF!,$C221,#REF!,"*605*"))&gt;=1,"SIM","")</f>
        <v>#REF!</v>
      </c>
      <c r="I221" s="5" t="e">
        <f>IF((COUNTIFS(#REF!,$C221,#REF!,I$1))&gt;=1,"SIM","")</f>
        <v>#REF!</v>
      </c>
      <c r="J221" s="5" t="e">
        <f>IF((COUNTIFS(#REF!,$C221,#REF!,J$1))&gt;=1,"SIM","")</f>
        <v>#REF!</v>
      </c>
      <c r="K221" s="5" t="e">
        <f>IF((COUNTIFS(#REF!,$C221,#REF!,K$1))&gt;=1,"SIM","")</f>
        <v>#REF!</v>
      </c>
      <c r="L221" s="5" t="e">
        <f>IF((COUNTIFS(#REF!,$C221,#REF!,L$1))&gt;=1,"SIM","")</f>
        <v>#REF!</v>
      </c>
      <c r="M221" s="5" t="e">
        <f>IF((COUNTIFS(#REF!,$C221,#REF!,M$1))&gt;=1,"SIM","")</f>
        <v>#REF!</v>
      </c>
      <c r="N221" s="5" t="e">
        <f>IF((COUNTIFS(#REF!,$C221,#REF!,N$1))&gt;=1,"SIM","")</f>
        <v>#REF!</v>
      </c>
      <c r="O221" s="5"/>
      <c r="P221" s="5" t="e">
        <f>IF((COUNTIFS(#REF!,$C221,#REF!,P$1))&gt;=1,"SIM","")</f>
        <v>#REF!</v>
      </c>
      <c r="Q221" s="5" t="e">
        <f>IF((COUNTIFS(#REF!,$C221,#REF!,Q$1))&gt;=1,"SIM","")</f>
        <v>#REF!</v>
      </c>
      <c r="R221" s="5" t="e">
        <f>IF((COUNTIFS(#REF!,$C221,#REF!,"*CARTA*"))&gt;=1,"SIM","")</f>
        <v>#REF!</v>
      </c>
      <c r="S221" s="5" t="e">
        <f>IF((COUNTIFS(#REF!,$C221,#REF!,"*CARTA NOTIFICAÇÃO/DEVOL*"))&gt;=1,"SIM","")</f>
        <v>#REF!</v>
      </c>
      <c r="T221" s="5" t="e">
        <f>IF((COUNTIFS(#REF!,$C221,#REF!,"*LIGAÇÃO ATIVA DEV PRIN/LOC*"))&gt;=1,"SIM","")</f>
        <v>#REF!</v>
      </c>
    </row>
    <row r="222" spans="1:20">
      <c r="A222" s="24" t="s">
        <v>2159</v>
      </c>
      <c r="B222" s="24" t="s">
        <v>1483</v>
      </c>
      <c r="C222" s="24" t="s">
        <v>1484</v>
      </c>
      <c r="D222" s="5" t="e">
        <f>IF((COUNTIFS(#REF!,$C222,#REF!,"*163*"))&gt;=1,"SIM","")</f>
        <v>#REF!</v>
      </c>
      <c r="E222" s="5" t="e">
        <f>IF((COUNTIFS(#REF!,$C222,#REF!,E$1))&gt;=1,"SIM","")</f>
        <v>#REF!</v>
      </c>
      <c r="F222" s="5" t="e">
        <f>IF((COUNTIFS(#REF!,$C222,#REF!,F$1))&gt;=1,"SIM","")</f>
        <v>#REF!</v>
      </c>
      <c r="G222" s="5" t="e">
        <f>IF((COUNTIFS(#REF!,$C222,#REF!,"*606*"))&gt;=1,"SIM","")</f>
        <v>#REF!</v>
      </c>
      <c r="H222" s="5" t="e">
        <f>IF((COUNTIFS(#REF!,$C222,#REF!,"*605*"))&gt;=1,"SIM","")</f>
        <v>#REF!</v>
      </c>
      <c r="I222" s="5" t="e">
        <f>IF((COUNTIFS(#REF!,$C222,#REF!,I$1))&gt;=1,"SIM","")</f>
        <v>#REF!</v>
      </c>
      <c r="J222" s="5" t="e">
        <f>IF((COUNTIFS(#REF!,$C222,#REF!,J$1))&gt;=1,"SIM","")</f>
        <v>#REF!</v>
      </c>
      <c r="K222" s="5" t="e">
        <f>IF((COUNTIFS(#REF!,$C222,#REF!,K$1))&gt;=1,"SIM","")</f>
        <v>#REF!</v>
      </c>
      <c r="L222" s="5" t="e">
        <f>IF((COUNTIFS(#REF!,$C222,#REF!,L$1))&gt;=1,"SIM","")</f>
        <v>#REF!</v>
      </c>
      <c r="M222" s="5" t="e">
        <f>IF((COUNTIFS(#REF!,$C222,#REF!,M$1))&gt;=1,"SIM","")</f>
        <v>#REF!</v>
      </c>
      <c r="N222" s="5" t="e">
        <f>IF((COUNTIFS(#REF!,$C222,#REF!,N$1))&gt;=1,"SIM","")</f>
        <v>#REF!</v>
      </c>
      <c r="O222" s="5"/>
      <c r="P222" s="5" t="e">
        <f>IF((COUNTIFS(#REF!,$C222,#REF!,P$1))&gt;=1,"SIM","")</f>
        <v>#REF!</v>
      </c>
      <c r="Q222" s="5" t="e">
        <f>IF((COUNTIFS(#REF!,$C222,#REF!,Q$1))&gt;=1,"SIM","")</f>
        <v>#REF!</v>
      </c>
      <c r="R222" s="5" t="e">
        <f>IF((COUNTIFS(#REF!,$C222,#REF!,"*CARTA*"))&gt;=1,"SIM","")</f>
        <v>#REF!</v>
      </c>
      <c r="S222" s="5" t="e">
        <f>IF((COUNTIFS(#REF!,$C222,#REF!,"*CARTA NOTIFICAÇÃO/DEVOL*"))&gt;=1,"SIM","")</f>
        <v>#REF!</v>
      </c>
      <c r="T222" s="5" t="e">
        <f>IF((COUNTIFS(#REF!,$C222,#REF!,"*LIGAÇÃO ATIVA DEV PRIN/LOC*"))&gt;=1,"SIM","")</f>
        <v>#REF!</v>
      </c>
    </row>
    <row r="223" spans="1:20">
      <c r="A223" s="24" t="s">
        <v>2159</v>
      </c>
      <c r="B223" s="24" t="s">
        <v>1440</v>
      </c>
      <c r="C223" s="24" t="s">
        <v>1441</v>
      </c>
      <c r="D223" s="5" t="e">
        <f>IF((COUNTIFS(#REF!,$C223,#REF!,"*163*"))&gt;=1,"SIM","")</f>
        <v>#REF!</v>
      </c>
      <c r="E223" s="5" t="e">
        <f>IF((COUNTIFS(#REF!,$C223,#REF!,E$1))&gt;=1,"SIM","")</f>
        <v>#REF!</v>
      </c>
      <c r="F223" s="5" t="e">
        <f>IF((COUNTIFS(#REF!,$C223,#REF!,F$1))&gt;=1,"SIM","")</f>
        <v>#REF!</v>
      </c>
      <c r="G223" s="5" t="e">
        <f>IF((COUNTIFS(#REF!,$C223,#REF!,"*606*"))&gt;=1,"SIM","")</f>
        <v>#REF!</v>
      </c>
      <c r="H223" s="5" t="e">
        <f>IF((COUNTIFS(#REF!,$C223,#REF!,"*605*"))&gt;=1,"SIM","")</f>
        <v>#REF!</v>
      </c>
      <c r="I223" s="5" t="e">
        <f>IF((COUNTIFS(#REF!,$C223,#REF!,I$1))&gt;=1,"SIM","")</f>
        <v>#REF!</v>
      </c>
      <c r="J223" s="5" t="e">
        <f>IF((COUNTIFS(#REF!,$C223,#REF!,J$1))&gt;=1,"SIM","")</f>
        <v>#REF!</v>
      </c>
      <c r="K223" s="5" t="e">
        <f>IF((COUNTIFS(#REF!,$C223,#REF!,K$1))&gt;=1,"SIM","")</f>
        <v>#REF!</v>
      </c>
      <c r="L223" s="5" t="e">
        <f>IF((COUNTIFS(#REF!,$C223,#REF!,L$1))&gt;=1,"SIM","")</f>
        <v>#REF!</v>
      </c>
      <c r="M223" s="5" t="e">
        <f>IF((COUNTIFS(#REF!,$C223,#REF!,M$1))&gt;=1,"SIM","")</f>
        <v>#REF!</v>
      </c>
      <c r="N223" s="5" t="e">
        <f>IF((COUNTIFS(#REF!,$C223,#REF!,N$1))&gt;=1,"SIM","")</f>
        <v>#REF!</v>
      </c>
      <c r="O223" s="5"/>
      <c r="P223" s="5" t="e">
        <f>IF((COUNTIFS(#REF!,$C223,#REF!,P$1))&gt;=1,"SIM","")</f>
        <v>#REF!</v>
      </c>
      <c r="Q223" s="5" t="e">
        <f>IF((COUNTIFS(#REF!,$C223,#REF!,Q$1))&gt;=1,"SIM","")</f>
        <v>#REF!</v>
      </c>
      <c r="R223" s="5" t="e">
        <f>IF((COUNTIFS(#REF!,$C223,#REF!,"*CARTA*"))&gt;=1,"SIM","")</f>
        <v>#REF!</v>
      </c>
      <c r="S223" s="5" t="e">
        <f>IF((COUNTIFS(#REF!,$C223,#REF!,"*CARTA NOTIFICAÇÃO/DEVOL*"))&gt;=1,"SIM","")</f>
        <v>#REF!</v>
      </c>
      <c r="T223" s="5" t="e">
        <f>IF((COUNTIFS(#REF!,$C223,#REF!,"*LIGAÇÃO ATIVA DEV PRIN/LOC*"))&gt;=1,"SIM","")</f>
        <v>#REF!</v>
      </c>
    </row>
    <row r="224" spans="1:20">
      <c r="A224" s="24" t="s">
        <v>2153</v>
      </c>
      <c r="B224" s="24" t="s">
        <v>781</v>
      </c>
      <c r="C224" s="24" t="s">
        <v>782</v>
      </c>
      <c r="D224" s="5" t="e">
        <f>IF((COUNTIFS(#REF!,$C224,#REF!,"*163*"))&gt;=1,"SIM","")</f>
        <v>#REF!</v>
      </c>
      <c r="E224" s="5" t="e">
        <f>IF((COUNTIFS(#REF!,$C224,#REF!,E$1))&gt;=1,"SIM","")</f>
        <v>#REF!</v>
      </c>
      <c r="F224" s="5" t="e">
        <f>IF((COUNTIFS(#REF!,$C224,#REF!,F$1))&gt;=1,"SIM","")</f>
        <v>#REF!</v>
      </c>
      <c r="G224" s="5" t="e">
        <f>IF((COUNTIFS(#REF!,$C224,#REF!,"*606*"))&gt;=1,"SIM","")</f>
        <v>#REF!</v>
      </c>
      <c r="H224" s="5" t="e">
        <f>IF((COUNTIFS(#REF!,$C224,#REF!,"*605*"))&gt;=1,"SIM","")</f>
        <v>#REF!</v>
      </c>
      <c r="I224" s="5" t="e">
        <f>IF((COUNTIFS(#REF!,$C224,#REF!,I$1))&gt;=1,"SIM","")</f>
        <v>#REF!</v>
      </c>
      <c r="J224" s="5" t="e">
        <f>IF((COUNTIFS(#REF!,$C224,#REF!,J$1))&gt;=1,"SIM","")</f>
        <v>#REF!</v>
      </c>
      <c r="K224" s="5" t="e">
        <f>IF((COUNTIFS(#REF!,$C224,#REF!,K$1))&gt;=1,"SIM","")</f>
        <v>#REF!</v>
      </c>
      <c r="L224" s="5" t="e">
        <f>IF((COUNTIFS(#REF!,$C224,#REF!,L$1))&gt;=1,"SIM","")</f>
        <v>#REF!</v>
      </c>
      <c r="M224" s="5" t="e">
        <f>IF((COUNTIFS(#REF!,$C224,#REF!,M$1))&gt;=1,"SIM","")</f>
        <v>#REF!</v>
      </c>
      <c r="N224" s="5" t="e">
        <f>IF((COUNTIFS(#REF!,$C224,#REF!,N$1))&gt;=1,"SIM","")</f>
        <v>#REF!</v>
      </c>
      <c r="O224" s="5"/>
      <c r="P224" s="5" t="e">
        <f>IF((COUNTIFS(#REF!,$C224,#REF!,P$1))&gt;=1,"SIM","")</f>
        <v>#REF!</v>
      </c>
      <c r="Q224" s="5" t="e">
        <f>IF((COUNTIFS(#REF!,$C224,#REF!,Q$1))&gt;=1,"SIM","")</f>
        <v>#REF!</v>
      </c>
      <c r="R224" s="5" t="e">
        <f>IF((COUNTIFS(#REF!,$C224,#REF!,"*CARTA*"))&gt;=1,"SIM","")</f>
        <v>#REF!</v>
      </c>
      <c r="S224" s="5" t="e">
        <f>IF((COUNTIFS(#REF!,$C224,#REF!,"*CARTA NOTIFICAÇÃO/DEVOL*"))&gt;=1,"SIM","")</f>
        <v>#REF!</v>
      </c>
      <c r="T224" s="5" t="e">
        <f>IF((COUNTIFS(#REF!,$C224,#REF!,"*LIGAÇÃO ATIVA DEV PRIN/LOC*"))&gt;=1,"SIM","")</f>
        <v>#REF!</v>
      </c>
    </row>
    <row r="225" spans="1:20">
      <c r="A225" s="24" t="s">
        <v>2158</v>
      </c>
      <c r="B225" s="24" t="s">
        <v>1012</v>
      </c>
      <c r="C225" s="24" t="s">
        <v>1013</v>
      </c>
      <c r="D225" s="5" t="e">
        <f>IF((COUNTIFS(#REF!,$C225,#REF!,"*163*"))&gt;=1,"SIM","")</f>
        <v>#REF!</v>
      </c>
      <c r="E225" s="5" t="e">
        <f>IF((COUNTIFS(#REF!,$C225,#REF!,E$1))&gt;=1,"SIM","")</f>
        <v>#REF!</v>
      </c>
      <c r="F225" s="5" t="e">
        <f>IF((COUNTIFS(#REF!,$C225,#REF!,F$1))&gt;=1,"SIM","")</f>
        <v>#REF!</v>
      </c>
      <c r="G225" s="5" t="e">
        <f>IF((COUNTIFS(#REF!,$C225,#REF!,"*606*"))&gt;=1,"SIM","")</f>
        <v>#REF!</v>
      </c>
      <c r="H225" s="5" t="e">
        <f>IF((COUNTIFS(#REF!,$C225,#REF!,"*605*"))&gt;=1,"SIM","")</f>
        <v>#REF!</v>
      </c>
      <c r="I225" s="5" t="e">
        <f>IF((COUNTIFS(#REF!,$C225,#REF!,I$1))&gt;=1,"SIM","")</f>
        <v>#REF!</v>
      </c>
      <c r="J225" s="5" t="e">
        <f>IF((COUNTIFS(#REF!,$C225,#REF!,J$1))&gt;=1,"SIM","")</f>
        <v>#REF!</v>
      </c>
      <c r="K225" s="5" t="e">
        <f>IF((COUNTIFS(#REF!,$C225,#REF!,K$1))&gt;=1,"SIM","")</f>
        <v>#REF!</v>
      </c>
      <c r="L225" s="5" t="e">
        <f>IF((COUNTIFS(#REF!,$C225,#REF!,L$1))&gt;=1,"SIM","")</f>
        <v>#REF!</v>
      </c>
      <c r="M225" s="5" t="e">
        <f>IF((COUNTIFS(#REF!,$C225,#REF!,M$1))&gt;=1,"SIM","")</f>
        <v>#REF!</v>
      </c>
      <c r="N225" s="5" t="e">
        <f>IF((COUNTIFS(#REF!,$C225,#REF!,N$1))&gt;=1,"SIM","")</f>
        <v>#REF!</v>
      </c>
      <c r="O225" s="5"/>
      <c r="P225" s="5" t="e">
        <f>IF((COUNTIFS(#REF!,$C225,#REF!,P$1))&gt;=1,"SIM","")</f>
        <v>#REF!</v>
      </c>
      <c r="Q225" s="5" t="e">
        <f>IF((COUNTIFS(#REF!,$C225,#REF!,Q$1))&gt;=1,"SIM","")</f>
        <v>#REF!</v>
      </c>
      <c r="R225" s="5" t="e">
        <f>IF((COUNTIFS(#REF!,$C225,#REF!,"*CARTA*"))&gt;=1,"SIM","")</f>
        <v>#REF!</v>
      </c>
      <c r="S225" s="5" t="e">
        <f>IF((COUNTIFS(#REF!,$C225,#REF!,"*CARTA NOTIFICAÇÃO/DEVOL*"))&gt;=1,"SIM","")</f>
        <v>#REF!</v>
      </c>
      <c r="T225" s="5" t="e">
        <f>IF((COUNTIFS(#REF!,$C225,#REF!,"*LIGAÇÃO ATIVA DEV PRIN/LOC*"))&gt;=1,"SIM","")</f>
        <v>#REF!</v>
      </c>
    </row>
    <row r="226" spans="1:20">
      <c r="A226" s="24" t="s">
        <v>2153</v>
      </c>
      <c r="B226" s="24" t="s">
        <v>435</v>
      </c>
      <c r="C226" s="24" t="s">
        <v>436</v>
      </c>
      <c r="D226" s="5" t="e">
        <f>IF((COUNTIFS(#REF!,$C226,#REF!,"*163*"))&gt;=1,"SIM","")</f>
        <v>#REF!</v>
      </c>
      <c r="E226" s="5" t="e">
        <f>IF((COUNTIFS(#REF!,$C226,#REF!,E$1))&gt;=1,"SIM","")</f>
        <v>#REF!</v>
      </c>
      <c r="F226" s="5" t="e">
        <f>IF((COUNTIFS(#REF!,$C226,#REF!,F$1))&gt;=1,"SIM","")</f>
        <v>#REF!</v>
      </c>
      <c r="G226" s="5" t="e">
        <f>IF((COUNTIFS(#REF!,$C226,#REF!,"*606*"))&gt;=1,"SIM","")</f>
        <v>#REF!</v>
      </c>
      <c r="H226" s="5" t="e">
        <f>IF((COUNTIFS(#REF!,$C226,#REF!,"*605*"))&gt;=1,"SIM","")</f>
        <v>#REF!</v>
      </c>
      <c r="I226" s="5" t="e">
        <f>IF((COUNTIFS(#REF!,$C226,#REF!,I$1))&gt;=1,"SIM","")</f>
        <v>#REF!</v>
      </c>
      <c r="J226" s="5" t="e">
        <f>IF((COUNTIFS(#REF!,$C226,#REF!,J$1))&gt;=1,"SIM","")</f>
        <v>#REF!</v>
      </c>
      <c r="K226" s="5" t="e">
        <f>IF((COUNTIFS(#REF!,$C226,#REF!,K$1))&gt;=1,"SIM","")</f>
        <v>#REF!</v>
      </c>
      <c r="L226" s="5" t="e">
        <f>IF((COUNTIFS(#REF!,$C226,#REF!,L$1))&gt;=1,"SIM","")</f>
        <v>#REF!</v>
      </c>
      <c r="M226" s="5" t="e">
        <f>IF((COUNTIFS(#REF!,$C226,#REF!,M$1))&gt;=1,"SIM","")</f>
        <v>#REF!</v>
      </c>
      <c r="N226" s="5" t="e">
        <f>IF((COUNTIFS(#REF!,$C226,#REF!,N$1))&gt;=1,"SIM","")</f>
        <v>#REF!</v>
      </c>
      <c r="O226" s="5"/>
      <c r="P226" s="5" t="e">
        <f>IF((COUNTIFS(#REF!,$C226,#REF!,P$1))&gt;=1,"SIM","")</f>
        <v>#REF!</v>
      </c>
      <c r="Q226" s="5" t="e">
        <f>IF((COUNTIFS(#REF!,$C226,#REF!,Q$1))&gt;=1,"SIM","")</f>
        <v>#REF!</v>
      </c>
      <c r="R226" s="5" t="e">
        <f>IF((COUNTIFS(#REF!,$C226,#REF!,"*CARTA*"))&gt;=1,"SIM","")</f>
        <v>#REF!</v>
      </c>
      <c r="S226" s="5" t="e">
        <f>IF((COUNTIFS(#REF!,$C226,#REF!,"*CARTA NOTIFICAÇÃO/DEVOL*"))&gt;=1,"SIM","")</f>
        <v>#REF!</v>
      </c>
      <c r="T226" s="5" t="e">
        <f>IF((COUNTIFS(#REF!,$C226,#REF!,"*LIGAÇÃO ATIVA DEV PRIN/LOC*"))&gt;=1,"SIM","")</f>
        <v>#REF!</v>
      </c>
    </row>
    <row r="227" spans="1:20">
      <c r="A227" s="24" t="s">
        <v>2153</v>
      </c>
      <c r="B227" s="24" t="s">
        <v>580</v>
      </c>
      <c r="C227" s="24" t="s">
        <v>581</v>
      </c>
      <c r="D227" s="5" t="e">
        <f>IF((COUNTIFS(#REF!,$C227,#REF!,"*163*"))&gt;=1,"SIM","")</f>
        <v>#REF!</v>
      </c>
      <c r="E227" s="5" t="e">
        <f>IF((COUNTIFS(#REF!,$C227,#REF!,E$1))&gt;=1,"SIM","")</f>
        <v>#REF!</v>
      </c>
      <c r="F227" s="5" t="e">
        <f>IF((COUNTIFS(#REF!,$C227,#REF!,F$1))&gt;=1,"SIM","")</f>
        <v>#REF!</v>
      </c>
      <c r="G227" s="5" t="e">
        <f>IF((COUNTIFS(#REF!,$C227,#REF!,"*606*"))&gt;=1,"SIM","")</f>
        <v>#REF!</v>
      </c>
      <c r="H227" s="5" t="e">
        <f>IF((COUNTIFS(#REF!,$C227,#REF!,"*605*"))&gt;=1,"SIM","")</f>
        <v>#REF!</v>
      </c>
      <c r="I227" s="5" t="e">
        <f>IF((COUNTIFS(#REF!,$C227,#REF!,I$1))&gt;=1,"SIM","")</f>
        <v>#REF!</v>
      </c>
      <c r="J227" s="5" t="e">
        <f>IF((COUNTIFS(#REF!,$C227,#REF!,J$1))&gt;=1,"SIM","")</f>
        <v>#REF!</v>
      </c>
      <c r="K227" s="5" t="e">
        <f>IF((COUNTIFS(#REF!,$C227,#REF!,K$1))&gt;=1,"SIM","")</f>
        <v>#REF!</v>
      </c>
      <c r="L227" s="5" t="e">
        <f>IF((COUNTIFS(#REF!,$C227,#REF!,L$1))&gt;=1,"SIM","")</f>
        <v>#REF!</v>
      </c>
      <c r="M227" s="5" t="e">
        <f>IF((COUNTIFS(#REF!,$C227,#REF!,M$1))&gt;=1,"SIM","")</f>
        <v>#REF!</v>
      </c>
      <c r="N227" s="5" t="e">
        <f>IF((COUNTIFS(#REF!,$C227,#REF!,N$1))&gt;=1,"SIM","")</f>
        <v>#REF!</v>
      </c>
      <c r="O227" s="5"/>
      <c r="P227" s="5" t="e">
        <f>IF((COUNTIFS(#REF!,$C227,#REF!,P$1))&gt;=1,"SIM","")</f>
        <v>#REF!</v>
      </c>
      <c r="Q227" s="5" t="e">
        <f>IF((COUNTIFS(#REF!,$C227,#REF!,Q$1))&gt;=1,"SIM","")</f>
        <v>#REF!</v>
      </c>
      <c r="R227" s="5" t="e">
        <f>IF((COUNTIFS(#REF!,$C227,#REF!,"*CARTA*"))&gt;=1,"SIM","")</f>
        <v>#REF!</v>
      </c>
      <c r="S227" s="5" t="e">
        <f>IF((COUNTIFS(#REF!,$C227,#REF!,"*CARTA NOTIFICAÇÃO/DEVOL*"))&gt;=1,"SIM","")</f>
        <v>#REF!</v>
      </c>
      <c r="T227" s="5" t="e">
        <f>IF((COUNTIFS(#REF!,$C227,#REF!,"*LIGAÇÃO ATIVA DEV PRIN/LOC*"))&gt;=1,"SIM","")</f>
        <v>#REF!</v>
      </c>
    </row>
    <row r="228" spans="1:20">
      <c r="A228" s="24" t="s">
        <v>2159</v>
      </c>
      <c r="B228" s="24" t="s">
        <v>1932</v>
      </c>
      <c r="C228" s="24" t="s">
        <v>1933</v>
      </c>
      <c r="D228" s="5" t="e">
        <f>IF((COUNTIFS(#REF!,$C228,#REF!,"*163*"))&gt;=1,"SIM","")</f>
        <v>#REF!</v>
      </c>
      <c r="E228" s="5" t="e">
        <f>IF((COUNTIFS(#REF!,$C228,#REF!,E$1))&gt;=1,"SIM","")</f>
        <v>#REF!</v>
      </c>
      <c r="F228" s="5" t="e">
        <f>IF((COUNTIFS(#REF!,$C228,#REF!,F$1))&gt;=1,"SIM","")</f>
        <v>#REF!</v>
      </c>
      <c r="G228" s="5" t="e">
        <f>IF((COUNTIFS(#REF!,$C228,#REF!,"*606*"))&gt;=1,"SIM","")</f>
        <v>#REF!</v>
      </c>
      <c r="H228" s="5" t="e">
        <f>IF((COUNTIFS(#REF!,$C228,#REF!,"*605*"))&gt;=1,"SIM","")</f>
        <v>#REF!</v>
      </c>
      <c r="I228" s="5" t="e">
        <f>IF((COUNTIFS(#REF!,$C228,#REF!,I$1))&gt;=1,"SIM","")</f>
        <v>#REF!</v>
      </c>
      <c r="J228" s="5" t="e">
        <f>IF((COUNTIFS(#REF!,$C228,#REF!,J$1))&gt;=1,"SIM","")</f>
        <v>#REF!</v>
      </c>
      <c r="K228" s="5" t="e">
        <f>IF((COUNTIFS(#REF!,$C228,#REF!,K$1))&gt;=1,"SIM","")</f>
        <v>#REF!</v>
      </c>
      <c r="L228" s="5" t="e">
        <f>IF((COUNTIFS(#REF!,$C228,#REF!,L$1))&gt;=1,"SIM","")</f>
        <v>#REF!</v>
      </c>
      <c r="M228" s="5" t="e">
        <f>IF((COUNTIFS(#REF!,$C228,#REF!,M$1))&gt;=1,"SIM","")</f>
        <v>#REF!</v>
      </c>
      <c r="N228" s="5" t="e">
        <f>IF((COUNTIFS(#REF!,$C228,#REF!,N$1))&gt;=1,"SIM","")</f>
        <v>#REF!</v>
      </c>
      <c r="O228" s="5"/>
      <c r="P228" s="5" t="e">
        <f>IF((COUNTIFS(#REF!,$C228,#REF!,P$1))&gt;=1,"SIM","")</f>
        <v>#REF!</v>
      </c>
      <c r="Q228" s="5" t="e">
        <f>IF((COUNTIFS(#REF!,$C228,#REF!,Q$1))&gt;=1,"SIM","")</f>
        <v>#REF!</v>
      </c>
      <c r="R228" s="5" t="e">
        <f>IF((COUNTIFS(#REF!,$C228,#REF!,"*CARTA*"))&gt;=1,"SIM","")</f>
        <v>#REF!</v>
      </c>
      <c r="S228" s="5" t="e">
        <f>IF((COUNTIFS(#REF!,$C228,#REF!,"*CARTA NOTIFICAÇÃO/DEVOL*"))&gt;=1,"SIM","")</f>
        <v>#REF!</v>
      </c>
      <c r="T228" s="5" t="e">
        <f>IF((COUNTIFS(#REF!,$C228,#REF!,"*LIGAÇÃO ATIVA DEV PRIN/LOC*"))&gt;=1,"SIM","")</f>
        <v>#REF!</v>
      </c>
    </row>
    <row r="229" spans="1:20">
      <c r="A229" s="24" t="s">
        <v>2153</v>
      </c>
      <c r="B229" s="24" t="s">
        <v>938</v>
      </c>
      <c r="C229" s="24" t="s">
        <v>939</v>
      </c>
      <c r="D229" s="5" t="e">
        <f>IF((COUNTIFS(#REF!,$C229,#REF!,"*163*"))&gt;=1,"SIM","")</f>
        <v>#REF!</v>
      </c>
      <c r="E229" s="5" t="e">
        <f>IF((COUNTIFS(#REF!,$C229,#REF!,E$1))&gt;=1,"SIM","")</f>
        <v>#REF!</v>
      </c>
      <c r="F229" s="5" t="e">
        <f>IF((COUNTIFS(#REF!,$C229,#REF!,F$1))&gt;=1,"SIM","")</f>
        <v>#REF!</v>
      </c>
      <c r="G229" s="5" t="e">
        <f>IF((COUNTIFS(#REF!,$C229,#REF!,"*606*"))&gt;=1,"SIM","")</f>
        <v>#REF!</v>
      </c>
      <c r="H229" s="5" t="e">
        <f>IF((COUNTIFS(#REF!,$C229,#REF!,"*605*"))&gt;=1,"SIM","")</f>
        <v>#REF!</v>
      </c>
      <c r="I229" s="5" t="e">
        <f>IF((COUNTIFS(#REF!,$C229,#REF!,I$1))&gt;=1,"SIM","")</f>
        <v>#REF!</v>
      </c>
      <c r="J229" s="5" t="e">
        <f>IF((COUNTIFS(#REF!,$C229,#REF!,J$1))&gt;=1,"SIM","")</f>
        <v>#REF!</v>
      </c>
      <c r="K229" s="5" t="e">
        <f>IF((COUNTIFS(#REF!,$C229,#REF!,K$1))&gt;=1,"SIM","")</f>
        <v>#REF!</v>
      </c>
      <c r="L229" s="5" t="e">
        <f>IF((COUNTIFS(#REF!,$C229,#REF!,L$1))&gt;=1,"SIM","")</f>
        <v>#REF!</v>
      </c>
      <c r="M229" s="5" t="e">
        <f>IF((COUNTIFS(#REF!,$C229,#REF!,M$1))&gt;=1,"SIM","")</f>
        <v>#REF!</v>
      </c>
      <c r="N229" s="5" t="e">
        <f>IF((COUNTIFS(#REF!,$C229,#REF!,N$1))&gt;=1,"SIM","")</f>
        <v>#REF!</v>
      </c>
      <c r="O229" s="5"/>
      <c r="P229" s="5" t="e">
        <f>IF((COUNTIFS(#REF!,$C229,#REF!,P$1))&gt;=1,"SIM","")</f>
        <v>#REF!</v>
      </c>
      <c r="Q229" s="5" t="e">
        <f>IF((COUNTIFS(#REF!,$C229,#REF!,Q$1))&gt;=1,"SIM","")</f>
        <v>#REF!</v>
      </c>
      <c r="R229" s="5" t="e">
        <f>IF((COUNTIFS(#REF!,$C229,#REF!,"*CARTA*"))&gt;=1,"SIM","")</f>
        <v>#REF!</v>
      </c>
      <c r="S229" s="5" t="e">
        <f>IF((COUNTIFS(#REF!,$C229,#REF!,"*CARTA NOTIFICAÇÃO/DEVOL*"))&gt;=1,"SIM","")</f>
        <v>#REF!</v>
      </c>
      <c r="T229" s="5" t="e">
        <f>IF((COUNTIFS(#REF!,$C229,#REF!,"*LIGAÇÃO ATIVA DEV PRIN/LOC*"))&gt;=1,"SIM","")</f>
        <v>#REF!</v>
      </c>
    </row>
    <row r="230" spans="1:20">
      <c r="A230" s="24" t="s">
        <v>2158</v>
      </c>
      <c r="B230" s="24" t="s">
        <v>1360</v>
      </c>
      <c r="C230" s="24" t="s">
        <v>1361</v>
      </c>
      <c r="D230" s="5" t="e">
        <f>IF((COUNTIFS(#REF!,$C230,#REF!,"*163*"))&gt;=1,"SIM","")</f>
        <v>#REF!</v>
      </c>
      <c r="E230" s="5" t="e">
        <f>IF((COUNTIFS(#REF!,$C230,#REF!,E$1))&gt;=1,"SIM","")</f>
        <v>#REF!</v>
      </c>
      <c r="F230" s="5" t="e">
        <f>IF((COUNTIFS(#REF!,$C230,#REF!,F$1))&gt;=1,"SIM","")</f>
        <v>#REF!</v>
      </c>
      <c r="G230" s="5" t="e">
        <f>IF((COUNTIFS(#REF!,$C230,#REF!,"*606*"))&gt;=1,"SIM","")</f>
        <v>#REF!</v>
      </c>
      <c r="H230" s="5" t="e">
        <f>IF((COUNTIFS(#REF!,$C230,#REF!,"*605*"))&gt;=1,"SIM","")</f>
        <v>#REF!</v>
      </c>
      <c r="I230" s="5" t="e">
        <f>IF((COUNTIFS(#REF!,$C230,#REF!,I$1))&gt;=1,"SIM","")</f>
        <v>#REF!</v>
      </c>
      <c r="J230" s="5" t="e">
        <f>IF((COUNTIFS(#REF!,$C230,#REF!,J$1))&gt;=1,"SIM","")</f>
        <v>#REF!</v>
      </c>
      <c r="K230" s="5" t="e">
        <f>IF((COUNTIFS(#REF!,$C230,#REF!,K$1))&gt;=1,"SIM","")</f>
        <v>#REF!</v>
      </c>
      <c r="L230" s="5" t="e">
        <f>IF((COUNTIFS(#REF!,$C230,#REF!,L$1))&gt;=1,"SIM","")</f>
        <v>#REF!</v>
      </c>
      <c r="M230" s="5" t="e">
        <f>IF((COUNTIFS(#REF!,$C230,#REF!,M$1))&gt;=1,"SIM","")</f>
        <v>#REF!</v>
      </c>
      <c r="N230" s="5" t="e">
        <f>IF((COUNTIFS(#REF!,$C230,#REF!,N$1))&gt;=1,"SIM","")</f>
        <v>#REF!</v>
      </c>
      <c r="O230" s="5"/>
      <c r="P230" s="5" t="e">
        <f>IF((COUNTIFS(#REF!,$C230,#REF!,P$1))&gt;=1,"SIM","")</f>
        <v>#REF!</v>
      </c>
      <c r="Q230" s="5" t="e">
        <f>IF((COUNTIFS(#REF!,$C230,#REF!,Q$1))&gt;=1,"SIM","")</f>
        <v>#REF!</v>
      </c>
      <c r="R230" s="5" t="e">
        <f>IF((COUNTIFS(#REF!,$C230,#REF!,"*CARTA*"))&gt;=1,"SIM","")</f>
        <v>#REF!</v>
      </c>
      <c r="S230" s="5" t="e">
        <f>IF((COUNTIFS(#REF!,$C230,#REF!,"*CARTA NOTIFICAÇÃO/DEVOL*"))&gt;=1,"SIM","")</f>
        <v>#REF!</v>
      </c>
      <c r="T230" s="5" t="e">
        <f>IF((COUNTIFS(#REF!,$C230,#REF!,"*LIGAÇÃO ATIVA DEV PRIN/LOC*"))&gt;=1,"SIM","")</f>
        <v>#REF!</v>
      </c>
    </row>
    <row r="231" spans="1:20">
      <c r="A231" s="24" t="s">
        <v>2159</v>
      </c>
      <c r="B231" s="24" t="s">
        <v>1433</v>
      </c>
      <c r="C231" s="24" t="s">
        <v>1434</v>
      </c>
      <c r="D231" s="5" t="e">
        <f>IF((COUNTIFS(#REF!,$C231,#REF!,"*163*"))&gt;=1,"SIM","")</f>
        <v>#REF!</v>
      </c>
      <c r="E231" s="5" t="e">
        <f>IF((COUNTIFS(#REF!,$C231,#REF!,E$1))&gt;=1,"SIM","")</f>
        <v>#REF!</v>
      </c>
      <c r="F231" s="5" t="e">
        <f>IF((COUNTIFS(#REF!,$C231,#REF!,F$1))&gt;=1,"SIM","")</f>
        <v>#REF!</v>
      </c>
      <c r="G231" s="5" t="e">
        <f>IF((COUNTIFS(#REF!,$C231,#REF!,"*606*"))&gt;=1,"SIM","")</f>
        <v>#REF!</v>
      </c>
      <c r="H231" s="5" t="e">
        <f>IF((COUNTIFS(#REF!,$C231,#REF!,"*605*"))&gt;=1,"SIM","")</f>
        <v>#REF!</v>
      </c>
      <c r="I231" s="5" t="e">
        <f>IF((COUNTIFS(#REF!,$C231,#REF!,I$1))&gt;=1,"SIM","")</f>
        <v>#REF!</v>
      </c>
      <c r="J231" s="5" t="e">
        <f>IF((COUNTIFS(#REF!,$C231,#REF!,J$1))&gt;=1,"SIM","")</f>
        <v>#REF!</v>
      </c>
      <c r="K231" s="5" t="e">
        <f>IF((COUNTIFS(#REF!,$C231,#REF!,K$1))&gt;=1,"SIM","")</f>
        <v>#REF!</v>
      </c>
      <c r="L231" s="5" t="e">
        <f>IF((COUNTIFS(#REF!,$C231,#REF!,L$1))&gt;=1,"SIM","")</f>
        <v>#REF!</v>
      </c>
      <c r="M231" s="5" t="e">
        <f>IF((COUNTIFS(#REF!,$C231,#REF!,M$1))&gt;=1,"SIM","")</f>
        <v>#REF!</v>
      </c>
      <c r="N231" s="5" t="e">
        <f>IF((COUNTIFS(#REF!,$C231,#REF!,N$1))&gt;=1,"SIM","")</f>
        <v>#REF!</v>
      </c>
      <c r="O231" s="5"/>
      <c r="P231" s="5" t="e">
        <f>IF((COUNTIFS(#REF!,$C231,#REF!,P$1))&gt;=1,"SIM","")</f>
        <v>#REF!</v>
      </c>
      <c r="Q231" s="5" t="e">
        <f>IF((COUNTIFS(#REF!,$C231,#REF!,Q$1))&gt;=1,"SIM","")</f>
        <v>#REF!</v>
      </c>
      <c r="R231" s="5" t="e">
        <f>IF((COUNTIFS(#REF!,$C231,#REF!,"*CARTA*"))&gt;=1,"SIM","")</f>
        <v>#REF!</v>
      </c>
      <c r="S231" s="5" t="e">
        <f>IF((COUNTIFS(#REF!,$C231,#REF!,"*CARTA NOTIFICAÇÃO/DEVOL*"))&gt;=1,"SIM","")</f>
        <v>#REF!</v>
      </c>
      <c r="T231" s="5" t="e">
        <f>IF((COUNTIFS(#REF!,$C231,#REF!,"*LIGAÇÃO ATIVA DEV PRIN/LOC*"))&gt;=1,"SIM","")</f>
        <v>#REF!</v>
      </c>
    </row>
    <row r="232" spans="1:20">
      <c r="A232" s="24" t="s">
        <v>2155</v>
      </c>
      <c r="B232" s="24" t="s">
        <v>49</v>
      </c>
      <c r="C232" s="24" t="s">
        <v>50</v>
      </c>
      <c r="D232" s="5" t="e">
        <f>IF((COUNTIFS(#REF!,$C232,#REF!,"*163*"))&gt;=1,"SIM","")</f>
        <v>#REF!</v>
      </c>
      <c r="E232" s="5" t="e">
        <f>IF((COUNTIFS(#REF!,$C232,#REF!,E$1))&gt;=1,"SIM","")</f>
        <v>#REF!</v>
      </c>
      <c r="F232" s="5" t="e">
        <f>IF((COUNTIFS(#REF!,$C232,#REF!,F$1))&gt;=1,"SIM","")</f>
        <v>#REF!</v>
      </c>
      <c r="G232" s="5" t="e">
        <f>IF((COUNTIFS(#REF!,$C232,#REF!,"*606*"))&gt;=1,"SIM","")</f>
        <v>#REF!</v>
      </c>
      <c r="H232" s="5" t="e">
        <f>IF((COUNTIFS(#REF!,$C232,#REF!,"*605*"))&gt;=1,"SIM","")</f>
        <v>#REF!</v>
      </c>
      <c r="I232" s="5" t="e">
        <f>IF((COUNTIFS(#REF!,$C232,#REF!,I$1))&gt;=1,"SIM","")</f>
        <v>#REF!</v>
      </c>
      <c r="J232" s="5" t="e">
        <f>IF((COUNTIFS(#REF!,$C232,#REF!,J$1))&gt;=1,"SIM","")</f>
        <v>#REF!</v>
      </c>
      <c r="K232" s="5" t="e">
        <f>IF((COUNTIFS(#REF!,$C232,#REF!,K$1))&gt;=1,"SIM","")</f>
        <v>#REF!</v>
      </c>
      <c r="L232" s="5" t="e">
        <f>IF((COUNTIFS(#REF!,$C232,#REF!,L$1))&gt;=1,"SIM","")</f>
        <v>#REF!</v>
      </c>
      <c r="M232" s="5" t="e">
        <f>IF((COUNTIFS(#REF!,$C232,#REF!,M$1))&gt;=1,"SIM","")</f>
        <v>#REF!</v>
      </c>
      <c r="N232" s="5" t="e">
        <f>IF((COUNTIFS(#REF!,$C232,#REF!,N$1))&gt;=1,"SIM","")</f>
        <v>#REF!</v>
      </c>
      <c r="O232" s="5"/>
      <c r="P232" s="5" t="e">
        <f>IF((COUNTIFS(#REF!,$C232,#REF!,P$1))&gt;=1,"SIM","")</f>
        <v>#REF!</v>
      </c>
      <c r="Q232" s="5" t="e">
        <f>IF((COUNTIFS(#REF!,$C232,#REF!,Q$1))&gt;=1,"SIM","")</f>
        <v>#REF!</v>
      </c>
      <c r="R232" s="5" t="e">
        <f>IF((COUNTIFS(#REF!,$C232,#REF!,"*CARTA*"))&gt;=1,"SIM","")</f>
        <v>#REF!</v>
      </c>
      <c r="S232" s="5" t="e">
        <f>IF((COUNTIFS(#REF!,$C232,#REF!,"*CARTA NOTIFICAÇÃO/DEVOL*"))&gt;=1,"SIM","")</f>
        <v>#REF!</v>
      </c>
      <c r="T232" s="5" t="e">
        <f>IF((COUNTIFS(#REF!,$C232,#REF!,"*LIGAÇÃO ATIVA DEV PRIN/LOC*"))&gt;=1,"SIM","")</f>
        <v>#REF!</v>
      </c>
    </row>
    <row r="233" spans="1:20">
      <c r="A233" s="24" t="s">
        <v>2153</v>
      </c>
      <c r="B233" s="24" t="s">
        <v>49</v>
      </c>
      <c r="C233" s="24" t="s">
        <v>50</v>
      </c>
      <c r="D233" s="5" t="e">
        <f>IF((COUNTIFS(#REF!,$C233,#REF!,"*163*"))&gt;=1,"SIM","")</f>
        <v>#REF!</v>
      </c>
      <c r="E233" s="5" t="e">
        <f>IF((COUNTIFS(#REF!,$C233,#REF!,E$1))&gt;=1,"SIM","")</f>
        <v>#REF!</v>
      </c>
      <c r="F233" s="5" t="e">
        <f>IF((COUNTIFS(#REF!,$C233,#REF!,F$1))&gt;=1,"SIM","")</f>
        <v>#REF!</v>
      </c>
      <c r="G233" s="5" t="e">
        <f>IF((COUNTIFS(#REF!,$C233,#REF!,"*606*"))&gt;=1,"SIM","")</f>
        <v>#REF!</v>
      </c>
      <c r="H233" s="5" t="e">
        <f>IF((COUNTIFS(#REF!,$C233,#REF!,"*605*"))&gt;=1,"SIM","")</f>
        <v>#REF!</v>
      </c>
      <c r="I233" s="5" t="e">
        <f>IF((COUNTIFS(#REF!,$C233,#REF!,I$1))&gt;=1,"SIM","")</f>
        <v>#REF!</v>
      </c>
      <c r="J233" s="5" t="e">
        <f>IF((COUNTIFS(#REF!,$C233,#REF!,J$1))&gt;=1,"SIM","")</f>
        <v>#REF!</v>
      </c>
      <c r="K233" s="5" t="e">
        <f>IF((COUNTIFS(#REF!,$C233,#REF!,K$1))&gt;=1,"SIM","")</f>
        <v>#REF!</v>
      </c>
      <c r="L233" s="5" t="e">
        <f>IF((COUNTIFS(#REF!,$C233,#REF!,L$1))&gt;=1,"SIM","")</f>
        <v>#REF!</v>
      </c>
      <c r="M233" s="5" t="e">
        <f>IF((COUNTIFS(#REF!,$C233,#REF!,M$1))&gt;=1,"SIM","")</f>
        <v>#REF!</v>
      </c>
      <c r="N233" s="5" t="e">
        <f>IF((COUNTIFS(#REF!,$C233,#REF!,N$1))&gt;=1,"SIM","")</f>
        <v>#REF!</v>
      </c>
      <c r="O233" s="5"/>
      <c r="P233" s="5" t="e">
        <f>IF((COUNTIFS(#REF!,$C233,#REF!,P$1))&gt;=1,"SIM","")</f>
        <v>#REF!</v>
      </c>
      <c r="Q233" s="5" t="e">
        <f>IF((COUNTIFS(#REF!,$C233,#REF!,Q$1))&gt;=1,"SIM","")</f>
        <v>#REF!</v>
      </c>
      <c r="R233" s="5" t="e">
        <f>IF((COUNTIFS(#REF!,$C233,#REF!,"*CARTA*"))&gt;=1,"SIM","")</f>
        <v>#REF!</v>
      </c>
      <c r="S233" s="5" t="e">
        <f>IF((COUNTIFS(#REF!,$C233,#REF!,"*CARTA NOTIFICAÇÃO/DEVOL*"))&gt;=1,"SIM","")</f>
        <v>#REF!</v>
      </c>
      <c r="T233" s="5" t="e">
        <f>IF((COUNTIFS(#REF!,$C233,#REF!,"*LIGAÇÃO ATIVA DEV PRIN/LOC*"))&gt;=1,"SIM","")</f>
        <v>#REF!</v>
      </c>
    </row>
    <row r="234" spans="1:20">
      <c r="A234" s="24" t="s">
        <v>2158</v>
      </c>
      <c r="B234" s="24" t="s">
        <v>853</v>
      </c>
      <c r="C234" s="24" t="s">
        <v>854</v>
      </c>
      <c r="D234" s="5" t="e">
        <f>IF((COUNTIFS(#REF!,$C234,#REF!,"*163*"))&gt;=1,"SIM","")</f>
        <v>#REF!</v>
      </c>
      <c r="E234" s="5" t="e">
        <f>IF((COUNTIFS(#REF!,$C234,#REF!,E$1))&gt;=1,"SIM","")</f>
        <v>#REF!</v>
      </c>
      <c r="F234" s="5" t="e">
        <f>IF((COUNTIFS(#REF!,$C234,#REF!,F$1))&gt;=1,"SIM","")</f>
        <v>#REF!</v>
      </c>
      <c r="G234" s="5" t="e">
        <f>IF((COUNTIFS(#REF!,$C234,#REF!,"*606*"))&gt;=1,"SIM","")</f>
        <v>#REF!</v>
      </c>
      <c r="H234" s="5" t="e">
        <f>IF((COUNTIFS(#REF!,$C234,#REF!,"*605*"))&gt;=1,"SIM","")</f>
        <v>#REF!</v>
      </c>
      <c r="I234" s="5" t="e">
        <f>IF((COUNTIFS(#REF!,$C234,#REF!,I$1))&gt;=1,"SIM","")</f>
        <v>#REF!</v>
      </c>
      <c r="J234" s="5" t="e">
        <f>IF((COUNTIFS(#REF!,$C234,#REF!,J$1))&gt;=1,"SIM","")</f>
        <v>#REF!</v>
      </c>
      <c r="K234" s="5" t="e">
        <f>IF((COUNTIFS(#REF!,$C234,#REF!,K$1))&gt;=1,"SIM","")</f>
        <v>#REF!</v>
      </c>
      <c r="L234" s="5" t="e">
        <f>IF((COUNTIFS(#REF!,$C234,#REF!,L$1))&gt;=1,"SIM","")</f>
        <v>#REF!</v>
      </c>
      <c r="M234" s="5" t="e">
        <f>IF((COUNTIFS(#REF!,$C234,#REF!,M$1))&gt;=1,"SIM","")</f>
        <v>#REF!</v>
      </c>
      <c r="N234" s="5" t="e">
        <f>IF((COUNTIFS(#REF!,$C234,#REF!,N$1))&gt;=1,"SIM","")</f>
        <v>#REF!</v>
      </c>
      <c r="O234" s="5"/>
      <c r="P234" s="5" t="e">
        <f>IF((COUNTIFS(#REF!,$C234,#REF!,P$1))&gt;=1,"SIM","")</f>
        <v>#REF!</v>
      </c>
      <c r="Q234" s="5" t="e">
        <f>IF((COUNTIFS(#REF!,$C234,#REF!,Q$1))&gt;=1,"SIM","")</f>
        <v>#REF!</v>
      </c>
      <c r="R234" s="5" t="e">
        <f>IF((COUNTIFS(#REF!,$C234,#REF!,"*CARTA*"))&gt;=1,"SIM","")</f>
        <v>#REF!</v>
      </c>
      <c r="S234" s="5" t="e">
        <f>IF((COUNTIFS(#REF!,$C234,#REF!,"*CARTA NOTIFICAÇÃO/DEVOL*"))&gt;=1,"SIM","")</f>
        <v>#REF!</v>
      </c>
      <c r="T234" s="5" t="e">
        <f>IF((COUNTIFS(#REF!,$C234,#REF!,"*LIGAÇÃO ATIVA DEV PRIN/LOC*"))&gt;=1,"SIM","")</f>
        <v>#REF!</v>
      </c>
    </row>
    <row r="235" spans="1:20">
      <c r="A235" s="24" t="s">
        <v>2155</v>
      </c>
      <c r="B235" s="24" t="s">
        <v>195</v>
      </c>
      <c r="C235" s="24" t="s">
        <v>196</v>
      </c>
      <c r="D235" s="5" t="e">
        <f>IF((COUNTIFS(#REF!,$C235,#REF!,"*163*"))&gt;=1,"SIM","")</f>
        <v>#REF!</v>
      </c>
      <c r="E235" s="5" t="e">
        <f>IF((COUNTIFS(#REF!,$C235,#REF!,E$1))&gt;=1,"SIM","")</f>
        <v>#REF!</v>
      </c>
      <c r="F235" s="5" t="e">
        <f>IF((COUNTIFS(#REF!,$C235,#REF!,F$1))&gt;=1,"SIM","")</f>
        <v>#REF!</v>
      </c>
      <c r="G235" s="5" t="e">
        <f>IF((COUNTIFS(#REF!,$C235,#REF!,"*606*"))&gt;=1,"SIM","")</f>
        <v>#REF!</v>
      </c>
      <c r="H235" s="5" t="e">
        <f>IF((COUNTIFS(#REF!,$C235,#REF!,"*605*"))&gt;=1,"SIM","")</f>
        <v>#REF!</v>
      </c>
      <c r="I235" s="5" t="e">
        <f>IF((COUNTIFS(#REF!,$C235,#REF!,I$1))&gt;=1,"SIM","")</f>
        <v>#REF!</v>
      </c>
      <c r="J235" s="5" t="e">
        <f>IF((COUNTIFS(#REF!,$C235,#REF!,J$1))&gt;=1,"SIM","")</f>
        <v>#REF!</v>
      </c>
      <c r="K235" s="5" t="e">
        <f>IF((COUNTIFS(#REF!,$C235,#REF!,K$1))&gt;=1,"SIM","")</f>
        <v>#REF!</v>
      </c>
      <c r="L235" s="5" t="e">
        <f>IF((COUNTIFS(#REF!,$C235,#REF!,L$1))&gt;=1,"SIM","")</f>
        <v>#REF!</v>
      </c>
      <c r="M235" s="5" t="e">
        <f>IF((COUNTIFS(#REF!,$C235,#REF!,M$1))&gt;=1,"SIM","")</f>
        <v>#REF!</v>
      </c>
      <c r="N235" s="5" t="e">
        <f>IF((COUNTIFS(#REF!,$C235,#REF!,N$1))&gt;=1,"SIM","")</f>
        <v>#REF!</v>
      </c>
      <c r="O235" s="5"/>
      <c r="P235" s="5" t="e">
        <f>IF((COUNTIFS(#REF!,$C235,#REF!,P$1))&gt;=1,"SIM","")</f>
        <v>#REF!</v>
      </c>
      <c r="Q235" s="5" t="e">
        <f>IF((COUNTIFS(#REF!,$C235,#REF!,Q$1))&gt;=1,"SIM","")</f>
        <v>#REF!</v>
      </c>
      <c r="R235" s="5" t="e">
        <f>IF((COUNTIFS(#REF!,$C235,#REF!,"*CARTA*"))&gt;=1,"SIM","")</f>
        <v>#REF!</v>
      </c>
      <c r="S235" s="5" t="e">
        <f>IF((COUNTIFS(#REF!,$C235,#REF!,"*CARTA NOTIFICAÇÃO/DEVOL*"))&gt;=1,"SIM","")</f>
        <v>#REF!</v>
      </c>
      <c r="T235" s="5" t="e">
        <f>IF((COUNTIFS(#REF!,$C235,#REF!,"*LIGAÇÃO ATIVA DEV PRIN/LOC*"))&gt;=1,"SIM","")</f>
        <v>#REF!</v>
      </c>
    </row>
    <row r="236" spans="1:20">
      <c r="A236" s="24" t="s">
        <v>2155</v>
      </c>
      <c r="B236" s="24" t="s">
        <v>34</v>
      </c>
      <c r="C236" s="24" t="s">
        <v>35</v>
      </c>
      <c r="D236" s="5" t="e">
        <f>IF((COUNTIFS(#REF!,$C236,#REF!,"*163*"))&gt;=1,"SIM","")</f>
        <v>#REF!</v>
      </c>
      <c r="E236" s="5" t="e">
        <f>IF((COUNTIFS(#REF!,$C236,#REF!,E$1))&gt;=1,"SIM","")</f>
        <v>#REF!</v>
      </c>
      <c r="F236" s="5" t="e">
        <f>IF((COUNTIFS(#REF!,$C236,#REF!,F$1))&gt;=1,"SIM","")</f>
        <v>#REF!</v>
      </c>
      <c r="G236" s="5" t="e">
        <f>IF((COUNTIFS(#REF!,$C236,#REF!,"*606*"))&gt;=1,"SIM","")</f>
        <v>#REF!</v>
      </c>
      <c r="H236" s="5" t="e">
        <f>IF((COUNTIFS(#REF!,$C236,#REF!,"*605*"))&gt;=1,"SIM","")</f>
        <v>#REF!</v>
      </c>
      <c r="I236" s="5" t="e">
        <f>IF((COUNTIFS(#REF!,$C236,#REF!,I$1))&gt;=1,"SIM","")</f>
        <v>#REF!</v>
      </c>
      <c r="J236" s="5" t="e">
        <f>IF((COUNTIFS(#REF!,$C236,#REF!,J$1))&gt;=1,"SIM","")</f>
        <v>#REF!</v>
      </c>
      <c r="K236" s="5" t="e">
        <f>IF((COUNTIFS(#REF!,$C236,#REF!,K$1))&gt;=1,"SIM","")</f>
        <v>#REF!</v>
      </c>
      <c r="L236" s="5" t="e">
        <f>IF((COUNTIFS(#REF!,$C236,#REF!,L$1))&gt;=1,"SIM","")</f>
        <v>#REF!</v>
      </c>
      <c r="M236" s="5" t="e">
        <f>IF((COUNTIFS(#REF!,$C236,#REF!,M$1))&gt;=1,"SIM","")</f>
        <v>#REF!</v>
      </c>
      <c r="N236" s="5" t="e">
        <f>IF((COUNTIFS(#REF!,$C236,#REF!,N$1))&gt;=1,"SIM","")</f>
        <v>#REF!</v>
      </c>
      <c r="O236" s="5"/>
      <c r="P236" s="5" t="e">
        <f>IF((COUNTIFS(#REF!,$C236,#REF!,P$1))&gt;=1,"SIM","")</f>
        <v>#REF!</v>
      </c>
      <c r="Q236" s="5" t="e">
        <f>IF((COUNTIFS(#REF!,$C236,#REF!,Q$1))&gt;=1,"SIM","")</f>
        <v>#REF!</v>
      </c>
      <c r="R236" s="5" t="e">
        <f>IF((COUNTIFS(#REF!,$C236,#REF!,"*CARTA*"))&gt;=1,"SIM","")</f>
        <v>#REF!</v>
      </c>
      <c r="S236" s="5" t="e">
        <f>IF((COUNTIFS(#REF!,$C236,#REF!,"*CARTA NOTIFICAÇÃO/DEVOL*"))&gt;=1,"SIM","")</f>
        <v>#REF!</v>
      </c>
      <c r="T236" s="5" t="e">
        <f>IF((COUNTIFS(#REF!,$C236,#REF!,"*LIGAÇÃO ATIVA DEV PRIN/LOC*"))&gt;=1,"SIM","")</f>
        <v>#REF!</v>
      </c>
    </row>
    <row r="237" spans="1:20">
      <c r="A237" s="24" t="s">
        <v>2153</v>
      </c>
      <c r="B237" s="24" t="s">
        <v>34</v>
      </c>
      <c r="C237" s="24" t="s">
        <v>35</v>
      </c>
      <c r="D237" s="5" t="e">
        <f>IF((COUNTIFS(#REF!,$C237,#REF!,"*163*"))&gt;=1,"SIM","")</f>
        <v>#REF!</v>
      </c>
      <c r="E237" s="5" t="e">
        <f>IF((COUNTIFS(#REF!,$C237,#REF!,E$1))&gt;=1,"SIM","")</f>
        <v>#REF!</v>
      </c>
      <c r="F237" s="5" t="e">
        <f>IF((COUNTIFS(#REF!,$C237,#REF!,F$1))&gt;=1,"SIM","")</f>
        <v>#REF!</v>
      </c>
      <c r="G237" s="5" t="e">
        <f>IF((COUNTIFS(#REF!,$C237,#REF!,"*606*"))&gt;=1,"SIM","")</f>
        <v>#REF!</v>
      </c>
      <c r="H237" s="5" t="e">
        <f>IF((COUNTIFS(#REF!,$C237,#REF!,"*605*"))&gt;=1,"SIM","")</f>
        <v>#REF!</v>
      </c>
      <c r="I237" s="5" t="e">
        <f>IF((COUNTIFS(#REF!,$C237,#REF!,I$1))&gt;=1,"SIM","")</f>
        <v>#REF!</v>
      </c>
      <c r="J237" s="5" t="e">
        <f>IF((COUNTIFS(#REF!,$C237,#REF!,J$1))&gt;=1,"SIM","")</f>
        <v>#REF!</v>
      </c>
      <c r="K237" s="5" t="e">
        <f>IF((COUNTIFS(#REF!,$C237,#REF!,K$1))&gt;=1,"SIM","")</f>
        <v>#REF!</v>
      </c>
      <c r="L237" s="5" t="e">
        <f>IF((COUNTIFS(#REF!,$C237,#REF!,L$1))&gt;=1,"SIM","")</f>
        <v>#REF!</v>
      </c>
      <c r="M237" s="5" t="e">
        <f>IF((COUNTIFS(#REF!,$C237,#REF!,M$1))&gt;=1,"SIM","")</f>
        <v>#REF!</v>
      </c>
      <c r="N237" s="5" t="e">
        <f>IF((COUNTIFS(#REF!,$C237,#REF!,N$1))&gt;=1,"SIM","")</f>
        <v>#REF!</v>
      </c>
      <c r="O237" s="5"/>
      <c r="P237" s="5" t="e">
        <f>IF((COUNTIFS(#REF!,$C237,#REF!,P$1))&gt;=1,"SIM","")</f>
        <v>#REF!</v>
      </c>
      <c r="Q237" s="5" t="e">
        <f>IF((COUNTIFS(#REF!,$C237,#REF!,Q$1))&gt;=1,"SIM","")</f>
        <v>#REF!</v>
      </c>
      <c r="R237" s="5" t="e">
        <f>IF((COUNTIFS(#REF!,$C237,#REF!,"*CARTA*"))&gt;=1,"SIM","")</f>
        <v>#REF!</v>
      </c>
      <c r="S237" s="5" t="e">
        <f>IF((COUNTIFS(#REF!,$C237,#REF!,"*CARTA NOTIFICAÇÃO/DEVOL*"))&gt;=1,"SIM","")</f>
        <v>#REF!</v>
      </c>
      <c r="T237" s="5" t="e">
        <f>IF((COUNTIFS(#REF!,$C237,#REF!,"*LIGAÇÃO ATIVA DEV PRIN/LOC*"))&gt;=1,"SIM","")</f>
        <v>#REF!</v>
      </c>
    </row>
    <row r="238" spans="1:20">
      <c r="A238" s="24" t="s">
        <v>2158</v>
      </c>
      <c r="B238" s="24" t="s">
        <v>845</v>
      </c>
      <c r="C238" s="24" t="s">
        <v>846</v>
      </c>
      <c r="D238" s="5" t="e">
        <f>IF((COUNTIFS(#REF!,$C238,#REF!,"*163*"))&gt;=1,"SIM","")</f>
        <v>#REF!</v>
      </c>
      <c r="E238" s="5" t="e">
        <f>IF((COUNTIFS(#REF!,$C238,#REF!,E$1))&gt;=1,"SIM","")</f>
        <v>#REF!</v>
      </c>
      <c r="F238" s="5" t="e">
        <f>IF((COUNTIFS(#REF!,$C238,#REF!,F$1))&gt;=1,"SIM","")</f>
        <v>#REF!</v>
      </c>
      <c r="G238" s="5" t="e">
        <f>IF((COUNTIFS(#REF!,$C238,#REF!,"*606*"))&gt;=1,"SIM","")</f>
        <v>#REF!</v>
      </c>
      <c r="H238" s="5" t="e">
        <f>IF((COUNTIFS(#REF!,$C238,#REF!,"*605*"))&gt;=1,"SIM","")</f>
        <v>#REF!</v>
      </c>
      <c r="I238" s="5" t="e">
        <f>IF((COUNTIFS(#REF!,$C238,#REF!,I$1))&gt;=1,"SIM","")</f>
        <v>#REF!</v>
      </c>
      <c r="J238" s="5" t="e">
        <f>IF((COUNTIFS(#REF!,$C238,#REF!,J$1))&gt;=1,"SIM","")</f>
        <v>#REF!</v>
      </c>
      <c r="K238" s="5" t="e">
        <f>IF((COUNTIFS(#REF!,$C238,#REF!,K$1))&gt;=1,"SIM","")</f>
        <v>#REF!</v>
      </c>
      <c r="L238" s="5" t="e">
        <f>IF((COUNTIFS(#REF!,$C238,#REF!,L$1))&gt;=1,"SIM","")</f>
        <v>#REF!</v>
      </c>
      <c r="M238" s="5" t="e">
        <f>IF((COUNTIFS(#REF!,$C238,#REF!,M$1))&gt;=1,"SIM","")</f>
        <v>#REF!</v>
      </c>
      <c r="N238" s="5" t="e">
        <f>IF((COUNTIFS(#REF!,$C238,#REF!,N$1))&gt;=1,"SIM","")</f>
        <v>#REF!</v>
      </c>
      <c r="O238" s="5"/>
      <c r="P238" s="5" t="e">
        <f>IF((COUNTIFS(#REF!,$C238,#REF!,P$1))&gt;=1,"SIM","")</f>
        <v>#REF!</v>
      </c>
      <c r="Q238" s="5" t="e">
        <f>IF((COUNTIFS(#REF!,$C238,#REF!,Q$1))&gt;=1,"SIM","")</f>
        <v>#REF!</v>
      </c>
      <c r="R238" s="5" t="e">
        <f>IF((COUNTIFS(#REF!,$C238,#REF!,"*CARTA*"))&gt;=1,"SIM","")</f>
        <v>#REF!</v>
      </c>
      <c r="S238" s="5" t="e">
        <f>IF((COUNTIFS(#REF!,$C238,#REF!,"*CARTA NOTIFICAÇÃO/DEVOL*"))&gt;=1,"SIM","")</f>
        <v>#REF!</v>
      </c>
      <c r="T238" s="5" t="e">
        <f>IF((COUNTIFS(#REF!,$C238,#REF!,"*LIGAÇÃO ATIVA DEV PRIN/LOC*"))&gt;=1,"SIM","")</f>
        <v>#REF!</v>
      </c>
    </row>
    <row r="239" spans="1:20">
      <c r="A239" s="24" t="s">
        <v>2153</v>
      </c>
      <c r="B239" s="24" t="s">
        <v>404</v>
      </c>
      <c r="C239" s="24" t="s">
        <v>405</v>
      </c>
      <c r="D239" s="5" t="e">
        <f>IF((COUNTIFS(#REF!,$C239,#REF!,"*163*"))&gt;=1,"SIM","")</f>
        <v>#REF!</v>
      </c>
      <c r="E239" s="5" t="e">
        <f>IF((COUNTIFS(#REF!,$C239,#REF!,E$1))&gt;=1,"SIM","")</f>
        <v>#REF!</v>
      </c>
      <c r="F239" s="5" t="e">
        <f>IF((COUNTIFS(#REF!,$C239,#REF!,F$1))&gt;=1,"SIM","")</f>
        <v>#REF!</v>
      </c>
      <c r="G239" s="5" t="e">
        <f>IF((COUNTIFS(#REF!,$C239,#REF!,"*606*"))&gt;=1,"SIM","")</f>
        <v>#REF!</v>
      </c>
      <c r="H239" s="5" t="e">
        <f>IF((COUNTIFS(#REF!,$C239,#REF!,"*605*"))&gt;=1,"SIM","")</f>
        <v>#REF!</v>
      </c>
      <c r="I239" s="5" t="e">
        <f>IF((COUNTIFS(#REF!,$C239,#REF!,I$1))&gt;=1,"SIM","")</f>
        <v>#REF!</v>
      </c>
      <c r="J239" s="5" t="e">
        <f>IF((COUNTIFS(#REF!,$C239,#REF!,J$1))&gt;=1,"SIM","")</f>
        <v>#REF!</v>
      </c>
      <c r="K239" s="5" t="e">
        <f>IF((COUNTIFS(#REF!,$C239,#REF!,K$1))&gt;=1,"SIM","")</f>
        <v>#REF!</v>
      </c>
      <c r="L239" s="5" t="e">
        <f>IF((COUNTIFS(#REF!,$C239,#REF!,L$1))&gt;=1,"SIM","")</f>
        <v>#REF!</v>
      </c>
      <c r="M239" s="5" t="e">
        <f>IF((COUNTIFS(#REF!,$C239,#REF!,M$1))&gt;=1,"SIM","")</f>
        <v>#REF!</v>
      </c>
      <c r="N239" s="5" t="e">
        <f>IF((COUNTIFS(#REF!,$C239,#REF!,N$1))&gt;=1,"SIM","")</f>
        <v>#REF!</v>
      </c>
      <c r="O239" s="5"/>
      <c r="P239" s="5" t="e">
        <f>IF((COUNTIFS(#REF!,$C239,#REF!,P$1))&gt;=1,"SIM","")</f>
        <v>#REF!</v>
      </c>
      <c r="Q239" s="5" t="e">
        <f>IF((COUNTIFS(#REF!,$C239,#REF!,Q$1))&gt;=1,"SIM","")</f>
        <v>#REF!</v>
      </c>
      <c r="R239" s="5" t="e">
        <f>IF((COUNTIFS(#REF!,$C239,#REF!,"*CARTA*"))&gt;=1,"SIM","")</f>
        <v>#REF!</v>
      </c>
      <c r="S239" s="5" t="e">
        <f>IF((COUNTIFS(#REF!,$C239,#REF!,"*CARTA NOTIFICAÇÃO/DEVOL*"))&gt;=1,"SIM","")</f>
        <v>#REF!</v>
      </c>
      <c r="T239" s="5" t="e">
        <f>IF((COUNTIFS(#REF!,$C239,#REF!,"*LIGAÇÃO ATIVA DEV PRIN/LOC*"))&gt;=1,"SIM","")</f>
        <v>#REF!</v>
      </c>
    </row>
    <row r="240" spans="1:20">
      <c r="A240" s="24" t="s">
        <v>2159</v>
      </c>
      <c r="B240" s="24" t="s">
        <v>871</v>
      </c>
      <c r="C240" s="24" t="s">
        <v>872</v>
      </c>
      <c r="D240" s="5" t="e">
        <f>IF((COUNTIFS(#REF!,$C240,#REF!,"*163*"))&gt;=1,"SIM","")</f>
        <v>#REF!</v>
      </c>
      <c r="E240" s="5" t="e">
        <f>IF((COUNTIFS(#REF!,$C240,#REF!,E$1))&gt;=1,"SIM","")</f>
        <v>#REF!</v>
      </c>
      <c r="F240" s="5" t="e">
        <f>IF((COUNTIFS(#REF!,$C240,#REF!,F$1))&gt;=1,"SIM","")</f>
        <v>#REF!</v>
      </c>
      <c r="G240" s="5" t="e">
        <f>IF((COUNTIFS(#REF!,$C240,#REF!,"*606*"))&gt;=1,"SIM","")</f>
        <v>#REF!</v>
      </c>
      <c r="H240" s="5" t="e">
        <f>IF((COUNTIFS(#REF!,$C240,#REF!,"*605*"))&gt;=1,"SIM","")</f>
        <v>#REF!</v>
      </c>
      <c r="I240" s="5" t="e">
        <f>IF((COUNTIFS(#REF!,$C240,#REF!,I$1))&gt;=1,"SIM","")</f>
        <v>#REF!</v>
      </c>
      <c r="J240" s="5" t="e">
        <f>IF((COUNTIFS(#REF!,$C240,#REF!,J$1))&gt;=1,"SIM","")</f>
        <v>#REF!</v>
      </c>
      <c r="K240" s="5" t="e">
        <f>IF((COUNTIFS(#REF!,$C240,#REF!,K$1))&gt;=1,"SIM","")</f>
        <v>#REF!</v>
      </c>
      <c r="L240" s="5" t="e">
        <f>IF((COUNTIFS(#REF!,$C240,#REF!,L$1))&gt;=1,"SIM","")</f>
        <v>#REF!</v>
      </c>
      <c r="M240" s="5" t="e">
        <f>IF((COUNTIFS(#REF!,$C240,#REF!,M$1))&gt;=1,"SIM","")</f>
        <v>#REF!</v>
      </c>
      <c r="N240" s="5" t="e">
        <f>IF((COUNTIFS(#REF!,$C240,#REF!,N$1))&gt;=1,"SIM","")</f>
        <v>#REF!</v>
      </c>
      <c r="O240" s="5"/>
      <c r="P240" s="5" t="e">
        <f>IF((COUNTIFS(#REF!,$C240,#REF!,P$1))&gt;=1,"SIM","")</f>
        <v>#REF!</v>
      </c>
      <c r="Q240" s="5" t="e">
        <f>IF((COUNTIFS(#REF!,$C240,#REF!,Q$1))&gt;=1,"SIM","")</f>
        <v>#REF!</v>
      </c>
      <c r="R240" s="5" t="e">
        <f>IF((COUNTIFS(#REF!,$C240,#REF!,"*CARTA*"))&gt;=1,"SIM","")</f>
        <v>#REF!</v>
      </c>
      <c r="S240" s="5" t="e">
        <f>IF((COUNTIFS(#REF!,$C240,#REF!,"*CARTA NOTIFICAÇÃO/DEVOL*"))&gt;=1,"SIM","")</f>
        <v>#REF!</v>
      </c>
      <c r="T240" s="5" t="e">
        <f>IF((COUNTIFS(#REF!,$C240,#REF!,"*LIGAÇÃO ATIVA DEV PRIN/LOC*"))&gt;=1,"SIM","")</f>
        <v>#REF!</v>
      </c>
    </row>
    <row r="241" spans="1:20">
      <c r="A241" s="24" t="s">
        <v>2159</v>
      </c>
      <c r="B241" s="24" t="s">
        <v>1516</v>
      </c>
      <c r="C241" s="24" t="s">
        <v>1517</v>
      </c>
      <c r="D241" s="5" t="e">
        <f>IF((COUNTIFS(#REF!,$C241,#REF!,"*163*"))&gt;=1,"SIM","")</f>
        <v>#REF!</v>
      </c>
      <c r="E241" s="5" t="e">
        <f>IF((COUNTIFS(#REF!,$C241,#REF!,E$1))&gt;=1,"SIM","")</f>
        <v>#REF!</v>
      </c>
      <c r="F241" s="5" t="e">
        <f>IF((COUNTIFS(#REF!,$C241,#REF!,F$1))&gt;=1,"SIM","")</f>
        <v>#REF!</v>
      </c>
      <c r="G241" s="5" t="e">
        <f>IF((COUNTIFS(#REF!,$C241,#REF!,"*606*"))&gt;=1,"SIM","")</f>
        <v>#REF!</v>
      </c>
      <c r="H241" s="5" t="e">
        <f>IF((COUNTIFS(#REF!,$C241,#REF!,"*605*"))&gt;=1,"SIM","")</f>
        <v>#REF!</v>
      </c>
      <c r="I241" s="5" t="e">
        <f>IF((COUNTIFS(#REF!,$C241,#REF!,I$1))&gt;=1,"SIM","")</f>
        <v>#REF!</v>
      </c>
      <c r="J241" s="5" t="e">
        <f>IF((COUNTIFS(#REF!,$C241,#REF!,J$1))&gt;=1,"SIM","")</f>
        <v>#REF!</v>
      </c>
      <c r="K241" s="5" t="e">
        <f>IF((COUNTIFS(#REF!,$C241,#REF!,K$1))&gt;=1,"SIM","")</f>
        <v>#REF!</v>
      </c>
      <c r="L241" s="5" t="e">
        <f>IF((COUNTIFS(#REF!,$C241,#REF!,L$1))&gt;=1,"SIM","")</f>
        <v>#REF!</v>
      </c>
      <c r="M241" s="5" t="e">
        <f>IF((COUNTIFS(#REF!,$C241,#REF!,M$1))&gt;=1,"SIM","")</f>
        <v>#REF!</v>
      </c>
      <c r="N241" s="5" t="e">
        <f>IF((COUNTIFS(#REF!,$C241,#REF!,N$1))&gt;=1,"SIM","")</f>
        <v>#REF!</v>
      </c>
      <c r="O241" s="5"/>
      <c r="P241" s="5" t="e">
        <f>IF((COUNTIFS(#REF!,$C241,#REF!,P$1))&gt;=1,"SIM","")</f>
        <v>#REF!</v>
      </c>
      <c r="Q241" s="5" t="e">
        <f>IF((COUNTIFS(#REF!,$C241,#REF!,Q$1))&gt;=1,"SIM","")</f>
        <v>#REF!</v>
      </c>
      <c r="R241" s="5" t="e">
        <f>IF((COUNTIFS(#REF!,$C241,#REF!,"*CARTA*"))&gt;=1,"SIM","")</f>
        <v>#REF!</v>
      </c>
      <c r="S241" s="5" t="e">
        <f>IF((COUNTIFS(#REF!,$C241,#REF!,"*CARTA NOTIFICAÇÃO/DEVOL*"))&gt;=1,"SIM","")</f>
        <v>#REF!</v>
      </c>
      <c r="T241" s="5" t="e">
        <f>IF((COUNTIFS(#REF!,$C241,#REF!,"*LIGAÇÃO ATIVA DEV PRIN/LOC*"))&gt;=1,"SIM","")</f>
        <v>#REF!</v>
      </c>
    </row>
    <row r="242" spans="1:20">
      <c r="A242" s="24" t="s">
        <v>2153</v>
      </c>
      <c r="B242" s="24" t="s">
        <v>479</v>
      </c>
      <c r="C242" s="24" t="s">
        <v>480</v>
      </c>
      <c r="D242" s="5" t="e">
        <f>IF((COUNTIFS(#REF!,$C242,#REF!,"*163*"))&gt;=1,"SIM","")</f>
        <v>#REF!</v>
      </c>
      <c r="E242" s="5" t="e">
        <f>IF((COUNTIFS(#REF!,$C242,#REF!,E$1))&gt;=1,"SIM","")</f>
        <v>#REF!</v>
      </c>
      <c r="F242" s="5" t="e">
        <f>IF((COUNTIFS(#REF!,$C242,#REF!,F$1))&gt;=1,"SIM","")</f>
        <v>#REF!</v>
      </c>
      <c r="G242" s="5" t="e">
        <f>IF((COUNTIFS(#REF!,$C242,#REF!,"*606*"))&gt;=1,"SIM","")</f>
        <v>#REF!</v>
      </c>
      <c r="H242" s="5" t="e">
        <f>IF((COUNTIFS(#REF!,$C242,#REF!,"*605*"))&gt;=1,"SIM","")</f>
        <v>#REF!</v>
      </c>
      <c r="I242" s="5" t="e">
        <f>IF((COUNTIFS(#REF!,$C242,#REF!,I$1))&gt;=1,"SIM","")</f>
        <v>#REF!</v>
      </c>
      <c r="J242" s="5" t="e">
        <f>IF((COUNTIFS(#REF!,$C242,#REF!,J$1))&gt;=1,"SIM","")</f>
        <v>#REF!</v>
      </c>
      <c r="K242" s="5" t="e">
        <f>IF((COUNTIFS(#REF!,$C242,#REF!,K$1))&gt;=1,"SIM","")</f>
        <v>#REF!</v>
      </c>
      <c r="L242" s="5" t="e">
        <f>IF((COUNTIFS(#REF!,$C242,#REF!,L$1))&gt;=1,"SIM","")</f>
        <v>#REF!</v>
      </c>
      <c r="M242" s="5" t="e">
        <f>IF((COUNTIFS(#REF!,$C242,#REF!,M$1))&gt;=1,"SIM","")</f>
        <v>#REF!</v>
      </c>
      <c r="N242" s="5" t="e">
        <f>IF((COUNTIFS(#REF!,$C242,#REF!,N$1))&gt;=1,"SIM","")</f>
        <v>#REF!</v>
      </c>
      <c r="O242" s="5"/>
      <c r="P242" s="5" t="e">
        <f>IF((COUNTIFS(#REF!,$C242,#REF!,P$1))&gt;=1,"SIM","")</f>
        <v>#REF!</v>
      </c>
      <c r="Q242" s="5" t="e">
        <f>IF((COUNTIFS(#REF!,$C242,#REF!,Q$1))&gt;=1,"SIM","")</f>
        <v>#REF!</v>
      </c>
      <c r="R242" s="5" t="e">
        <f>IF((COUNTIFS(#REF!,$C242,#REF!,"*CARTA*"))&gt;=1,"SIM","")</f>
        <v>#REF!</v>
      </c>
      <c r="S242" s="5" t="e">
        <f>IF((COUNTIFS(#REF!,$C242,#REF!,"*CARTA NOTIFICAÇÃO/DEVOL*"))&gt;=1,"SIM","")</f>
        <v>#REF!</v>
      </c>
      <c r="T242" s="5" t="e">
        <f>IF((COUNTIFS(#REF!,$C242,#REF!,"*LIGAÇÃO ATIVA DEV PRIN/LOC*"))&gt;=1,"SIM","")</f>
        <v>#REF!</v>
      </c>
    </row>
    <row r="243" spans="1:20">
      <c r="A243" s="24" t="s">
        <v>2156</v>
      </c>
      <c r="B243" s="24" t="s">
        <v>129</v>
      </c>
      <c r="C243" s="24" t="s">
        <v>130</v>
      </c>
      <c r="D243" s="5" t="e">
        <f>IF((COUNTIFS(#REF!,$C243,#REF!,"*163*"))&gt;=1,"SIM","")</f>
        <v>#REF!</v>
      </c>
      <c r="E243" s="5" t="e">
        <f>IF((COUNTIFS(#REF!,$C243,#REF!,E$1))&gt;=1,"SIM","")</f>
        <v>#REF!</v>
      </c>
      <c r="F243" s="5" t="e">
        <f>IF((COUNTIFS(#REF!,$C243,#REF!,F$1))&gt;=1,"SIM","")</f>
        <v>#REF!</v>
      </c>
      <c r="G243" s="5" t="e">
        <f>IF((COUNTIFS(#REF!,$C243,#REF!,"*606*"))&gt;=1,"SIM","")</f>
        <v>#REF!</v>
      </c>
      <c r="H243" s="5" t="e">
        <f>IF((COUNTIFS(#REF!,$C243,#REF!,"*605*"))&gt;=1,"SIM","")</f>
        <v>#REF!</v>
      </c>
      <c r="I243" s="5" t="e">
        <f>IF((COUNTIFS(#REF!,$C243,#REF!,I$1))&gt;=1,"SIM","")</f>
        <v>#REF!</v>
      </c>
      <c r="J243" s="5" t="e">
        <f>IF((COUNTIFS(#REF!,$C243,#REF!,J$1))&gt;=1,"SIM","")</f>
        <v>#REF!</v>
      </c>
      <c r="K243" s="5" t="e">
        <f>IF((COUNTIFS(#REF!,$C243,#REF!,K$1))&gt;=1,"SIM","")</f>
        <v>#REF!</v>
      </c>
      <c r="L243" s="5" t="e">
        <f>IF((COUNTIFS(#REF!,$C243,#REF!,L$1))&gt;=1,"SIM","")</f>
        <v>#REF!</v>
      </c>
      <c r="M243" s="5" t="e">
        <f>IF((COUNTIFS(#REF!,$C243,#REF!,M$1))&gt;=1,"SIM","")</f>
        <v>#REF!</v>
      </c>
      <c r="N243" s="5" t="e">
        <f>IF((COUNTIFS(#REF!,$C243,#REF!,N$1))&gt;=1,"SIM","")</f>
        <v>#REF!</v>
      </c>
      <c r="O243" s="5"/>
      <c r="P243" s="5" t="e">
        <f>IF((COUNTIFS(#REF!,$C243,#REF!,P$1))&gt;=1,"SIM","")</f>
        <v>#REF!</v>
      </c>
      <c r="Q243" s="5" t="e">
        <f>IF((COUNTIFS(#REF!,$C243,#REF!,Q$1))&gt;=1,"SIM","")</f>
        <v>#REF!</v>
      </c>
      <c r="R243" s="5" t="e">
        <f>IF((COUNTIFS(#REF!,$C243,#REF!,"*CARTA*"))&gt;=1,"SIM","")</f>
        <v>#REF!</v>
      </c>
      <c r="S243" s="5" t="e">
        <f>IF((COUNTIFS(#REF!,$C243,#REF!,"*CARTA NOTIFICAÇÃO/DEVOL*"))&gt;=1,"SIM","")</f>
        <v>#REF!</v>
      </c>
      <c r="T243" s="5" t="e">
        <f>IF((COUNTIFS(#REF!,$C243,#REF!,"*LIGAÇÃO ATIVA DEV PRIN/LOC*"))&gt;=1,"SIM","")</f>
        <v>#REF!</v>
      </c>
    </row>
    <row r="244" spans="1:20">
      <c r="A244" s="24" t="s">
        <v>2155</v>
      </c>
      <c r="B244" s="24" t="s">
        <v>993</v>
      </c>
      <c r="C244" s="24" t="s">
        <v>994</v>
      </c>
      <c r="D244" s="5" t="e">
        <f>IF((COUNTIFS(#REF!,$C244,#REF!,"*163*"))&gt;=1,"SIM","")</f>
        <v>#REF!</v>
      </c>
      <c r="E244" s="5" t="e">
        <f>IF((COUNTIFS(#REF!,$C244,#REF!,E$1))&gt;=1,"SIM","")</f>
        <v>#REF!</v>
      </c>
      <c r="F244" s="5" t="e">
        <f>IF((COUNTIFS(#REF!,$C244,#REF!,F$1))&gt;=1,"SIM","")</f>
        <v>#REF!</v>
      </c>
      <c r="G244" s="5" t="e">
        <f>IF((COUNTIFS(#REF!,$C244,#REF!,"*606*"))&gt;=1,"SIM","")</f>
        <v>#REF!</v>
      </c>
      <c r="H244" s="5" t="e">
        <f>IF((COUNTIFS(#REF!,$C244,#REF!,"*605*"))&gt;=1,"SIM","")</f>
        <v>#REF!</v>
      </c>
      <c r="I244" s="5" t="e">
        <f>IF((COUNTIFS(#REF!,$C244,#REF!,I$1))&gt;=1,"SIM","")</f>
        <v>#REF!</v>
      </c>
      <c r="J244" s="5" t="e">
        <f>IF((COUNTIFS(#REF!,$C244,#REF!,J$1))&gt;=1,"SIM","")</f>
        <v>#REF!</v>
      </c>
      <c r="K244" s="5" t="e">
        <f>IF((COUNTIFS(#REF!,$C244,#REF!,K$1))&gt;=1,"SIM","")</f>
        <v>#REF!</v>
      </c>
      <c r="L244" s="5" t="e">
        <f>IF((COUNTIFS(#REF!,$C244,#REF!,L$1))&gt;=1,"SIM","")</f>
        <v>#REF!</v>
      </c>
      <c r="M244" s="5" t="e">
        <f>IF((COUNTIFS(#REF!,$C244,#REF!,M$1))&gt;=1,"SIM","")</f>
        <v>#REF!</v>
      </c>
      <c r="N244" s="5" t="e">
        <f>IF((COUNTIFS(#REF!,$C244,#REF!,N$1))&gt;=1,"SIM","")</f>
        <v>#REF!</v>
      </c>
      <c r="O244" s="5"/>
      <c r="P244" s="5" t="e">
        <f>IF((COUNTIFS(#REF!,$C244,#REF!,P$1))&gt;=1,"SIM","")</f>
        <v>#REF!</v>
      </c>
      <c r="Q244" s="5" t="e">
        <f>IF((COUNTIFS(#REF!,$C244,#REF!,Q$1))&gt;=1,"SIM","")</f>
        <v>#REF!</v>
      </c>
      <c r="R244" s="5" t="e">
        <f>IF((COUNTIFS(#REF!,$C244,#REF!,"*CARTA*"))&gt;=1,"SIM","")</f>
        <v>#REF!</v>
      </c>
      <c r="S244" s="5" t="e">
        <f>IF((COUNTIFS(#REF!,$C244,#REF!,"*CARTA NOTIFICAÇÃO/DEVOL*"))&gt;=1,"SIM","")</f>
        <v>#REF!</v>
      </c>
      <c r="T244" s="5" t="e">
        <f>IF((COUNTIFS(#REF!,$C244,#REF!,"*LIGAÇÃO ATIVA DEV PRIN/LOC*"))&gt;=1,"SIM","")</f>
        <v>#REF!</v>
      </c>
    </row>
    <row r="245" spans="1:20">
      <c r="A245" s="24" t="s">
        <v>2159</v>
      </c>
      <c r="B245" s="24" t="s">
        <v>884</v>
      </c>
      <c r="C245" s="24" t="s">
        <v>885</v>
      </c>
      <c r="D245" s="5" t="e">
        <f>IF((COUNTIFS(#REF!,$C245,#REF!,"*163*"))&gt;=1,"SIM","")</f>
        <v>#REF!</v>
      </c>
      <c r="E245" s="5" t="e">
        <f>IF((COUNTIFS(#REF!,$C245,#REF!,E$1))&gt;=1,"SIM","")</f>
        <v>#REF!</v>
      </c>
      <c r="F245" s="5" t="e">
        <f>IF((COUNTIFS(#REF!,$C245,#REF!,F$1))&gt;=1,"SIM","")</f>
        <v>#REF!</v>
      </c>
      <c r="G245" s="5" t="e">
        <f>IF((COUNTIFS(#REF!,$C245,#REF!,"*606*"))&gt;=1,"SIM","")</f>
        <v>#REF!</v>
      </c>
      <c r="H245" s="5" t="e">
        <f>IF((COUNTIFS(#REF!,$C245,#REF!,"*605*"))&gt;=1,"SIM","")</f>
        <v>#REF!</v>
      </c>
      <c r="I245" s="5" t="e">
        <f>IF((COUNTIFS(#REF!,$C245,#REF!,I$1))&gt;=1,"SIM","")</f>
        <v>#REF!</v>
      </c>
      <c r="J245" s="5" t="e">
        <f>IF((COUNTIFS(#REF!,$C245,#REF!,J$1))&gt;=1,"SIM","")</f>
        <v>#REF!</v>
      </c>
      <c r="K245" s="5" t="e">
        <f>IF((COUNTIFS(#REF!,$C245,#REF!,K$1))&gt;=1,"SIM","")</f>
        <v>#REF!</v>
      </c>
      <c r="L245" s="5" t="e">
        <f>IF((COUNTIFS(#REF!,$C245,#REF!,L$1))&gt;=1,"SIM","")</f>
        <v>#REF!</v>
      </c>
      <c r="M245" s="5" t="e">
        <f>IF((COUNTIFS(#REF!,$C245,#REF!,M$1))&gt;=1,"SIM","")</f>
        <v>#REF!</v>
      </c>
      <c r="N245" s="5" t="e">
        <f>IF((COUNTIFS(#REF!,$C245,#REF!,N$1))&gt;=1,"SIM","")</f>
        <v>#REF!</v>
      </c>
      <c r="O245" s="5"/>
      <c r="P245" s="5" t="e">
        <f>IF((COUNTIFS(#REF!,$C245,#REF!,P$1))&gt;=1,"SIM","")</f>
        <v>#REF!</v>
      </c>
      <c r="Q245" s="5" t="e">
        <f>IF((COUNTIFS(#REF!,$C245,#REF!,Q$1))&gt;=1,"SIM","")</f>
        <v>#REF!</v>
      </c>
      <c r="R245" s="5" t="e">
        <f>IF((COUNTIFS(#REF!,$C245,#REF!,"*CARTA*"))&gt;=1,"SIM","")</f>
        <v>#REF!</v>
      </c>
      <c r="S245" s="5" t="e">
        <f>IF((COUNTIFS(#REF!,$C245,#REF!,"*CARTA NOTIFICAÇÃO/DEVOL*"))&gt;=1,"SIM","")</f>
        <v>#REF!</v>
      </c>
      <c r="T245" s="5" t="e">
        <f>IF((COUNTIFS(#REF!,$C245,#REF!,"*LIGAÇÃO ATIVA DEV PRIN/LOC*"))&gt;=1,"SIM","")</f>
        <v>#REF!</v>
      </c>
    </row>
    <row r="246" spans="1:20">
      <c r="A246" s="24" t="s">
        <v>2159</v>
      </c>
      <c r="B246" s="24" t="s">
        <v>1686</v>
      </c>
      <c r="C246" s="24" t="s">
        <v>1687</v>
      </c>
      <c r="D246" s="5" t="e">
        <f>IF((COUNTIFS(#REF!,$C246,#REF!,"*163*"))&gt;=1,"SIM","")</f>
        <v>#REF!</v>
      </c>
      <c r="E246" s="5" t="e">
        <f>IF((COUNTIFS(#REF!,$C246,#REF!,E$1))&gt;=1,"SIM","")</f>
        <v>#REF!</v>
      </c>
      <c r="F246" s="5" t="e">
        <f>IF((COUNTIFS(#REF!,$C246,#REF!,F$1))&gt;=1,"SIM","")</f>
        <v>#REF!</v>
      </c>
      <c r="G246" s="5" t="e">
        <f>IF((COUNTIFS(#REF!,$C246,#REF!,"*606*"))&gt;=1,"SIM","")</f>
        <v>#REF!</v>
      </c>
      <c r="H246" s="5" t="e">
        <f>IF((COUNTIFS(#REF!,$C246,#REF!,"*605*"))&gt;=1,"SIM","")</f>
        <v>#REF!</v>
      </c>
      <c r="I246" s="5" t="e">
        <f>IF((COUNTIFS(#REF!,$C246,#REF!,I$1))&gt;=1,"SIM","")</f>
        <v>#REF!</v>
      </c>
      <c r="J246" s="5" t="e">
        <f>IF((COUNTIFS(#REF!,$C246,#REF!,J$1))&gt;=1,"SIM","")</f>
        <v>#REF!</v>
      </c>
      <c r="K246" s="5" t="e">
        <f>IF((COUNTIFS(#REF!,$C246,#REF!,K$1))&gt;=1,"SIM","")</f>
        <v>#REF!</v>
      </c>
      <c r="L246" s="5" t="e">
        <f>IF((COUNTIFS(#REF!,$C246,#REF!,L$1))&gt;=1,"SIM","")</f>
        <v>#REF!</v>
      </c>
      <c r="M246" s="5" t="e">
        <f>IF((COUNTIFS(#REF!,$C246,#REF!,M$1))&gt;=1,"SIM","")</f>
        <v>#REF!</v>
      </c>
      <c r="N246" s="5" t="e">
        <f>IF((COUNTIFS(#REF!,$C246,#REF!,N$1))&gt;=1,"SIM","")</f>
        <v>#REF!</v>
      </c>
      <c r="O246" s="5"/>
      <c r="P246" s="5" t="e">
        <f>IF((COUNTIFS(#REF!,$C246,#REF!,P$1))&gt;=1,"SIM","")</f>
        <v>#REF!</v>
      </c>
      <c r="Q246" s="5" t="e">
        <f>IF((COUNTIFS(#REF!,$C246,#REF!,Q$1))&gt;=1,"SIM","")</f>
        <v>#REF!</v>
      </c>
      <c r="R246" s="5" t="e">
        <f>IF((COUNTIFS(#REF!,$C246,#REF!,"*CARTA*"))&gt;=1,"SIM","")</f>
        <v>#REF!</v>
      </c>
      <c r="S246" s="5" t="e">
        <f>IF((COUNTIFS(#REF!,$C246,#REF!,"*CARTA NOTIFICAÇÃO/DEVOL*"))&gt;=1,"SIM","")</f>
        <v>#REF!</v>
      </c>
      <c r="T246" s="5" t="e">
        <f>IF((COUNTIFS(#REF!,$C246,#REF!,"*LIGAÇÃO ATIVA DEV PRIN/LOC*"))&gt;=1,"SIM","")</f>
        <v>#REF!</v>
      </c>
    </row>
    <row r="247" spans="1:20">
      <c r="A247" s="24" t="s">
        <v>2153</v>
      </c>
      <c r="B247" s="24" t="s">
        <v>271</v>
      </c>
      <c r="C247" s="24" t="s">
        <v>272</v>
      </c>
      <c r="D247" s="5" t="e">
        <f>IF((COUNTIFS(#REF!,$C247,#REF!,"*163*"))&gt;=1,"SIM","")</f>
        <v>#REF!</v>
      </c>
      <c r="E247" s="5" t="e">
        <f>IF((COUNTIFS(#REF!,$C247,#REF!,E$1))&gt;=1,"SIM","")</f>
        <v>#REF!</v>
      </c>
      <c r="F247" s="5" t="e">
        <f>IF((COUNTIFS(#REF!,$C247,#REF!,F$1))&gt;=1,"SIM","")</f>
        <v>#REF!</v>
      </c>
      <c r="G247" s="5" t="e">
        <f>IF((COUNTIFS(#REF!,$C247,#REF!,"*606*"))&gt;=1,"SIM","")</f>
        <v>#REF!</v>
      </c>
      <c r="H247" s="5" t="e">
        <f>IF((COUNTIFS(#REF!,$C247,#REF!,"*605*"))&gt;=1,"SIM","")</f>
        <v>#REF!</v>
      </c>
      <c r="I247" s="5" t="e">
        <f>IF((COUNTIFS(#REF!,$C247,#REF!,I$1))&gt;=1,"SIM","")</f>
        <v>#REF!</v>
      </c>
      <c r="J247" s="5" t="e">
        <f>IF((COUNTIFS(#REF!,$C247,#REF!,J$1))&gt;=1,"SIM","")</f>
        <v>#REF!</v>
      </c>
      <c r="K247" s="5" t="e">
        <f>IF((COUNTIFS(#REF!,$C247,#REF!,K$1))&gt;=1,"SIM","")</f>
        <v>#REF!</v>
      </c>
      <c r="L247" s="5" t="e">
        <f>IF((COUNTIFS(#REF!,$C247,#REF!,L$1))&gt;=1,"SIM","")</f>
        <v>#REF!</v>
      </c>
      <c r="M247" s="5" t="e">
        <f>IF((COUNTIFS(#REF!,$C247,#REF!,M$1))&gt;=1,"SIM","")</f>
        <v>#REF!</v>
      </c>
      <c r="N247" s="5" t="e">
        <f>IF((COUNTIFS(#REF!,$C247,#REF!,N$1))&gt;=1,"SIM","")</f>
        <v>#REF!</v>
      </c>
      <c r="O247" s="5"/>
      <c r="P247" s="5" t="e">
        <f>IF((COUNTIFS(#REF!,$C247,#REF!,P$1))&gt;=1,"SIM","")</f>
        <v>#REF!</v>
      </c>
      <c r="Q247" s="5" t="e">
        <f>IF((COUNTIFS(#REF!,$C247,#REF!,Q$1))&gt;=1,"SIM","")</f>
        <v>#REF!</v>
      </c>
      <c r="R247" s="5" t="e">
        <f>IF((COUNTIFS(#REF!,$C247,#REF!,"*CARTA*"))&gt;=1,"SIM","")</f>
        <v>#REF!</v>
      </c>
      <c r="S247" s="5" t="e">
        <f>IF((COUNTIFS(#REF!,$C247,#REF!,"*CARTA NOTIFICAÇÃO/DEVOL*"))&gt;=1,"SIM","")</f>
        <v>#REF!</v>
      </c>
      <c r="T247" s="5" t="e">
        <f>IF((COUNTIFS(#REF!,$C247,#REF!,"*LIGAÇÃO ATIVA DEV PRIN/LOC*"))&gt;=1,"SIM","")</f>
        <v>#REF!</v>
      </c>
    </row>
    <row r="248" spans="1:20">
      <c r="A248" s="24" t="s">
        <v>2155</v>
      </c>
      <c r="B248" s="24" t="s">
        <v>876</v>
      </c>
      <c r="C248" s="24" t="s">
        <v>877</v>
      </c>
      <c r="D248" s="5" t="e">
        <f>IF((COUNTIFS(#REF!,$C248,#REF!,"*163*"))&gt;=1,"SIM","")</f>
        <v>#REF!</v>
      </c>
      <c r="E248" s="5" t="e">
        <f>IF((COUNTIFS(#REF!,$C248,#REF!,E$1))&gt;=1,"SIM","")</f>
        <v>#REF!</v>
      </c>
      <c r="F248" s="5" t="e">
        <f>IF((COUNTIFS(#REF!,$C248,#REF!,F$1))&gt;=1,"SIM","")</f>
        <v>#REF!</v>
      </c>
      <c r="G248" s="5" t="e">
        <f>IF((COUNTIFS(#REF!,$C248,#REF!,"*606*"))&gt;=1,"SIM","")</f>
        <v>#REF!</v>
      </c>
      <c r="H248" s="5" t="e">
        <f>IF((COUNTIFS(#REF!,$C248,#REF!,"*605*"))&gt;=1,"SIM","")</f>
        <v>#REF!</v>
      </c>
      <c r="I248" s="5" t="e">
        <f>IF((COUNTIFS(#REF!,$C248,#REF!,I$1))&gt;=1,"SIM","")</f>
        <v>#REF!</v>
      </c>
      <c r="J248" s="5" t="e">
        <f>IF((COUNTIFS(#REF!,$C248,#REF!,J$1))&gt;=1,"SIM","")</f>
        <v>#REF!</v>
      </c>
      <c r="K248" s="5" t="e">
        <f>IF((COUNTIFS(#REF!,$C248,#REF!,K$1))&gt;=1,"SIM","")</f>
        <v>#REF!</v>
      </c>
      <c r="L248" s="5" t="e">
        <f>IF((COUNTIFS(#REF!,$C248,#REF!,L$1))&gt;=1,"SIM","")</f>
        <v>#REF!</v>
      </c>
      <c r="M248" s="5" t="e">
        <f>IF((COUNTIFS(#REF!,$C248,#REF!,M$1))&gt;=1,"SIM","")</f>
        <v>#REF!</v>
      </c>
      <c r="N248" s="5" t="e">
        <f>IF((COUNTIFS(#REF!,$C248,#REF!,N$1))&gt;=1,"SIM","")</f>
        <v>#REF!</v>
      </c>
      <c r="O248" s="5"/>
      <c r="P248" s="5" t="e">
        <f>IF((COUNTIFS(#REF!,$C248,#REF!,P$1))&gt;=1,"SIM","")</f>
        <v>#REF!</v>
      </c>
      <c r="Q248" s="5" t="e">
        <f>IF((COUNTIFS(#REF!,$C248,#REF!,Q$1))&gt;=1,"SIM","")</f>
        <v>#REF!</v>
      </c>
      <c r="R248" s="5" t="e">
        <f>IF((COUNTIFS(#REF!,$C248,#REF!,"*CARTA*"))&gt;=1,"SIM","")</f>
        <v>#REF!</v>
      </c>
      <c r="S248" s="5" t="e">
        <f>IF((COUNTIFS(#REF!,$C248,#REF!,"*CARTA NOTIFICAÇÃO/DEVOL*"))&gt;=1,"SIM","")</f>
        <v>#REF!</v>
      </c>
      <c r="T248" s="5" t="e">
        <f>IF((COUNTIFS(#REF!,$C248,#REF!,"*LIGAÇÃO ATIVA DEV PRIN/LOC*"))&gt;=1,"SIM","")</f>
        <v>#REF!</v>
      </c>
    </row>
    <row r="249" spans="1:20">
      <c r="A249" s="24" t="s">
        <v>2153</v>
      </c>
      <c r="B249" s="24" t="s">
        <v>526</v>
      </c>
      <c r="C249" s="24" t="s">
        <v>527</v>
      </c>
      <c r="D249" s="5" t="e">
        <f>IF((COUNTIFS(#REF!,$C249,#REF!,"*163*"))&gt;=1,"SIM","")</f>
        <v>#REF!</v>
      </c>
      <c r="E249" s="5" t="e">
        <f>IF((COUNTIFS(#REF!,$C249,#REF!,E$1))&gt;=1,"SIM","")</f>
        <v>#REF!</v>
      </c>
      <c r="F249" s="5" t="e">
        <f>IF((COUNTIFS(#REF!,$C249,#REF!,F$1))&gt;=1,"SIM","")</f>
        <v>#REF!</v>
      </c>
      <c r="G249" s="5" t="e">
        <f>IF((COUNTIFS(#REF!,$C249,#REF!,"*606*"))&gt;=1,"SIM","")</f>
        <v>#REF!</v>
      </c>
      <c r="H249" s="5" t="e">
        <f>IF((COUNTIFS(#REF!,$C249,#REF!,"*605*"))&gt;=1,"SIM","")</f>
        <v>#REF!</v>
      </c>
      <c r="I249" s="5" t="e">
        <f>IF((COUNTIFS(#REF!,$C249,#REF!,I$1))&gt;=1,"SIM","")</f>
        <v>#REF!</v>
      </c>
      <c r="J249" s="5" t="e">
        <f>IF((COUNTIFS(#REF!,$C249,#REF!,J$1))&gt;=1,"SIM","")</f>
        <v>#REF!</v>
      </c>
      <c r="K249" s="5" t="e">
        <f>IF((COUNTIFS(#REF!,$C249,#REF!,K$1))&gt;=1,"SIM","")</f>
        <v>#REF!</v>
      </c>
      <c r="L249" s="5" t="e">
        <f>IF((COUNTIFS(#REF!,$C249,#REF!,L$1))&gt;=1,"SIM","")</f>
        <v>#REF!</v>
      </c>
      <c r="M249" s="5" t="e">
        <f>IF((COUNTIFS(#REF!,$C249,#REF!,M$1))&gt;=1,"SIM","")</f>
        <v>#REF!</v>
      </c>
      <c r="N249" s="5" t="e">
        <f>IF((COUNTIFS(#REF!,$C249,#REF!,N$1))&gt;=1,"SIM","")</f>
        <v>#REF!</v>
      </c>
      <c r="O249" s="5"/>
      <c r="P249" s="5" t="e">
        <f>IF((COUNTIFS(#REF!,$C249,#REF!,P$1))&gt;=1,"SIM","")</f>
        <v>#REF!</v>
      </c>
      <c r="Q249" s="5" t="e">
        <f>IF((COUNTIFS(#REF!,$C249,#REF!,Q$1))&gt;=1,"SIM","")</f>
        <v>#REF!</v>
      </c>
      <c r="R249" s="5" t="e">
        <f>IF((COUNTIFS(#REF!,$C249,#REF!,"*CARTA*"))&gt;=1,"SIM","")</f>
        <v>#REF!</v>
      </c>
      <c r="S249" s="5" t="e">
        <f>IF((COUNTIFS(#REF!,$C249,#REF!,"*CARTA NOTIFICAÇÃO/DEVOL*"))&gt;=1,"SIM","")</f>
        <v>#REF!</v>
      </c>
      <c r="T249" s="5" t="e">
        <f>IF((COUNTIFS(#REF!,$C249,#REF!,"*LIGAÇÃO ATIVA DEV PRIN/LOC*"))&gt;=1,"SIM","")</f>
        <v>#REF!</v>
      </c>
    </row>
    <row r="250" spans="1:20">
      <c r="A250" s="24" t="s">
        <v>2159</v>
      </c>
      <c r="B250" s="24" t="s">
        <v>797</v>
      </c>
      <c r="C250" s="24" t="s">
        <v>798</v>
      </c>
      <c r="D250" s="5" t="e">
        <f>IF((COUNTIFS(#REF!,$C250,#REF!,"*163*"))&gt;=1,"SIM","")</f>
        <v>#REF!</v>
      </c>
      <c r="E250" s="5" t="e">
        <f>IF((COUNTIFS(#REF!,$C250,#REF!,E$1))&gt;=1,"SIM","")</f>
        <v>#REF!</v>
      </c>
      <c r="F250" s="5" t="e">
        <f>IF((COUNTIFS(#REF!,$C250,#REF!,F$1))&gt;=1,"SIM","")</f>
        <v>#REF!</v>
      </c>
      <c r="G250" s="5" t="e">
        <f>IF((COUNTIFS(#REF!,$C250,#REF!,"*606*"))&gt;=1,"SIM","")</f>
        <v>#REF!</v>
      </c>
      <c r="H250" s="5" t="e">
        <f>IF((COUNTIFS(#REF!,$C250,#REF!,"*605*"))&gt;=1,"SIM","")</f>
        <v>#REF!</v>
      </c>
      <c r="I250" s="5" t="e">
        <f>IF((COUNTIFS(#REF!,$C250,#REF!,I$1))&gt;=1,"SIM","")</f>
        <v>#REF!</v>
      </c>
      <c r="J250" s="5" t="e">
        <f>IF((COUNTIFS(#REF!,$C250,#REF!,J$1))&gt;=1,"SIM","")</f>
        <v>#REF!</v>
      </c>
      <c r="K250" s="5" t="e">
        <f>IF((COUNTIFS(#REF!,$C250,#REF!,K$1))&gt;=1,"SIM","")</f>
        <v>#REF!</v>
      </c>
      <c r="L250" s="5" t="e">
        <f>IF((COUNTIFS(#REF!,$C250,#REF!,L$1))&gt;=1,"SIM","")</f>
        <v>#REF!</v>
      </c>
      <c r="M250" s="5" t="e">
        <f>IF((COUNTIFS(#REF!,$C250,#REF!,M$1))&gt;=1,"SIM","")</f>
        <v>#REF!</v>
      </c>
      <c r="N250" s="5" t="e">
        <f>IF((COUNTIFS(#REF!,$C250,#REF!,N$1))&gt;=1,"SIM","")</f>
        <v>#REF!</v>
      </c>
      <c r="O250" s="5"/>
      <c r="P250" s="5" t="e">
        <f>IF((COUNTIFS(#REF!,$C250,#REF!,P$1))&gt;=1,"SIM","")</f>
        <v>#REF!</v>
      </c>
      <c r="Q250" s="5" t="e">
        <f>IF((COUNTIFS(#REF!,$C250,#REF!,Q$1))&gt;=1,"SIM","")</f>
        <v>#REF!</v>
      </c>
      <c r="R250" s="5" t="e">
        <f>IF((COUNTIFS(#REF!,$C250,#REF!,"*CARTA*"))&gt;=1,"SIM","")</f>
        <v>#REF!</v>
      </c>
      <c r="S250" s="5" t="e">
        <f>IF((COUNTIFS(#REF!,$C250,#REF!,"*CARTA NOTIFICAÇÃO/DEVOL*"))&gt;=1,"SIM","")</f>
        <v>#REF!</v>
      </c>
      <c r="T250" s="5" t="e">
        <f>IF((COUNTIFS(#REF!,$C250,#REF!,"*LIGAÇÃO ATIVA DEV PRIN/LOC*"))&gt;=1,"SIM","")</f>
        <v>#REF!</v>
      </c>
    </row>
    <row r="251" spans="1:20">
      <c r="A251" s="24" t="s">
        <v>2153</v>
      </c>
      <c r="B251" s="24" t="s">
        <v>521</v>
      </c>
      <c r="C251" s="24" t="s">
        <v>2441</v>
      </c>
      <c r="D251" s="5" t="e">
        <f>IF((COUNTIFS(#REF!,$C251,#REF!,"*163*"))&gt;=1,"SIM","")</f>
        <v>#REF!</v>
      </c>
      <c r="E251" s="5" t="e">
        <f>IF((COUNTIFS(#REF!,$C251,#REF!,E$1))&gt;=1,"SIM","")</f>
        <v>#REF!</v>
      </c>
      <c r="F251" s="5" t="e">
        <f>IF((COUNTIFS(#REF!,$C251,#REF!,F$1))&gt;=1,"SIM","")</f>
        <v>#REF!</v>
      </c>
      <c r="G251" s="5" t="e">
        <f>IF((COUNTIFS(#REF!,$C251,#REF!,"*606*"))&gt;=1,"SIM","")</f>
        <v>#REF!</v>
      </c>
      <c r="H251" s="5" t="e">
        <f>IF((COUNTIFS(#REF!,$C251,#REF!,"*605*"))&gt;=1,"SIM","")</f>
        <v>#REF!</v>
      </c>
      <c r="I251" s="5" t="e">
        <f>IF((COUNTIFS(#REF!,$C251,#REF!,I$1))&gt;=1,"SIM","")</f>
        <v>#REF!</v>
      </c>
      <c r="J251" s="5" t="e">
        <f>IF((COUNTIFS(#REF!,$C251,#REF!,J$1))&gt;=1,"SIM","")</f>
        <v>#REF!</v>
      </c>
      <c r="K251" s="5" t="e">
        <f>IF((COUNTIFS(#REF!,$C251,#REF!,K$1))&gt;=1,"SIM","")</f>
        <v>#REF!</v>
      </c>
      <c r="L251" s="5" t="e">
        <f>IF((COUNTIFS(#REF!,$C251,#REF!,L$1))&gt;=1,"SIM","")</f>
        <v>#REF!</v>
      </c>
      <c r="M251" s="5" t="e">
        <f>IF((COUNTIFS(#REF!,$C251,#REF!,M$1))&gt;=1,"SIM","")</f>
        <v>#REF!</v>
      </c>
      <c r="N251" s="5" t="e">
        <f>IF((COUNTIFS(#REF!,$C251,#REF!,N$1))&gt;=1,"SIM","")</f>
        <v>#REF!</v>
      </c>
      <c r="O251" s="5"/>
      <c r="P251" s="5" t="e">
        <f>IF((COUNTIFS(#REF!,$C251,#REF!,P$1))&gt;=1,"SIM","")</f>
        <v>#REF!</v>
      </c>
      <c r="Q251" s="5" t="e">
        <f>IF((COUNTIFS(#REF!,$C251,#REF!,Q$1))&gt;=1,"SIM","")</f>
        <v>#REF!</v>
      </c>
      <c r="R251" s="5" t="e">
        <f>IF((COUNTIFS(#REF!,$C251,#REF!,"*CARTA*"))&gt;=1,"SIM","")</f>
        <v>#REF!</v>
      </c>
      <c r="S251" s="5" t="e">
        <f>IF((COUNTIFS(#REF!,$C251,#REF!,"*CARTA NOTIFICAÇÃO/DEVOL*"))&gt;=1,"SIM","")</f>
        <v>#REF!</v>
      </c>
      <c r="T251" s="5" t="e">
        <f>IF((COUNTIFS(#REF!,$C251,#REF!,"*LIGAÇÃO ATIVA DEV PRIN/LOC*"))&gt;=1,"SIM","")</f>
        <v>#REF!</v>
      </c>
    </row>
    <row r="252" spans="1:20">
      <c r="A252" s="24" t="s">
        <v>2153</v>
      </c>
      <c r="B252" s="24" t="s">
        <v>52</v>
      </c>
      <c r="C252" s="24" t="s">
        <v>53</v>
      </c>
      <c r="D252" s="5" t="e">
        <f>IF((COUNTIFS(#REF!,$C252,#REF!,"*163*"))&gt;=1,"SIM","")</f>
        <v>#REF!</v>
      </c>
      <c r="E252" s="5" t="e">
        <f>IF((COUNTIFS(#REF!,$C252,#REF!,E$1))&gt;=1,"SIM","")</f>
        <v>#REF!</v>
      </c>
      <c r="F252" s="5" t="e">
        <f>IF((COUNTIFS(#REF!,$C252,#REF!,F$1))&gt;=1,"SIM","")</f>
        <v>#REF!</v>
      </c>
      <c r="G252" s="5" t="e">
        <f>IF((COUNTIFS(#REF!,$C252,#REF!,"*606*"))&gt;=1,"SIM","")</f>
        <v>#REF!</v>
      </c>
      <c r="H252" s="5" t="e">
        <f>IF((COUNTIFS(#REF!,$C252,#REF!,"*605*"))&gt;=1,"SIM","")</f>
        <v>#REF!</v>
      </c>
      <c r="I252" s="5" t="e">
        <f>IF((COUNTIFS(#REF!,$C252,#REF!,I$1))&gt;=1,"SIM","")</f>
        <v>#REF!</v>
      </c>
      <c r="J252" s="5" t="e">
        <f>IF((COUNTIFS(#REF!,$C252,#REF!,J$1))&gt;=1,"SIM","")</f>
        <v>#REF!</v>
      </c>
      <c r="K252" s="5" t="e">
        <f>IF((COUNTIFS(#REF!,$C252,#REF!,K$1))&gt;=1,"SIM","")</f>
        <v>#REF!</v>
      </c>
      <c r="L252" s="5" t="e">
        <f>IF((COUNTIFS(#REF!,$C252,#REF!,L$1))&gt;=1,"SIM","")</f>
        <v>#REF!</v>
      </c>
      <c r="M252" s="5" t="e">
        <f>IF((COUNTIFS(#REF!,$C252,#REF!,M$1))&gt;=1,"SIM","")</f>
        <v>#REF!</v>
      </c>
      <c r="N252" s="5" t="e">
        <f>IF((COUNTIFS(#REF!,$C252,#REF!,N$1))&gt;=1,"SIM","")</f>
        <v>#REF!</v>
      </c>
      <c r="O252" s="5"/>
      <c r="P252" s="5" t="e">
        <f>IF((COUNTIFS(#REF!,$C252,#REF!,P$1))&gt;=1,"SIM","")</f>
        <v>#REF!</v>
      </c>
      <c r="Q252" s="5" t="e">
        <f>IF((COUNTIFS(#REF!,$C252,#REF!,Q$1))&gt;=1,"SIM","")</f>
        <v>#REF!</v>
      </c>
      <c r="R252" s="5" t="e">
        <f>IF((COUNTIFS(#REF!,$C252,#REF!,"*CARTA*"))&gt;=1,"SIM","")</f>
        <v>#REF!</v>
      </c>
      <c r="S252" s="5" t="e">
        <f>IF((COUNTIFS(#REF!,$C252,#REF!,"*CARTA NOTIFICAÇÃO/DEVOL*"))&gt;=1,"SIM","")</f>
        <v>#REF!</v>
      </c>
      <c r="T252" s="5" t="e">
        <f>IF((COUNTIFS(#REF!,$C252,#REF!,"*LIGAÇÃO ATIVA DEV PRIN/LOC*"))&gt;=1,"SIM","")</f>
        <v>#REF!</v>
      </c>
    </row>
    <row r="253" spans="1:20">
      <c r="A253" s="24" t="s">
        <v>2159</v>
      </c>
      <c r="B253" s="24" t="s">
        <v>1858</v>
      </c>
      <c r="C253" s="24" t="s">
        <v>1859</v>
      </c>
      <c r="D253" s="5" t="e">
        <f>IF((COUNTIFS(#REF!,$C253,#REF!,"*163*"))&gt;=1,"SIM","")</f>
        <v>#REF!</v>
      </c>
      <c r="E253" s="5" t="e">
        <f>IF((COUNTIFS(#REF!,$C253,#REF!,E$1))&gt;=1,"SIM","")</f>
        <v>#REF!</v>
      </c>
      <c r="F253" s="5" t="e">
        <f>IF((COUNTIFS(#REF!,$C253,#REF!,F$1))&gt;=1,"SIM","")</f>
        <v>#REF!</v>
      </c>
      <c r="G253" s="5" t="e">
        <f>IF((COUNTIFS(#REF!,$C253,#REF!,"*606*"))&gt;=1,"SIM","")</f>
        <v>#REF!</v>
      </c>
      <c r="H253" s="5" t="e">
        <f>IF((COUNTIFS(#REF!,$C253,#REF!,"*605*"))&gt;=1,"SIM","")</f>
        <v>#REF!</v>
      </c>
      <c r="I253" s="5" t="e">
        <f>IF((COUNTIFS(#REF!,$C253,#REF!,I$1))&gt;=1,"SIM","")</f>
        <v>#REF!</v>
      </c>
      <c r="J253" s="5" t="e">
        <f>IF((COUNTIFS(#REF!,$C253,#REF!,J$1))&gt;=1,"SIM","")</f>
        <v>#REF!</v>
      </c>
      <c r="K253" s="5" t="e">
        <f>IF((COUNTIFS(#REF!,$C253,#REF!,K$1))&gt;=1,"SIM","")</f>
        <v>#REF!</v>
      </c>
      <c r="L253" s="5" t="e">
        <f>IF((COUNTIFS(#REF!,$C253,#REF!,L$1))&gt;=1,"SIM","")</f>
        <v>#REF!</v>
      </c>
      <c r="M253" s="5" t="e">
        <f>IF((COUNTIFS(#REF!,$C253,#REF!,M$1))&gt;=1,"SIM","")</f>
        <v>#REF!</v>
      </c>
      <c r="N253" s="5" t="e">
        <f>IF((COUNTIFS(#REF!,$C253,#REF!,N$1))&gt;=1,"SIM","")</f>
        <v>#REF!</v>
      </c>
      <c r="O253" s="5"/>
      <c r="P253" s="5" t="e">
        <f>IF((COUNTIFS(#REF!,$C253,#REF!,P$1))&gt;=1,"SIM","")</f>
        <v>#REF!</v>
      </c>
      <c r="Q253" s="5" t="e">
        <f>IF((COUNTIFS(#REF!,$C253,#REF!,Q$1))&gt;=1,"SIM","")</f>
        <v>#REF!</v>
      </c>
      <c r="R253" s="5" t="e">
        <f>IF((COUNTIFS(#REF!,$C253,#REF!,"*CARTA*"))&gt;=1,"SIM","")</f>
        <v>#REF!</v>
      </c>
      <c r="S253" s="5" t="e">
        <f>IF((COUNTIFS(#REF!,$C253,#REF!,"*CARTA NOTIFICAÇÃO/DEVOL*"))&gt;=1,"SIM","")</f>
        <v>#REF!</v>
      </c>
      <c r="T253" s="5" t="e">
        <f>IF((COUNTIFS(#REF!,$C253,#REF!,"*LIGAÇÃO ATIVA DEV PRIN/LOC*"))&gt;=1,"SIM","")</f>
        <v>#REF!</v>
      </c>
    </row>
    <row r="254" spans="1:20">
      <c r="A254" s="24" t="s">
        <v>2153</v>
      </c>
      <c r="B254" s="24" t="s">
        <v>614</v>
      </c>
      <c r="C254" s="24" t="s">
        <v>615</v>
      </c>
      <c r="D254" s="5" t="e">
        <f>IF((COUNTIFS(#REF!,$C254,#REF!,"*163*"))&gt;=1,"SIM","")</f>
        <v>#REF!</v>
      </c>
      <c r="E254" s="5" t="e">
        <f>IF((COUNTIFS(#REF!,$C254,#REF!,E$1))&gt;=1,"SIM","")</f>
        <v>#REF!</v>
      </c>
      <c r="F254" s="5" t="e">
        <f>IF((COUNTIFS(#REF!,$C254,#REF!,F$1))&gt;=1,"SIM","")</f>
        <v>#REF!</v>
      </c>
      <c r="G254" s="5" t="e">
        <f>IF((COUNTIFS(#REF!,$C254,#REF!,"*606*"))&gt;=1,"SIM","")</f>
        <v>#REF!</v>
      </c>
      <c r="H254" s="5" t="e">
        <f>IF((COUNTIFS(#REF!,$C254,#REF!,"*605*"))&gt;=1,"SIM","")</f>
        <v>#REF!</v>
      </c>
      <c r="I254" s="5" t="e">
        <f>IF((COUNTIFS(#REF!,$C254,#REF!,I$1))&gt;=1,"SIM","")</f>
        <v>#REF!</v>
      </c>
      <c r="J254" s="5" t="e">
        <f>IF((COUNTIFS(#REF!,$C254,#REF!,J$1))&gt;=1,"SIM","")</f>
        <v>#REF!</v>
      </c>
      <c r="K254" s="5" t="e">
        <f>IF((COUNTIFS(#REF!,$C254,#REF!,K$1))&gt;=1,"SIM","")</f>
        <v>#REF!</v>
      </c>
      <c r="L254" s="5" t="e">
        <f>IF((COUNTIFS(#REF!,$C254,#REF!,L$1))&gt;=1,"SIM","")</f>
        <v>#REF!</v>
      </c>
      <c r="M254" s="5" t="e">
        <f>IF((COUNTIFS(#REF!,$C254,#REF!,M$1))&gt;=1,"SIM","")</f>
        <v>#REF!</v>
      </c>
      <c r="N254" s="5" t="e">
        <f>IF((COUNTIFS(#REF!,$C254,#REF!,N$1))&gt;=1,"SIM","")</f>
        <v>#REF!</v>
      </c>
      <c r="O254" s="5"/>
      <c r="P254" s="5" t="e">
        <f>IF((COUNTIFS(#REF!,$C254,#REF!,P$1))&gt;=1,"SIM","")</f>
        <v>#REF!</v>
      </c>
      <c r="Q254" s="5" t="e">
        <f>IF((COUNTIFS(#REF!,$C254,#REF!,Q$1))&gt;=1,"SIM","")</f>
        <v>#REF!</v>
      </c>
      <c r="R254" s="5" t="e">
        <f>IF((COUNTIFS(#REF!,$C254,#REF!,"*CARTA*"))&gt;=1,"SIM","")</f>
        <v>#REF!</v>
      </c>
      <c r="S254" s="5" t="e">
        <f>IF((COUNTIFS(#REF!,$C254,#REF!,"*CARTA NOTIFICAÇÃO/DEVOL*"))&gt;=1,"SIM","")</f>
        <v>#REF!</v>
      </c>
      <c r="T254" s="5" t="e">
        <f>IF((COUNTIFS(#REF!,$C254,#REF!,"*LIGAÇÃO ATIVA DEV PRIN/LOC*"))&gt;=1,"SIM","")</f>
        <v>#REF!</v>
      </c>
    </row>
    <row r="255" spans="1:20">
      <c r="A255" s="24" t="s">
        <v>2153</v>
      </c>
      <c r="B255" s="24" t="s">
        <v>245</v>
      </c>
      <c r="C255" s="24" t="s">
        <v>246</v>
      </c>
      <c r="D255" s="5" t="e">
        <f>IF((COUNTIFS(#REF!,$C255,#REF!,"*163*"))&gt;=1,"SIM","")</f>
        <v>#REF!</v>
      </c>
      <c r="E255" s="5" t="e">
        <f>IF((COUNTIFS(#REF!,$C255,#REF!,E$1))&gt;=1,"SIM","")</f>
        <v>#REF!</v>
      </c>
      <c r="F255" s="5" t="e">
        <f>IF((COUNTIFS(#REF!,$C255,#REF!,F$1))&gt;=1,"SIM","")</f>
        <v>#REF!</v>
      </c>
      <c r="G255" s="5" t="e">
        <f>IF((COUNTIFS(#REF!,$C255,#REF!,"*606*"))&gt;=1,"SIM","")</f>
        <v>#REF!</v>
      </c>
      <c r="H255" s="5" t="e">
        <f>IF((COUNTIFS(#REF!,$C255,#REF!,"*605*"))&gt;=1,"SIM","")</f>
        <v>#REF!</v>
      </c>
      <c r="I255" s="5" t="e">
        <f>IF((COUNTIFS(#REF!,$C255,#REF!,I$1))&gt;=1,"SIM","")</f>
        <v>#REF!</v>
      </c>
      <c r="J255" s="5" t="e">
        <f>IF((COUNTIFS(#REF!,$C255,#REF!,J$1))&gt;=1,"SIM","")</f>
        <v>#REF!</v>
      </c>
      <c r="K255" s="5" t="e">
        <f>IF((COUNTIFS(#REF!,$C255,#REF!,K$1))&gt;=1,"SIM","")</f>
        <v>#REF!</v>
      </c>
      <c r="L255" s="5" t="e">
        <f>IF((COUNTIFS(#REF!,$C255,#REF!,L$1))&gt;=1,"SIM","")</f>
        <v>#REF!</v>
      </c>
      <c r="M255" s="5" t="e">
        <f>IF((COUNTIFS(#REF!,$C255,#REF!,M$1))&gt;=1,"SIM","")</f>
        <v>#REF!</v>
      </c>
      <c r="N255" s="5" t="e">
        <f>IF((COUNTIFS(#REF!,$C255,#REF!,N$1))&gt;=1,"SIM","")</f>
        <v>#REF!</v>
      </c>
      <c r="O255" s="5"/>
      <c r="P255" s="5" t="e">
        <f>IF((COUNTIFS(#REF!,$C255,#REF!,P$1))&gt;=1,"SIM","")</f>
        <v>#REF!</v>
      </c>
      <c r="Q255" s="5" t="e">
        <f>IF((COUNTIFS(#REF!,$C255,#REF!,Q$1))&gt;=1,"SIM","")</f>
        <v>#REF!</v>
      </c>
      <c r="R255" s="5" t="e">
        <f>IF((COUNTIFS(#REF!,$C255,#REF!,"*CARTA*"))&gt;=1,"SIM","")</f>
        <v>#REF!</v>
      </c>
      <c r="S255" s="5" t="e">
        <f>IF((COUNTIFS(#REF!,$C255,#REF!,"*CARTA NOTIFICAÇÃO/DEVOL*"))&gt;=1,"SIM","")</f>
        <v>#REF!</v>
      </c>
      <c r="T255" s="5" t="e">
        <f>IF((COUNTIFS(#REF!,$C255,#REF!,"*LIGAÇÃO ATIVA DEV PRIN/LOC*"))&gt;=1,"SIM","")</f>
        <v>#REF!</v>
      </c>
    </row>
    <row r="256" spans="1:20">
      <c r="A256" s="24" t="s">
        <v>2153</v>
      </c>
      <c r="B256" s="24" t="s">
        <v>274</v>
      </c>
      <c r="C256" s="24" t="s">
        <v>275</v>
      </c>
      <c r="D256" s="5" t="e">
        <f>IF((COUNTIFS(#REF!,$C256,#REF!,"*163*"))&gt;=1,"SIM","")</f>
        <v>#REF!</v>
      </c>
      <c r="E256" s="5" t="e">
        <f>IF((COUNTIFS(#REF!,$C256,#REF!,E$1))&gt;=1,"SIM","")</f>
        <v>#REF!</v>
      </c>
      <c r="F256" s="5" t="e">
        <f>IF((COUNTIFS(#REF!,$C256,#REF!,F$1))&gt;=1,"SIM","")</f>
        <v>#REF!</v>
      </c>
      <c r="G256" s="5" t="e">
        <f>IF((COUNTIFS(#REF!,$C256,#REF!,"*606*"))&gt;=1,"SIM","")</f>
        <v>#REF!</v>
      </c>
      <c r="H256" s="5" t="e">
        <f>IF((COUNTIFS(#REF!,$C256,#REF!,"*605*"))&gt;=1,"SIM","")</f>
        <v>#REF!</v>
      </c>
      <c r="I256" s="5" t="e">
        <f>IF((COUNTIFS(#REF!,$C256,#REF!,I$1))&gt;=1,"SIM","")</f>
        <v>#REF!</v>
      </c>
      <c r="J256" s="5" t="e">
        <f>IF((COUNTIFS(#REF!,$C256,#REF!,J$1))&gt;=1,"SIM","")</f>
        <v>#REF!</v>
      </c>
      <c r="K256" s="5" t="e">
        <f>IF((COUNTIFS(#REF!,$C256,#REF!,K$1))&gt;=1,"SIM","")</f>
        <v>#REF!</v>
      </c>
      <c r="L256" s="5" t="e">
        <f>IF((COUNTIFS(#REF!,$C256,#REF!,L$1))&gt;=1,"SIM","")</f>
        <v>#REF!</v>
      </c>
      <c r="M256" s="5" t="e">
        <f>IF((COUNTIFS(#REF!,$C256,#REF!,M$1))&gt;=1,"SIM","")</f>
        <v>#REF!</v>
      </c>
      <c r="N256" s="5" t="e">
        <f>IF((COUNTIFS(#REF!,$C256,#REF!,N$1))&gt;=1,"SIM","")</f>
        <v>#REF!</v>
      </c>
      <c r="O256" s="5"/>
      <c r="P256" s="5" t="e">
        <f>IF((COUNTIFS(#REF!,$C256,#REF!,P$1))&gt;=1,"SIM","")</f>
        <v>#REF!</v>
      </c>
      <c r="Q256" s="5" t="e">
        <f>IF((COUNTIFS(#REF!,$C256,#REF!,Q$1))&gt;=1,"SIM","")</f>
        <v>#REF!</v>
      </c>
      <c r="R256" s="5" t="e">
        <f>IF((COUNTIFS(#REF!,$C256,#REF!,"*CARTA*"))&gt;=1,"SIM","")</f>
        <v>#REF!</v>
      </c>
      <c r="S256" s="5" t="e">
        <f>IF((COUNTIFS(#REF!,$C256,#REF!,"*CARTA NOTIFICAÇÃO/DEVOL*"))&gt;=1,"SIM","")</f>
        <v>#REF!</v>
      </c>
      <c r="T256" s="5" t="e">
        <f>IF((COUNTIFS(#REF!,$C256,#REF!,"*LIGAÇÃO ATIVA DEV PRIN/LOC*"))&gt;=1,"SIM","")</f>
        <v>#REF!</v>
      </c>
    </row>
    <row r="257" spans="1:20">
      <c r="A257" s="24" t="s">
        <v>2153</v>
      </c>
      <c r="B257" s="24" t="s">
        <v>906</v>
      </c>
      <c r="C257" s="24" t="s">
        <v>907</v>
      </c>
      <c r="D257" s="5" t="e">
        <f>IF((COUNTIFS(#REF!,$C257,#REF!,"*163*"))&gt;=1,"SIM","")</f>
        <v>#REF!</v>
      </c>
      <c r="E257" s="5" t="e">
        <f>IF((COUNTIFS(#REF!,$C257,#REF!,E$1))&gt;=1,"SIM","")</f>
        <v>#REF!</v>
      </c>
      <c r="F257" s="5" t="e">
        <f>IF((COUNTIFS(#REF!,$C257,#REF!,F$1))&gt;=1,"SIM","")</f>
        <v>#REF!</v>
      </c>
      <c r="G257" s="5" t="e">
        <f>IF((COUNTIFS(#REF!,$C257,#REF!,"*606*"))&gt;=1,"SIM","")</f>
        <v>#REF!</v>
      </c>
      <c r="H257" s="5" t="e">
        <f>IF((COUNTIFS(#REF!,$C257,#REF!,"*605*"))&gt;=1,"SIM","")</f>
        <v>#REF!</v>
      </c>
      <c r="I257" s="5" t="e">
        <f>IF((COUNTIFS(#REF!,$C257,#REF!,I$1))&gt;=1,"SIM","")</f>
        <v>#REF!</v>
      </c>
      <c r="J257" s="5" t="e">
        <f>IF((COUNTIFS(#REF!,$C257,#REF!,J$1))&gt;=1,"SIM","")</f>
        <v>#REF!</v>
      </c>
      <c r="K257" s="5" t="e">
        <f>IF((COUNTIFS(#REF!,$C257,#REF!,K$1))&gt;=1,"SIM","")</f>
        <v>#REF!</v>
      </c>
      <c r="L257" s="5" t="e">
        <f>IF((COUNTIFS(#REF!,$C257,#REF!,L$1))&gt;=1,"SIM","")</f>
        <v>#REF!</v>
      </c>
      <c r="M257" s="5" t="e">
        <f>IF((COUNTIFS(#REF!,$C257,#REF!,M$1))&gt;=1,"SIM","")</f>
        <v>#REF!</v>
      </c>
      <c r="N257" s="5" t="e">
        <f>IF((COUNTIFS(#REF!,$C257,#REF!,N$1))&gt;=1,"SIM","")</f>
        <v>#REF!</v>
      </c>
      <c r="O257" s="5"/>
      <c r="P257" s="5" t="e">
        <f>IF((COUNTIFS(#REF!,$C257,#REF!,P$1))&gt;=1,"SIM","")</f>
        <v>#REF!</v>
      </c>
      <c r="Q257" s="5" t="e">
        <f>IF((COUNTIFS(#REF!,$C257,#REF!,Q$1))&gt;=1,"SIM","")</f>
        <v>#REF!</v>
      </c>
      <c r="R257" s="5" t="e">
        <f>IF((COUNTIFS(#REF!,$C257,#REF!,"*CARTA*"))&gt;=1,"SIM","")</f>
        <v>#REF!</v>
      </c>
      <c r="S257" s="5" t="e">
        <f>IF((COUNTIFS(#REF!,$C257,#REF!,"*CARTA NOTIFICAÇÃO/DEVOL*"))&gt;=1,"SIM","")</f>
        <v>#REF!</v>
      </c>
      <c r="T257" s="5" t="e">
        <f>IF((COUNTIFS(#REF!,$C257,#REF!,"*LIGAÇÃO ATIVA DEV PRIN/LOC*"))&gt;=1,"SIM","")</f>
        <v>#REF!</v>
      </c>
    </row>
    <row r="258" spans="1:20">
      <c r="A258" s="24" t="s">
        <v>2153</v>
      </c>
      <c r="B258" s="24" t="s">
        <v>952</v>
      </c>
      <c r="C258" s="24" t="s">
        <v>953</v>
      </c>
      <c r="D258" s="5" t="e">
        <f>IF((COUNTIFS(#REF!,$C258,#REF!,"*163*"))&gt;=1,"SIM","")</f>
        <v>#REF!</v>
      </c>
      <c r="E258" s="5" t="e">
        <f>IF((COUNTIFS(#REF!,$C258,#REF!,E$1))&gt;=1,"SIM","")</f>
        <v>#REF!</v>
      </c>
      <c r="F258" s="5" t="e">
        <f>IF((COUNTIFS(#REF!,$C258,#REF!,F$1))&gt;=1,"SIM","")</f>
        <v>#REF!</v>
      </c>
      <c r="G258" s="5" t="e">
        <f>IF((COUNTIFS(#REF!,$C258,#REF!,"*606*"))&gt;=1,"SIM","")</f>
        <v>#REF!</v>
      </c>
      <c r="H258" s="5" t="e">
        <f>IF((COUNTIFS(#REF!,$C258,#REF!,"*605*"))&gt;=1,"SIM","")</f>
        <v>#REF!</v>
      </c>
      <c r="I258" s="5" t="e">
        <f>IF((COUNTIFS(#REF!,$C258,#REF!,I$1))&gt;=1,"SIM","")</f>
        <v>#REF!</v>
      </c>
      <c r="J258" s="5" t="e">
        <f>IF((COUNTIFS(#REF!,$C258,#REF!,J$1))&gt;=1,"SIM","")</f>
        <v>#REF!</v>
      </c>
      <c r="K258" s="5" t="e">
        <f>IF((COUNTIFS(#REF!,$C258,#REF!,K$1))&gt;=1,"SIM","")</f>
        <v>#REF!</v>
      </c>
      <c r="L258" s="5" t="e">
        <f>IF((COUNTIFS(#REF!,$C258,#REF!,L$1))&gt;=1,"SIM","")</f>
        <v>#REF!</v>
      </c>
      <c r="M258" s="5" t="e">
        <f>IF((COUNTIFS(#REF!,$C258,#REF!,M$1))&gt;=1,"SIM","")</f>
        <v>#REF!</v>
      </c>
      <c r="N258" s="5" t="e">
        <f>IF((COUNTIFS(#REF!,$C258,#REF!,N$1))&gt;=1,"SIM","")</f>
        <v>#REF!</v>
      </c>
      <c r="O258" s="5"/>
      <c r="P258" s="5" t="e">
        <f>IF((COUNTIFS(#REF!,$C258,#REF!,P$1))&gt;=1,"SIM","")</f>
        <v>#REF!</v>
      </c>
      <c r="Q258" s="5" t="e">
        <f>IF((COUNTIFS(#REF!,$C258,#REF!,Q$1))&gt;=1,"SIM","")</f>
        <v>#REF!</v>
      </c>
      <c r="R258" s="5" t="e">
        <f>IF((COUNTIFS(#REF!,$C258,#REF!,"*CARTA*"))&gt;=1,"SIM","")</f>
        <v>#REF!</v>
      </c>
      <c r="S258" s="5" t="e">
        <f>IF((COUNTIFS(#REF!,$C258,#REF!,"*CARTA NOTIFICAÇÃO/DEVOL*"))&gt;=1,"SIM","")</f>
        <v>#REF!</v>
      </c>
      <c r="T258" s="5" t="e">
        <f>IF((COUNTIFS(#REF!,$C258,#REF!,"*LIGAÇÃO ATIVA DEV PRIN/LOC*"))&gt;=1,"SIM","")</f>
        <v>#REF!</v>
      </c>
    </row>
    <row r="259" spans="1:20">
      <c r="A259" s="24" t="s">
        <v>2153</v>
      </c>
      <c r="B259" s="24" t="s">
        <v>311</v>
      </c>
      <c r="C259" s="24" t="s">
        <v>312</v>
      </c>
      <c r="D259" s="5" t="e">
        <f>IF((COUNTIFS(#REF!,$C259,#REF!,"*163*"))&gt;=1,"SIM","")</f>
        <v>#REF!</v>
      </c>
      <c r="E259" s="5" t="e">
        <f>IF((COUNTIFS(#REF!,$C259,#REF!,E$1))&gt;=1,"SIM","")</f>
        <v>#REF!</v>
      </c>
      <c r="F259" s="5" t="e">
        <f>IF((COUNTIFS(#REF!,$C259,#REF!,F$1))&gt;=1,"SIM","")</f>
        <v>#REF!</v>
      </c>
      <c r="G259" s="5" t="e">
        <f>IF((COUNTIFS(#REF!,$C259,#REF!,"*606*"))&gt;=1,"SIM","")</f>
        <v>#REF!</v>
      </c>
      <c r="H259" s="5" t="e">
        <f>IF((COUNTIFS(#REF!,$C259,#REF!,"*605*"))&gt;=1,"SIM","")</f>
        <v>#REF!</v>
      </c>
      <c r="I259" s="5" t="e">
        <f>IF((COUNTIFS(#REF!,$C259,#REF!,I$1))&gt;=1,"SIM","")</f>
        <v>#REF!</v>
      </c>
      <c r="J259" s="5" t="e">
        <f>IF((COUNTIFS(#REF!,$C259,#REF!,J$1))&gt;=1,"SIM","")</f>
        <v>#REF!</v>
      </c>
      <c r="K259" s="5" t="e">
        <f>IF((COUNTIFS(#REF!,$C259,#REF!,K$1))&gt;=1,"SIM","")</f>
        <v>#REF!</v>
      </c>
      <c r="L259" s="5" t="e">
        <f>IF((COUNTIFS(#REF!,$C259,#REF!,L$1))&gt;=1,"SIM","")</f>
        <v>#REF!</v>
      </c>
      <c r="M259" s="5" t="e">
        <f>IF((COUNTIFS(#REF!,$C259,#REF!,M$1))&gt;=1,"SIM","")</f>
        <v>#REF!</v>
      </c>
      <c r="N259" s="5" t="e">
        <f>IF((COUNTIFS(#REF!,$C259,#REF!,N$1))&gt;=1,"SIM","")</f>
        <v>#REF!</v>
      </c>
      <c r="O259" s="5"/>
      <c r="P259" s="5" t="e">
        <f>IF((COUNTIFS(#REF!,$C259,#REF!,P$1))&gt;=1,"SIM","")</f>
        <v>#REF!</v>
      </c>
      <c r="Q259" s="5" t="e">
        <f>IF((COUNTIFS(#REF!,$C259,#REF!,Q$1))&gt;=1,"SIM","")</f>
        <v>#REF!</v>
      </c>
      <c r="R259" s="5" t="e">
        <f>IF((COUNTIFS(#REF!,$C259,#REF!,"*CARTA*"))&gt;=1,"SIM","")</f>
        <v>#REF!</v>
      </c>
      <c r="S259" s="5" t="e">
        <f>IF((COUNTIFS(#REF!,$C259,#REF!,"*CARTA NOTIFICAÇÃO/DEVOL*"))&gt;=1,"SIM","")</f>
        <v>#REF!</v>
      </c>
      <c r="T259" s="5" t="e">
        <f>IF((COUNTIFS(#REF!,$C259,#REF!,"*LIGAÇÃO ATIVA DEV PRIN/LOC*"))&gt;=1,"SIM","")</f>
        <v>#REF!</v>
      </c>
    </row>
    <row r="260" spans="1:20">
      <c r="A260" s="24" t="s">
        <v>2157</v>
      </c>
      <c r="B260" s="24" t="s">
        <v>2028</v>
      </c>
      <c r="C260" s="24" t="s">
        <v>2029</v>
      </c>
      <c r="D260" s="5" t="e">
        <f>IF((COUNTIFS(#REF!,$C260,#REF!,"*163*"))&gt;=1,"SIM","")</f>
        <v>#REF!</v>
      </c>
      <c r="E260" s="5" t="e">
        <f>IF((COUNTIFS(#REF!,$C260,#REF!,E$1))&gt;=1,"SIM","")</f>
        <v>#REF!</v>
      </c>
      <c r="F260" s="5" t="e">
        <f>IF((COUNTIFS(#REF!,$C260,#REF!,F$1))&gt;=1,"SIM","")</f>
        <v>#REF!</v>
      </c>
      <c r="G260" s="5" t="e">
        <f>IF((COUNTIFS(#REF!,$C260,#REF!,"*606*"))&gt;=1,"SIM","")</f>
        <v>#REF!</v>
      </c>
      <c r="H260" s="5" t="e">
        <f>IF((COUNTIFS(#REF!,$C260,#REF!,"*605*"))&gt;=1,"SIM","")</f>
        <v>#REF!</v>
      </c>
      <c r="I260" s="5" t="e">
        <f>IF((COUNTIFS(#REF!,$C260,#REF!,I$1))&gt;=1,"SIM","")</f>
        <v>#REF!</v>
      </c>
      <c r="J260" s="5" t="e">
        <f>IF((COUNTIFS(#REF!,$C260,#REF!,J$1))&gt;=1,"SIM","")</f>
        <v>#REF!</v>
      </c>
      <c r="K260" s="5" t="e">
        <f>IF((COUNTIFS(#REF!,$C260,#REF!,K$1))&gt;=1,"SIM","")</f>
        <v>#REF!</v>
      </c>
      <c r="L260" s="5" t="e">
        <f>IF((COUNTIFS(#REF!,$C260,#REF!,L$1))&gt;=1,"SIM","")</f>
        <v>#REF!</v>
      </c>
      <c r="M260" s="5" t="e">
        <f>IF((COUNTIFS(#REF!,$C260,#REF!,M$1))&gt;=1,"SIM","")</f>
        <v>#REF!</v>
      </c>
      <c r="N260" s="5" t="e">
        <f>IF((COUNTIFS(#REF!,$C260,#REF!,N$1))&gt;=1,"SIM","")</f>
        <v>#REF!</v>
      </c>
      <c r="O260" s="5"/>
      <c r="P260" s="5" t="e">
        <f>IF((COUNTIFS(#REF!,$C260,#REF!,P$1))&gt;=1,"SIM","")</f>
        <v>#REF!</v>
      </c>
      <c r="Q260" s="5" t="e">
        <f>IF((COUNTIFS(#REF!,$C260,#REF!,Q$1))&gt;=1,"SIM","")</f>
        <v>#REF!</v>
      </c>
      <c r="R260" s="5" t="e">
        <f>IF((COUNTIFS(#REF!,$C260,#REF!,"*CARTA*"))&gt;=1,"SIM","")</f>
        <v>#REF!</v>
      </c>
      <c r="S260" s="5" t="e">
        <f>IF((COUNTIFS(#REF!,$C260,#REF!,"*CARTA NOTIFICAÇÃO/DEVOL*"))&gt;=1,"SIM","")</f>
        <v>#REF!</v>
      </c>
      <c r="T260" s="5" t="e">
        <f>IF((COUNTIFS(#REF!,$C260,#REF!,"*LIGAÇÃO ATIVA DEV PRIN/LOC*"))&gt;=1,"SIM","")</f>
        <v>#REF!</v>
      </c>
    </row>
    <row r="261" spans="1:20">
      <c r="A261" s="24" t="s">
        <v>2153</v>
      </c>
      <c r="B261" s="24" t="s">
        <v>309</v>
      </c>
      <c r="C261" s="24" t="s">
        <v>310</v>
      </c>
      <c r="D261" s="5" t="e">
        <f>IF((COUNTIFS(#REF!,$C261,#REF!,"*163*"))&gt;=1,"SIM","")</f>
        <v>#REF!</v>
      </c>
      <c r="E261" s="5" t="e">
        <f>IF((COUNTIFS(#REF!,$C261,#REF!,E$1))&gt;=1,"SIM","")</f>
        <v>#REF!</v>
      </c>
      <c r="F261" s="5" t="e">
        <f>IF((COUNTIFS(#REF!,$C261,#REF!,F$1))&gt;=1,"SIM","")</f>
        <v>#REF!</v>
      </c>
      <c r="G261" s="5" t="e">
        <f>IF((COUNTIFS(#REF!,$C261,#REF!,"*606*"))&gt;=1,"SIM","")</f>
        <v>#REF!</v>
      </c>
      <c r="H261" s="5" t="e">
        <f>IF((COUNTIFS(#REF!,$C261,#REF!,"*605*"))&gt;=1,"SIM","")</f>
        <v>#REF!</v>
      </c>
      <c r="I261" s="5" t="e">
        <f>IF((COUNTIFS(#REF!,$C261,#REF!,I$1))&gt;=1,"SIM","")</f>
        <v>#REF!</v>
      </c>
      <c r="J261" s="5" t="e">
        <f>IF((COUNTIFS(#REF!,$C261,#REF!,J$1))&gt;=1,"SIM","")</f>
        <v>#REF!</v>
      </c>
      <c r="K261" s="5" t="e">
        <f>IF((COUNTIFS(#REF!,$C261,#REF!,K$1))&gt;=1,"SIM","")</f>
        <v>#REF!</v>
      </c>
      <c r="L261" s="5" t="e">
        <f>IF((COUNTIFS(#REF!,$C261,#REF!,L$1))&gt;=1,"SIM","")</f>
        <v>#REF!</v>
      </c>
      <c r="M261" s="5" t="e">
        <f>IF((COUNTIFS(#REF!,$C261,#REF!,M$1))&gt;=1,"SIM","")</f>
        <v>#REF!</v>
      </c>
      <c r="N261" s="5" t="e">
        <f>IF((COUNTIFS(#REF!,$C261,#REF!,N$1))&gt;=1,"SIM","")</f>
        <v>#REF!</v>
      </c>
      <c r="O261" s="5"/>
      <c r="P261" s="5" t="e">
        <f>IF((COUNTIFS(#REF!,$C261,#REF!,P$1))&gt;=1,"SIM","")</f>
        <v>#REF!</v>
      </c>
      <c r="Q261" s="5" t="e">
        <f>IF((COUNTIFS(#REF!,$C261,#REF!,Q$1))&gt;=1,"SIM","")</f>
        <v>#REF!</v>
      </c>
      <c r="R261" s="5" t="e">
        <f>IF((COUNTIFS(#REF!,$C261,#REF!,"*CARTA*"))&gt;=1,"SIM","")</f>
        <v>#REF!</v>
      </c>
      <c r="S261" s="5" t="e">
        <f>IF((COUNTIFS(#REF!,$C261,#REF!,"*CARTA NOTIFICAÇÃO/DEVOL*"))&gt;=1,"SIM","")</f>
        <v>#REF!</v>
      </c>
      <c r="T261" s="5" t="e">
        <f>IF((COUNTIFS(#REF!,$C261,#REF!,"*LIGAÇÃO ATIVA DEV PRIN/LOC*"))&gt;=1,"SIM","")</f>
        <v>#REF!</v>
      </c>
    </row>
    <row r="262" spans="1:20">
      <c r="A262" s="24" t="s">
        <v>2153</v>
      </c>
      <c r="B262" s="24" t="s">
        <v>1098</v>
      </c>
      <c r="C262" s="24" t="s">
        <v>1099</v>
      </c>
      <c r="D262" s="5" t="e">
        <f>IF((COUNTIFS(#REF!,$C262,#REF!,"*163*"))&gt;=1,"SIM","")</f>
        <v>#REF!</v>
      </c>
      <c r="E262" s="5" t="e">
        <f>IF((COUNTIFS(#REF!,$C262,#REF!,E$1))&gt;=1,"SIM","")</f>
        <v>#REF!</v>
      </c>
      <c r="F262" s="5" t="e">
        <f>IF((COUNTIFS(#REF!,$C262,#REF!,F$1))&gt;=1,"SIM","")</f>
        <v>#REF!</v>
      </c>
      <c r="G262" s="5" t="e">
        <f>IF((COUNTIFS(#REF!,$C262,#REF!,"*606*"))&gt;=1,"SIM","")</f>
        <v>#REF!</v>
      </c>
      <c r="H262" s="5" t="e">
        <f>IF((COUNTIFS(#REF!,$C262,#REF!,"*605*"))&gt;=1,"SIM","")</f>
        <v>#REF!</v>
      </c>
      <c r="I262" s="5" t="e">
        <f>IF((COUNTIFS(#REF!,$C262,#REF!,I$1))&gt;=1,"SIM","")</f>
        <v>#REF!</v>
      </c>
      <c r="J262" s="5" t="e">
        <f>IF((COUNTIFS(#REF!,$C262,#REF!,J$1))&gt;=1,"SIM","")</f>
        <v>#REF!</v>
      </c>
      <c r="K262" s="5" t="e">
        <f>IF((COUNTIFS(#REF!,$C262,#REF!,K$1))&gt;=1,"SIM","")</f>
        <v>#REF!</v>
      </c>
      <c r="L262" s="5" t="e">
        <f>IF((COUNTIFS(#REF!,$C262,#REF!,L$1))&gt;=1,"SIM","")</f>
        <v>#REF!</v>
      </c>
      <c r="M262" s="5" t="e">
        <f>IF((COUNTIFS(#REF!,$C262,#REF!,M$1))&gt;=1,"SIM","")</f>
        <v>#REF!</v>
      </c>
      <c r="N262" s="5" t="e">
        <f>IF((COUNTIFS(#REF!,$C262,#REF!,N$1))&gt;=1,"SIM","")</f>
        <v>#REF!</v>
      </c>
      <c r="O262" s="5"/>
      <c r="P262" s="5" t="e">
        <f>IF((COUNTIFS(#REF!,$C262,#REF!,P$1))&gt;=1,"SIM","")</f>
        <v>#REF!</v>
      </c>
      <c r="Q262" s="5" t="e">
        <f>IF((COUNTIFS(#REF!,$C262,#REF!,Q$1))&gt;=1,"SIM","")</f>
        <v>#REF!</v>
      </c>
      <c r="R262" s="5" t="e">
        <f>IF((COUNTIFS(#REF!,$C262,#REF!,"*CARTA*"))&gt;=1,"SIM","")</f>
        <v>#REF!</v>
      </c>
      <c r="S262" s="5" t="e">
        <f>IF((COUNTIFS(#REF!,$C262,#REF!,"*CARTA NOTIFICAÇÃO/DEVOL*"))&gt;=1,"SIM","")</f>
        <v>#REF!</v>
      </c>
      <c r="T262" s="5" t="e">
        <f>IF((COUNTIFS(#REF!,$C262,#REF!,"*LIGAÇÃO ATIVA DEV PRIN/LOC*"))&gt;=1,"SIM","")</f>
        <v>#REF!</v>
      </c>
    </row>
    <row r="263" spans="1:20">
      <c r="A263" s="24" t="s">
        <v>2159</v>
      </c>
      <c r="B263" s="24" t="s">
        <v>1115</v>
      </c>
      <c r="C263" s="24" t="s">
        <v>1116</v>
      </c>
      <c r="D263" s="5" t="e">
        <f>IF((COUNTIFS(#REF!,$C263,#REF!,"*163*"))&gt;=1,"SIM","")</f>
        <v>#REF!</v>
      </c>
      <c r="E263" s="5" t="e">
        <f>IF((COUNTIFS(#REF!,$C263,#REF!,E$1))&gt;=1,"SIM","")</f>
        <v>#REF!</v>
      </c>
      <c r="F263" s="5" t="e">
        <f>IF((COUNTIFS(#REF!,$C263,#REF!,F$1))&gt;=1,"SIM","")</f>
        <v>#REF!</v>
      </c>
      <c r="G263" s="5" t="e">
        <f>IF((COUNTIFS(#REF!,$C263,#REF!,"*606*"))&gt;=1,"SIM","")</f>
        <v>#REF!</v>
      </c>
      <c r="H263" s="5" t="e">
        <f>IF((COUNTIFS(#REF!,$C263,#REF!,"*605*"))&gt;=1,"SIM","")</f>
        <v>#REF!</v>
      </c>
      <c r="I263" s="5" t="e">
        <f>IF((COUNTIFS(#REF!,$C263,#REF!,I$1))&gt;=1,"SIM","")</f>
        <v>#REF!</v>
      </c>
      <c r="J263" s="5" t="e">
        <f>IF((COUNTIFS(#REF!,$C263,#REF!,J$1))&gt;=1,"SIM","")</f>
        <v>#REF!</v>
      </c>
      <c r="K263" s="5" t="e">
        <f>IF((COUNTIFS(#REF!,$C263,#REF!,K$1))&gt;=1,"SIM","")</f>
        <v>#REF!</v>
      </c>
      <c r="L263" s="5" t="e">
        <f>IF((COUNTIFS(#REF!,$C263,#REF!,L$1))&gt;=1,"SIM","")</f>
        <v>#REF!</v>
      </c>
      <c r="M263" s="5" t="e">
        <f>IF((COUNTIFS(#REF!,$C263,#REF!,M$1))&gt;=1,"SIM","")</f>
        <v>#REF!</v>
      </c>
      <c r="N263" s="5" t="e">
        <f>IF((COUNTIFS(#REF!,$C263,#REF!,N$1))&gt;=1,"SIM","")</f>
        <v>#REF!</v>
      </c>
      <c r="O263" s="5"/>
      <c r="P263" s="5" t="e">
        <f>IF((COUNTIFS(#REF!,$C263,#REF!,P$1))&gt;=1,"SIM","")</f>
        <v>#REF!</v>
      </c>
      <c r="Q263" s="5" t="e">
        <f>IF((COUNTIFS(#REF!,$C263,#REF!,Q$1))&gt;=1,"SIM","")</f>
        <v>#REF!</v>
      </c>
      <c r="R263" s="5" t="e">
        <f>IF((COUNTIFS(#REF!,$C263,#REF!,"*CARTA*"))&gt;=1,"SIM","")</f>
        <v>#REF!</v>
      </c>
      <c r="S263" s="5" t="e">
        <f>IF((COUNTIFS(#REF!,$C263,#REF!,"*CARTA NOTIFICAÇÃO/DEVOL*"))&gt;=1,"SIM","")</f>
        <v>#REF!</v>
      </c>
      <c r="T263" s="5" t="e">
        <f>IF((COUNTIFS(#REF!,$C263,#REF!,"*LIGAÇÃO ATIVA DEV PRIN/LOC*"))&gt;=1,"SIM","")</f>
        <v>#REF!</v>
      </c>
    </row>
    <row r="264" spans="1:20">
      <c r="A264" s="24" t="s">
        <v>2153</v>
      </c>
      <c r="B264" s="24" t="s">
        <v>1159</v>
      </c>
      <c r="C264" s="24" t="s">
        <v>1160</v>
      </c>
      <c r="D264" s="5" t="e">
        <f>IF((COUNTIFS(#REF!,$C264,#REF!,"*163*"))&gt;=1,"SIM","")</f>
        <v>#REF!</v>
      </c>
      <c r="E264" s="5" t="e">
        <f>IF((COUNTIFS(#REF!,$C264,#REF!,E$1))&gt;=1,"SIM","")</f>
        <v>#REF!</v>
      </c>
      <c r="F264" s="5" t="e">
        <f>IF((COUNTIFS(#REF!,$C264,#REF!,F$1))&gt;=1,"SIM","")</f>
        <v>#REF!</v>
      </c>
      <c r="G264" s="5" t="e">
        <f>IF((COUNTIFS(#REF!,$C264,#REF!,"*606*"))&gt;=1,"SIM","")</f>
        <v>#REF!</v>
      </c>
      <c r="H264" s="5" t="e">
        <f>IF((COUNTIFS(#REF!,$C264,#REF!,"*605*"))&gt;=1,"SIM","")</f>
        <v>#REF!</v>
      </c>
      <c r="I264" s="5" t="e">
        <f>IF((COUNTIFS(#REF!,$C264,#REF!,I$1))&gt;=1,"SIM","")</f>
        <v>#REF!</v>
      </c>
      <c r="J264" s="5" t="e">
        <f>IF((COUNTIFS(#REF!,$C264,#REF!,J$1))&gt;=1,"SIM","")</f>
        <v>#REF!</v>
      </c>
      <c r="K264" s="5" t="e">
        <f>IF((COUNTIFS(#REF!,$C264,#REF!,K$1))&gt;=1,"SIM","")</f>
        <v>#REF!</v>
      </c>
      <c r="L264" s="5" t="e">
        <f>IF((COUNTIFS(#REF!,$C264,#REF!,L$1))&gt;=1,"SIM","")</f>
        <v>#REF!</v>
      </c>
      <c r="M264" s="5" t="e">
        <f>IF((COUNTIFS(#REF!,$C264,#REF!,M$1))&gt;=1,"SIM","")</f>
        <v>#REF!</v>
      </c>
      <c r="N264" s="5" t="e">
        <f>IF((COUNTIFS(#REF!,$C264,#REF!,N$1))&gt;=1,"SIM","")</f>
        <v>#REF!</v>
      </c>
      <c r="O264" s="5"/>
      <c r="P264" s="5" t="e">
        <f>IF((COUNTIFS(#REF!,$C264,#REF!,P$1))&gt;=1,"SIM","")</f>
        <v>#REF!</v>
      </c>
      <c r="Q264" s="5" t="e">
        <f>IF((COUNTIFS(#REF!,$C264,#REF!,Q$1))&gt;=1,"SIM","")</f>
        <v>#REF!</v>
      </c>
      <c r="R264" s="5" t="e">
        <f>IF((COUNTIFS(#REF!,$C264,#REF!,"*CARTA*"))&gt;=1,"SIM","")</f>
        <v>#REF!</v>
      </c>
      <c r="S264" s="5" t="e">
        <f>IF((COUNTIFS(#REF!,$C264,#REF!,"*CARTA NOTIFICAÇÃO/DEVOL*"))&gt;=1,"SIM","")</f>
        <v>#REF!</v>
      </c>
      <c r="T264" s="5" t="e">
        <f>IF((COUNTIFS(#REF!,$C264,#REF!,"*LIGAÇÃO ATIVA DEV PRIN/LOC*"))&gt;=1,"SIM","")</f>
        <v>#REF!</v>
      </c>
    </row>
    <row r="265" spans="1:20">
      <c r="A265" s="24" t="s">
        <v>2159</v>
      </c>
      <c r="B265" s="24" t="s">
        <v>1865</v>
      </c>
      <c r="C265" s="24" t="s">
        <v>1866</v>
      </c>
      <c r="D265" s="5" t="e">
        <f>IF((COUNTIFS(#REF!,$C265,#REF!,"*163*"))&gt;=1,"SIM","")</f>
        <v>#REF!</v>
      </c>
      <c r="E265" s="5" t="e">
        <f>IF((COUNTIFS(#REF!,$C265,#REF!,E$1))&gt;=1,"SIM","")</f>
        <v>#REF!</v>
      </c>
      <c r="F265" s="5" t="e">
        <f>IF((COUNTIFS(#REF!,$C265,#REF!,F$1))&gt;=1,"SIM","")</f>
        <v>#REF!</v>
      </c>
      <c r="G265" s="5" t="e">
        <f>IF((COUNTIFS(#REF!,$C265,#REF!,"*606*"))&gt;=1,"SIM","")</f>
        <v>#REF!</v>
      </c>
      <c r="H265" s="5" t="e">
        <f>IF((COUNTIFS(#REF!,$C265,#REF!,"*605*"))&gt;=1,"SIM","")</f>
        <v>#REF!</v>
      </c>
      <c r="I265" s="5" t="e">
        <f>IF((COUNTIFS(#REF!,$C265,#REF!,I$1))&gt;=1,"SIM","")</f>
        <v>#REF!</v>
      </c>
      <c r="J265" s="5" t="e">
        <f>IF((COUNTIFS(#REF!,$C265,#REF!,J$1))&gt;=1,"SIM","")</f>
        <v>#REF!</v>
      </c>
      <c r="K265" s="5" t="e">
        <f>IF((COUNTIFS(#REF!,$C265,#REF!,K$1))&gt;=1,"SIM","")</f>
        <v>#REF!</v>
      </c>
      <c r="L265" s="5" t="e">
        <f>IF((COUNTIFS(#REF!,$C265,#REF!,L$1))&gt;=1,"SIM","")</f>
        <v>#REF!</v>
      </c>
      <c r="M265" s="5" t="e">
        <f>IF((COUNTIFS(#REF!,$C265,#REF!,M$1))&gt;=1,"SIM","")</f>
        <v>#REF!</v>
      </c>
      <c r="N265" s="5" t="e">
        <f>IF((COUNTIFS(#REF!,$C265,#REF!,N$1))&gt;=1,"SIM","")</f>
        <v>#REF!</v>
      </c>
      <c r="O265" s="5"/>
      <c r="P265" s="5" t="e">
        <f>IF((COUNTIFS(#REF!,$C265,#REF!,P$1))&gt;=1,"SIM","")</f>
        <v>#REF!</v>
      </c>
      <c r="Q265" s="5" t="e">
        <f>IF((COUNTIFS(#REF!,$C265,#REF!,Q$1))&gt;=1,"SIM","")</f>
        <v>#REF!</v>
      </c>
      <c r="R265" s="5" t="e">
        <f>IF((COUNTIFS(#REF!,$C265,#REF!,"*CARTA*"))&gt;=1,"SIM","")</f>
        <v>#REF!</v>
      </c>
      <c r="S265" s="5" t="e">
        <f>IF((COUNTIFS(#REF!,$C265,#REF!,"*CARTA NOTIFICAÇÃO/DEVOL*"))&gt;=1,"SIM","")</f>
        <v>#REF!</v>
      </c>
      <c r="T265" s="5" t="e">
        <f>IF((COUNTIFS(#REF!,$C265,#REF!,"*LIGAÇÃO ATIVA DEV PRIN/LOC*"))&gt;=1,"SIM","")</f>
        <v>#REF!</v>
      </c>
    </row>
    <row r="266" spans="1:20">
      <c r="A266" s="24" t="s">
        <v>2153</v>
      </c>
      <c r="B266" s="24" t="s">
        <v>1999</v>
      </c>
      <c r="C266" s="24" t="s">
        <v>574</v>
      </c>
      <c r="D266" s="5" t="e">
        <f>IF((COUNTIFS(#REF!,$C266,#REF!,"*163*"))&gt;=1,"SIM","")</f>
        <v>#REF!</v>
      </c>
      <c r="E266" s="5" t="e">
        <f>IF((COUNTIFS(#REF!,$C266,#REF!,E$1))&gt;=1,"SIM","")</f>
        <v>#REF!</v>
      </c>
      <c r="F266" s="5" t="e">
        <f>IF((COUNTIFS(#REF!,$C266,#REF!,F$1))&gt;=1,"SIM","")</f>
        <v>#REF!</v>
      </c>
      <c r="G266" s="5" t="e">
        <f>IF((COUNTIFS(#REF!,$C266,#REF!,"*606*"))&gt;=1,"SIM","")</f>
        <v>#REF!</v>
      </c>
      <c r="H266" s="5" t="e">
        <f>IF((COUNTIFS(#REF!,$C266,#REF!,"*605*"))&gt;=1,"SIM","")</f>
        <v>#REF!</v>
      </c>
      <c r="I266" s="5" t="e">
        <f>IF((COUNTIFS(#REF!,$C266,#REF!,I$1))&gt;=1,"SIM","")</f>
        <v>#REF!</v>
      </c>
      <c r="J266" s="5" t="e">
        <f>IF((COUNTIFS(#REF!,$C266,#REF!,J$1))&gt;=1,"SIM","")</f>
        <v>#REF!</v>
      </c>
      <c r="K266" s="5" t="e">
        <f>IF((COUNTIFS(#REF!,$C266,#REF!,K$1))&gt;=1,"SIM","")</f>
        <v>#REF!</v>
      </c>
      <c r="L266" s="5" t="e">
        <f>IF((COUNTIFS(#REF!,$C266,#REF!,L$1))&gt;=1,"SIM","")</f>
        <v>#REF!</v>
      </c>
      <c r="M266" s="5" t="e">
        <f>IF((COUNTIFS(#REF!,$C266,#REF!,M$1))&gt;=1,"SIM","")</f>
        <v>#REF!</v>
      </c>
      <c r="N266" s="5" t="e">
        <f>IF((COUNTIFS(#REF!,$C266,#REF!,N$1))&gt;=1,"SIM","")</f>
        <v>#REF!</v>
      </c>
      <c r="O266" s="5"/>
      <c r="P266" s="5" t="e">
        <f>IF((COUNTIFS(#REF!,$C266,#REF!,P$1))&gt;=1,"SIM","")</f>
        <v>#REF!</v>
      </c>
      <c r="Q266" s="5" t="e">
        <f>IF((COUNTIFS(#REF!,$C266,#REF!,Q$1))&gt;=1,"SIM","")</f>
        <v>#REF!</v>
      </c>
      <c r="R266" s="5" t="e">
        <f>IF((COUNTIFS(#REF!,$C266,#REF!,"*CARTA*"))&gt;=1,"SIM","")</f>
        <v>#REF!</v>
      </c>
      <c r="S266" s="5" t="e">
        <f>IF((COUNTIFS(#REF!,$C266,#REF!,"*CARTA NOTIFICAÇÃO/DEVOL*"))&gt;=1,"SIM","")</f>
        <v>#REF!</v>
      </c>
      <c r="T266" s="5" t="e">
        <f>IF((COUNTIFS(#REF!,$C266,#REF!,"*LIGAÇÃO ATIVA DEV PRIN/LOC*"))&gt;=1,"SIM","")</f>
        <v>#REF!</v>
      </c>
    </row>
    <row r="267" spans="1:20">
      <c r="A267" s="24" t="s">
        <v>2153</v>
      </c>
      <c r="B267" s="24" t="s">
        <v>1123</v>
      </c>
      <c r="C267" s="24" t="s">
        <v>1124</v>
      </c>
      <c r="D267" s="5" t="e">
        <f>IF((COUNTIFS(#REF!,$C267,#REF!,"*163*"))&gt;=1,"SIM","")</f>
        <v>#REF!</v>
      </c>
      <c r="E267" s="5" t="e">
        <f>IF((COUNTIFS(#REF!,$C267,#REF!,E$1))&gt;=1,"SIM","")</f>
        <v>#REF!</v>
      </c>
      <c r="F267" s="5" t="e">
        <f>IF((COUNTIFS(#REF!,$C267,#REF!,F$1))&gt;=1,"SIM","")</f>
        <v>#REF!</v>
      </c>
      <c r="G267" s="5" t="e">
        <f>IF((COUNTIFS(#REF!,$C267,#REF!,"*606*"))&gt;=1,"SIM","")</f>
        <v>#REF!</v>
      </c>
      <c r="H267" s="5" t="e">
        <f>IF((COUNTIFS(#REF!,$C267,#REF!,"*605*"))&gt;=1,"SIM","")</f>
        <v>#REF!</v>
      </c>
      <c r="I267" s="5" t="e">
        <f>IF((COUNTIFS(#REF!,$C267,#REF!,I$1))&gt;=1,"SIM","")</f>
        <v>#REF!</v>
      </c>
      <c r="J267" s="5" t="e">
        <f>IF((COUNTIFS(#REF!,$C267,#REF!,J$1))&gt;=1,"SIM","")</f>
        <v>#REF!</v>
      </c>
      <c r="K267" s="5" t="e">
        <f>IF((COUNTIFS(#REF!,$C267,#REF!,K$1))&gt;=1,"SIM","")</f>
        <v>#REF!</v>
      </c>
      <c r="L267" s="5" t="e">
        <f>IF((COUNTIFS(#REF!,$C267,#REF!,L$1))&gt;=1,"SIM","")</f>
        <v>#REF!</v>
      </c>
      <c r="M267" s="5" t="e">
        <f>IF((COUNTIFS(#REF!,$C267,#REF!,M$1))&gt;=1,"SIM","")</f>
        <v>#REF!</v>
      </c>
      <c r="N267" s="5" t="e">
        <f>IF((COUNTIFS(#REF!,$C267,#REF!,N$1))&gt;=1,"SIM","")</f>
        <v>#REF!</v>
      </c>
      <c r="O267" s="5"/>
      <c r="P267" s="5" t="e">
        <f>IF((COUNTIFS(#REF!,$C267,#REF!,P$1))&gt;=1,"SIM","")</f>
        <v>#REF!</v>
      </c>
      <c r="Q267" s="5" t="e">
        <f>IF((COUNTIFS(#REF!,$C267,#REF!,Q$1))&gt;=1,"SIM","")</f>
        <v>#REF!</v>
      </c>
      <c r="R267" s="5" t="e">
        <f>IF((COUNTIFS(#REF!,$C267,#REF!,"*CARTA*"))&gt;=1,"SIM","")</f>
        <v>#REF!</v>
      </c>
      <c r="S267" s="5" t="e">
        <f>IF((COUNTIFS(#REF!,$C267,#REF!,"*CARTA NOTIFICAÇÃO/DEVOL*"))&gt;=1,"SIM","")</f>
        <v>#REF!</v>
      </c>
      <c r="T267" s="5" t="e">
        <f>IF((COUNTIFS(#REF!,$C267,#REF!,"*LIGAÇÃO ATIVA DEV PRIN/LOC*"))&gt;=1,"SIM","")</f>
        <v>#REF!</v>
      </c>
    </row>
    <row r="268" spans="1:20">
      <c r="A268" s="24" t="s">
        <v>2158</v>
      </c>
      <c r="B268" s="24" t="s">
        <v>863</v>
      </c>
      <c r="C268" s="24" t="s">
        <v>864</v>
      </c>
      <c r="D268" s="5" t="e">
        <f>IF((COUNTIFS(#REF!,$C268,#REF!,"*163*"))&gt;=1,"SIM","")</f>
        <v>#REF!</v>
      </c>
      <c r="E268" s="5" t="e">
        <f>IF((COUNTIFS(#REF!,$C268,#REF!,E$1))&gt;=1,"SIM","")</f>
        <v>#REF!</v>
      </c>
      <c r="F268" s="5" t="e">
        <f>IF((COUNTIFS(#REF!,$C268,#REF!,F$1))&gt;=1,"SIM","")</f>
        <v>#REF!</v>
      </c>
      <c r="G268" s="5" t="e">
        <f>IF((COUNTIFS(#REF!,$C268,#REF!,"*606*"))&gt;=1,"SIM","")</f>
        <v>#REF!</v>
      </c>
      <c r="H268" s="5" t="e">
        <f>IF((COUNTIFS(#REF!,$C268,#REF!,"*605*"))&gt;=1,"SIM","")</f>
        <v>#REF!</v>
      </c>
      <c r="I268" s="5" t="e">
        <f>IF((COUNTIFS(#REF!,$C268,#REF!,I$1))&gt;=1,"SIM","")</f>
        <v>#REF!</v>
      </c>
      <c r="J268" s="5" t="e">
        <f>IF((COUNTIFS(#REF!,$C268,#REF!,J$1))&gt;=1,"SIM","")</f>
        <v>#REF!</v>
      </c>
      <c r="K268" s="5" t="e">
        <f>IF((COUNTIFS(#REF!,$C268,#REF!,K$1))&gt;=1,"SIM","")</f>
        <v>#REF!</v>
      </c>
      <c r="L268" s="5" t="e">
        <f>IF((COUNTIFS(#REF!,$C268,#REF!,L$1))&gt;=1,"SIM","")</f>
        <v>#REF!</v>
      </c>
      <c r="M268" s="5" t="e">
        <f>IF((COUNTIFS(#REF!,$C268,#REF!,M$1))&gt;=1,"SIM","")</f>
        <v>#REF!</v>
      </c>
      <c r="N268" s="5" t="e">
        <f>IF((COUNTIFS(#REF!,$C268,#REF!,N$1))&gt;=1,"SIM","")</f>
        <v>#REF!</v>
      </c>
      <c r="O268" s="5"/>
      <c r="P268" s="5" t="e">
        <f>IF((COUNTIFS(#REF!,$C268,#REF!,P$1))&gt;=1,"SIM","")</f>
        <v>#REF!</v>
      </c>
      <c r="Q268" s="5" t="e">
        <f>IF((COUNTIFS(#REF!,$C268,#REF!,Q$1))&gt;=1,"SIM","")</f>
        <v>#REF!</v>
      </c>
      <c r="R268" s="5" t="e">
        <f>IF((COUNTIFS(#REF!,$C268,#REF!,"*CARTA*"))&gt;=1,"SIM","")</f>
        <v>#REF!</v>
      </c>
      <c r="S268" s="5" t="e">
        <f>IF((COUNTIFS(#REF!,$C268,#REF!,"*CARTA NOTIFICAÇÃO/DEVOL*"))&gt;=1,"SIM","")</f>
        <v>#REF!</v>
      </c>
      <c r="T268" s="5" t="e">
        <f>IF((COUNTIFS(#REF!,$C268,#REF!,"*LIGAÇÃO ATIVA DEV PRIN/LOC*"))&gt;=1,"SIM","")</f>
        <v>#REF!</v>
      </c>
    </row>
    <row r="269" spans="1:20">
      <c r="A269" s="24" t="s">
        <v>2153</v>
      </c>
      <c r="B269" s="24" t="s">
        <v>428</v>
      </c>
      <c r="C269" s="24" t="s">
        <v>429</v>
      </c>
      <c r="D269" s="5" t="e">
        <f>IF((COUNTIFS(#REF!,$C269,#REF!,"*163*"))&gt;=1,"SIM","")</f>
        <v>#REF!</v>
      </c>
      <c r="E269" s="5" t="e">
        <f>IF((COUNTIFS(#REF!,$C269,#REF!,E$1))&gt;=1,"SIM","")</f>
        <v>#REF!</v>
      </c>
      <c r="F269" s="5" t="e">
        <f>IF((COUNTIFS(#REF!,$C269,#REF!,F$1))&gt;=1,"SIM","")</f>
        <v>#REF!</v>
      </c>
      <c r="G269" s="5" t="e">
        <f>IF((COUNTIFS(#REF!,$C269,#REF!,"*606*"))&gt;=1,"SIM","")</f>
        <v>#REF!</v>
      </c>
      <c r="H269" s="5" t="e">
        <f>IF((COUNTIFS(#REF!,$C269,#REF!,"*605*"))&gt;=1,"SIM","")</f>
        <v>#REF!</v>
      </c>
      <c r="I269" s="5" t="e">
        <f>IF((COUNTIFS(#REF!,$C269,#REF!,I$1))&gt;=1,"SIM","")</f>
        <v>#REF!</v>
      </c>
      <c r="J269" s="5" t="e">
        <f>IF((COUNTIFS(#REF!,$C269,#REF!,J$1))&gt;=1,"SIM","")</f>
        <v>#REF!</v>
      </c>
      <c r="K269" s="5" t="e">
        <f>IF((COUNTIFS(#REF!,$C269,#REF!,K$1))&gt;=1,"SIM","")</f>
        <v>#REF!</v>
      </c>
      <c r="L269" s="5" t="e">
        <f>IF((COUNTIFS(#REF!,$C269,#REF!,L$1))&gt;=1,"SIM","")</f>
        <v>#REF!</v>
      </c>
      <c r="M269" s="5" t="e">
        <f>IF((COUNTIFS(#REF!,$C269,#REF!,M$1))&gt;=1,"SIM","")</f>
        <v>#REF!</v>
      </c>
      <c r="N269" s="5" t="e">
        <f>IF((COUNTIFS(#REF!,$C269,#REF!,N$1))&gt;=1,"SIM","")</f>
        <v>#REF!</v>
      </c>
      <c r="O269" s="5"/>
      <c r="P269" s="5" t="e">
        <f>IF((COUNTIFS(#REF!,$C269,#REF!,P$1))&gt;=1,"SIM","")</f>
        <v>#REF!</v>
      </c>
      <c r="Q269" s="5" t="e">
        <f>IF((COUNTIFS(#REF!,$C269,#REF!,Q$1))&gt;=1,"SIM","")</f>
        <v>#REF!</v>
      </c>
      <c r="R269" s="5" t="e">
        <f>IF((COUNTIFS(#REF!,$C269,#REF!,"*CARTA*"))&gt;=1,"SIM","")</f>
        <v>#REF!</v>
      </c>
      <c r="S269" s="5" t="e">
        <f>IF((COUNTIFS(#REF!,$C269,#REF!,"*CARTA NOTIFICAÇÃO/DEVOL*"))&gt;=1,"SIM","")</f>
        <v>#REF!</v>
      </c>
      <c r="T269" s="5" t="e">
        <f>IF((COUNTIFS(#REF!,$C269,#REF!,"*LIGAÇÃO ATIVA DEV PRIN/LOC*"))&gt;=1,"SIM","")</f>
        <v>#REF!</v>
      </c>
    </row>
    <row r="270" spans="1:20">
      <c r="A270" s="24" t="s">
        <v>2153</v>
      </c>
      <c r="B270" s="24" t="s">
        <v>1154</v>
      </c>
      <c r="C270" s="24" t="s">
        <v>1155</v>
      </c>
      <c r="D270" s="5" t="e">
        <f>IF((COUNTIFS(#REF!,$C270,#REF!,"*163*"))&gt;=1,"SIM","")</f>
        <v>#REF!</v>
      </c>
      <c r="E270" s="5" t="e">
        <f>IF((COUNTIFS(#REF!,$C270,#REF!,E$1))&gt;=1,"SIM","")</f>
        <v>#REF!</v>
      </c>
      <c r="F270" s="5" t="e">
        <f>IF((COUNTIFS(#REF!,$C270,#REF!,F$1))&gt;=1,"SIM","")</f>
        <v>#REF!</v>
      </c>
      <c r="G270" s="5" t="e">
        <f>IF((COUNTIFS(#REF!,$C270,#REF!,"*606*"))&gt;=1,"SIM","")</f>
        <v>#REF!</v>
      </c>
      <c r="H270" s="5" t="e">
        <f>IF((COUNTIFS(#REF!,$C270,#REF!,"*605*"))&gt;=1,"SIM","")</f>
        <v>#REF!</v>
      </c>
      <c r="I270" s="5" t="e">
        <f>IF((COUNTIFS(#REF!,$C270,#REF!,I$1))&gt;=1,"SIM","")</f>
        <v>#REF!</v>
      </c>
      <c r="J270" s="5" t="e">
        <f>IF((COUNTIFS(#REF!,$C270,#REF!,J$1))&gt;=1,"SIM","")</f>
        <v>#REF!</v>
      </c>
      <c r="K270" s="5" t="e">
        <f>IF((COUNTIFS(#REF!,$C270,#REF!,K$1))&gt;=1,"SIM","")</f>
        <v>#REF!</v>
      </c>
      <c r="L270" s="5" t="e">
        <f>IF((COUNTIFS(#REF!,$C270,#REF!,L$1))&gt;=1,"SIM","")</f>
        <v>#REF!</v>
      </c>
      <c r="M270" s="5" t="e">
        <f>IF((COUNTIFS(#REF!,$C270,#REF!,M$1))&gt;=1,"SIM","")</f>
        <v>#REF!</v>
      </c>
      <c r="N270" s="5" t="e">
        <f>IF((COUNTIFS(#REF!,$C270,#REF!,N$1))&gt;=1,"SIM","")</f>
        <v>#REF!</v>
      </c>
      <c r="O270" s="5"/>
      <c r="P270" s="5" t="e">
        <f>IF((COUNTIFS(#REF!,$C270,#REF!,P$1))&gt;=1,"SIM","")</f>
        <v>#REF!</v>
      </c>
      <c r="Q270" s="5" t="e">
        <f>IF((COUNTIFS(#REF!,$C270,#REF!,Q$1))&gt;=1,"SIM","")</f>
        <v>#REF!</v>
      </c>
      <c r="R270" s="5" t="e">
        <f>IF((COUNTIFS(#REF!,$C270,#REF!,"*CARTA*"))&gt;=1,"SIM","")</f>
        <v>#REF!</v>
      </c>
      <c r="S270" s="5" t="e">
        <f>IF((COUNTIFS(#REF!,$C270,#REF!,"*CARTA NOTIFICAÇÃO/DEVOL*"))&gt;=1,"SIM","")</f>
        <v>#REF!</v>
      </c>
      <c r="T270" s="5" t="e">
        <f>IF((COUNTIFS(#REF!,$C270,#REF!,"*LIGAÇÃO ATIVA DEV PRIN/LOC*"))&gt;=1,"SIM","")</f>
        <v>#REF!</v>
      </c>
    </row>
    <row r="271" spans="1:20">
      <c r="A271" s="24" t="s">
        <v>2158</v>
      </c>
      <c r="B271" s="24" t="s">
        <v>1022</v>
      </c>
      <c r="C271" s="24" t="s">
        <v>1023</v>
      </c>
      <c r="D271" s="5" t="e">
        <f>IF((COUNTIFS(#REF!,$C271,#REF!,"*163*"))&gt;=1,"SIM","")</f>
        <v>#REF!</v>
      </c>
      <c r="E271" s="5" t="e">
        <f>IF((COUNTIFS(#REF!,$C271,#REF!,E$1))&gt;=1,"SIM","")</f>
        <v>#REF!</v>
      </c>
      <c r="F271" s="5" t="e">
        <f>IF((COUNTIFS(#REF!,$C271,#REF!,F$1))&gt;=1,"SIM","")</f>
        <v>#REF!</v>
      </c>
      <c r="G271" s="5" t="e">
        <f>IF((COUNTIFS(#REF!,$C271,#REF!,"*606*"))&gt;=1,"SIM","")</f>
        <v>#REF!</v>
      </c>
      <c r="H271" s="5" t="e">
        <f>IF((COUNTIFS(#REF!,$C271,#REF!,"*605*"))&gt;=1,"SIM","")</f>
        <v>#REF!</v>
      </c>
      <c r="I271" s="5" t="e">
        <f>IF((COUNTIFS(#REF!,$C271,#REF!,I$1))&gt;=1,"SIM","")</f>
        <v>#REF!</v>
      </c>
      <c r="J271" s="5" t="e">
        <f>IF((COUNTIFS(#REF!,$C271,#REF!,J$1))&gt;=1,"SIM","")</f>
        <v>#REF!</v>
      </c>
      <c r="K271" s="5" t="e">
        <f>IF((COUNTIFS(#REF!,$C271,#REF!,K$1))&gt;=1,"SIM","")</f>
        <v>#REF!</v>
      </c>
      <c r="L271" s="5" t="e">
        <f>IF((COUNTIFS(#REF!,$C271,#REF!,L$1))&gt;=1,"SIM","")</f>
        <v>#REF!</v>
      </c>
      <c r="M271" s="5" t="e">
        <f>IF((COUNTIFS(#REF!,$C271,#REF!,M$1))&gt;=1,"SIM","")</f>
        <v>#REF!</v>
      </c>
      <c r="N271" s="5" t="e">
        <f>IF((COUNTIFS(#REF!,$C271,#REF!,N$1))&gt;=1,"SIM","")</f>
        <v>#REF!</v>
      </c>
      <c r="O271" s="5"/>
      <c r="P271" s="5" t="e">
        <f>IF((COUNTIFS(#REF!,$C271,#REF!,P$1))&gt;=1,"SIM","")</f>
        <v>#REF!</v>
      </c>
      <c r="Q271" s="5" t="e">
        <f>IF((COUNTIFS(#REF!,$C271,#REF!,Q$1))&gt;=1,"SIM","")</f>
        <v>#REF!</v>
      </c>
      <c r="R271" s="5" t="e">
        <f>IF((COUNTIFS(#REF!,$C271,#REF!,"*CARTA*"))&gt;=1,"SIM","")</f>
        <v>#REF!</v>
      </c>
      <c r="S271" s="5" t="e">
        <f>IF((COUNTIFS(#REF!,$C271,#REF!,"*CARTA NOTIFICAÇÃO/DEVOL*"))&gt;=1,"SIM","")</f>
        <v>#REF!</v>
      </c>
      <c r="T271" s="5" t="e">
        <f>IF((COUNTIFS(#REF!,$C271,#REF!,"*LIGAÇÃO ATIVA DEV PRIN/LOC*"))&gt;=1,"SIM","")</f>
        <v>#REF!</v>
      </c>
    </row>
    <row r="272" spans="1:20">
      <c r="A272" s="24" t="s">
        <v>2155</v>
      </c>
      <c r="B272" s="24" t="s">
        <v>56</v>
      </c>
      <c r="C272" s="24" t="s">
        <v>57</v>
      </c>
      <c r="D272" s="5" t="e">
        <f>IF((COUNTIFS(#REF!,$C272,#REF!,"*163*"))&gt;=1,"SIM","")</f>
        <v>#REF!</v>
      </c>
      <c r="E272" s="5" t="e">
        <f>IF((COUNTIFS(#REF!,$C272,#REF!,E$1))&gt;=1,"SIM","")</f>
        <v>#REF!</v>
      </c>
      <c r="F272" s="5" t="e">
        <f>IF((COUNTIFS(#REF!,$C272,#REF!,F$1))&gt;=1,"SIM","")</f>
        <v>#REF!</v>
      </c>
      <c r="G272" s="5" t="e">
        <f>IF((COUNTIFS(#REF!,$C272,#REF!,"*606*"))&gt;=1,"SIM","")</f>
        <v>#REF!</v>
      </c>
      <c r="H272" s="5" t="e">
        <f>IF((COUNTIFS(#REF!,$C272,#REF!,"*605*"))&gt;=1,"SIM","")</f>
        <v>#REF!</v>
      </c>
      <c r="I272" s="5" t="e">
        <f>IF((COUNTIFS(#REF!,$C272,#REF!,I$1))&gt;=1,"SIM","")</f>
        <v>#REF!</v>
      </c>
      <c r="J272" s="5" t="e">
        <f>IF((COUNTIFS(#REF!,$C272,#REF!,J$1))&gt;=1,"SIM","")</f>
        <v>#REF!</v>
      </c>
      <c r="K272" s="5" t="e">
        <f>IF((COUNTIFS(#REF!,$C272,#REF!,K$1))&gt;=1,"SIM","")</f>
        <v>#REF!</v>
      </c>
      <c r="L272" s="5" t="e">
        <f>IF((COUNTIFS(#REF!,$C272,#REF!,L$1))&gt;=1,"SIM","")</f>
        <v>#REF!</v>
      </c>
      <c r="M272" s="5" t="e">
        <f>IF((COUNTIFS(#REF!,$C272,#REF!,M$1))&gt;=1,"SIM","")</f>
        <v>#REF!</v>
      </c>
      <c r="N272" s="5" t="e">
        <f>IF((COUNTIFS(#REF!,$C272,#REF!,N$1))&gt;=1,"SIM","")</f>
        <v>#REF!</v>
      </c>
      <c r="O272" s="5"/>
      <c r="P272" s="5" t="e">
        <f>IF((COUNTIFS(#REF!,$C272,#REF!,P$1))&gt;=1,"SIM","")</f>
        <v>#REF!</v>
      </c>
      <c r="Q272" s="5" t="e">
        <f>IF((COUNTIFS(#REF!,$C272,#REF!,Q$1))&gt;=1,"SIM","")</f>
        <v>#REF!</v>
      </c>
      <c r="R272" s="5" t="e">
        <f>IF((COUNTIFS(#REF!,$C272,#REF!,"*CARTA*"))&gt;=1,"SIM","")</f>
        <v>#REF!</v>
      </c>
      <c r="S272" s="5" t="e">
        <f>IF((COUNTIFS(#REF!,$C272,#REF!,"*CARTA NOTIFICAÇÃO/DEVOL*"))&gt;=1,"SIM","")</f>
        <v>#REF!</v>
      </c>
      <c r="T272" s="5" t="e">
        <f>IF((COUNTIFS(#REF!,$C272,#REF!,"*LIGAÇÃO ATIVA DEV PRIN/LOC*"))&gt;=1,"SIM","")</f>
        <v>#REF!</v>
      </c>
    </row>
    <row r="273" spans="1:20">
      <c r="A273" s="24" t="s">
        <v>2159</v>
      </c>
      <c r="B273" s="24" t="s">
        <v>1879</v>
      </c>
      <c r="C273" s="24" t="s">
        <v>1880</v>
      </c>
      <c r="D273" s="5" t="e">
        <f>IF((COUNTIFS(#REF!,$C273,#REF!,"*163*"))&gt;=1,"SIM","")</f>
        <v>#REF!</v>
      </c>
      <c r="E273" s="5" t="e">
        <f>IF((COUNTIFS(#REF!,$C273,#REF!,E$1))&gt;=1,"SIM","")</f>
        <v>#REF!</v>
      </c>
      <c r="F273" s="5" t="e">
        <f>IF((COUNTIFS(#REF!,$C273,#REF!,F$1))&gt;=1,"SIM","")</f>
        <v>#REF!</v>
      </c>
      <c r="G273" s="5" t="e">
        <f>IF((COUNTIFS(#REF!,$C273,#REF!,"*606*"))&gt;=1,"SIM","")</f>
        <v>#REF!</v>
      </c>
      <c r="H273" s="5" t="e">
        <f>IF((COUNTIFS(#REF!,$C273,#REF!,"*605*"))&gt;=1,"SIM","")</f>
        <v>#REF!</v>
      </c>
      <c r="I273" s="5" t="e">
        <f>IF((COUNTIFS(#REF!,$C273,#REF!,I$1))&gt;=1,"SIM","")</f>
        <v>#REF!</v>
      </c>
      <c r="J273" s="5" t="e">
        <f>IF((COUNTIFS(#REF!,$C273,#REF!,J$1))&gt;=1,"SIM","")</f>
        <v>#REF!</v>
      </c>
      <c r="K273" s="5" t="e">
        <f>IF((COUNTIFS(#REF!,$C273,#REF!,K$1))&gt;=1,"SIM","")</f>
        <v>#REF!</v>
      </c>
      <c r="L273" s="5" t="e">
        <f>IF((COUNTIFS(#REF!,$C273,#REF!,L$1))&gt;=1,"SIM","")</f>
        <v>#REF!</v>
      </c>
      <c r="M273" s="5" t="e">
        <f>IF((COUNTIFS(#REF!,$C273,#REF!,M$1))&gt;=1,"SIM","")</f>
        <v>#REF!</v>
      </c>
      <c r="N273" s="5" t="e">
        <f>IF((COUNTIFS(#REF!,$C273,#REF!,N$1))&gt;=1,"SIM","")</f>
        <v>#REF!</v>
      </c>
      <c r="O273" s="5"/>
      <c r="P273" s="5" t="e">
        <f>IF((COUNTIFS(#REF!,$C273,#REF!,P$1))&gt;=1,"SIM","")</f>
        <v>#REF!</v>
      </c>
      <c r="Q273" s="5" t="e">
        <f>IF((COUNTIFS(#REF!,$C273,#REF!,Q$1))&gt;=1,"SIM","")</f>
        <v>#REF!</v>
      </c>
      <c r="R273" s="5" t="e">
        <f>IF((COUNTIFS(#REF!,$C273,#REF!,"*CARTA*"))&gt;=1,"SIM","")</f>
        <v>#REF!</v>
      </c>
      <c r="S273" s="5" t="e">
        <f>IF((COUNTIFS(#REF!,$C273,#REF!,"*CARTA NOTIFICAÇÃO/DEVOL*"))&gt;=1,"SIM","")</f>
        <v>#REF!</v>
      </c>
      <c r="T273" s="5" t="e">
        <f>IF((COUNTIFS(#REF!,$C273,#REF!,"*LIGAÇÃO ATIVA DEV PRIN/LOC*"))&gt;=1,"SIM","")</f>
        <v>#REF!</v>
      </c>
    </row>
    <row r="274" spans="1:20">
      <c r="A274" s="24" t="s">
        <v>2153</v>
      </c>
      <c r="B274" s="24" t="s">
        <v>218</v>
      </c>
      <c r="C274" s="24" t="s">
        <v>219</v>
      </c>
      <c r="D274" s="5" t="e">
        <f>IF((COUNTIFS(#REF!,$C274,#REF!,"*163*"))&gt;=1,"SIM","")</f>
        <v>#REF!</v>
      </c>
      <c r="E274" s="5" t="e">
        <f>IF((COUNTIFS(#REF!,$C274,#REF!,E$1))&gt;=1,"SIM","")</f>
        <v>#REF!</v>
      </c>
      <c r="F274" s="5" t="e">
        <f>IF((COUNTIFS(#REF!,$C274,#REF!,F$1))&gt;=1,"SIM","")</f>
        <v>#REF!</v>
      </c>
      <c r="G274" s="5" t="e">
        <f>IF((COUNTIFS(#REF!,$C274,#REF!,"*606*"))&gt;=1,"SIM","")</f>
        <v>#REF!</v>
      </c>
      <c r="H274" s="5" t="e">
        <f>IF((COUNTIFS(#REF!,$C274,#REF!,"*605*"))&gt;=1,"SIM","")</f>
        <v>#REF!</v>
      </c>
      <c r="I274" s="5" t="e">
        <f>IF((COUNTIFS(#REF!,$C274,#REF!,I$1))&gt;=1,"SIM","")</f>
        <v>#REF!</v>
      </c>
      <c r="J274" s="5" t="e">
        <f>IF((COUNTIFS(#REF!,$C274,#REF!,J$1))&gt;=1,"SIM","")</f>
        <v>#REF!</v>
      </c>
      <c r="K274" s="5" t="e">
        <f>IF((COUNTIFS(#REF!,$C274,#REF!,K$1))&gt;=1,"SIM","")</f>
        <v>#REF!</v>
      </c>
      <c r="L274" s="5" t="e">
        <f>IF((COUNTIFS(#REF!,$C274,#REF!,L$1))&gt;=1,"SIM","")</f>
        <v>#REF!</v>
      </c>
      <c r="M274" s="5" t="e">
        <f>IF((COUNTIFS(#REF!,$C274,#REF!,M$1))&gt;=1,"SIM","")</f>
        <v>#REF!</v>
      </c>
      <c r="N274" s="5" t="e">
        <f>IF((COUNTIFS(#REF!,$C274,#REF!,N$1))&gt;=1,"SIM","")</f>
        <v>#REF!</v>
      </c>
      <c r="O274" s="5"/>
      <c r="P274" s="5" t="e">
        <f>IF((COUNTIFS(#REF!,$C274,#REF!,P$1))&gt;=1,"SIM","")</f>
        <v>#REF!</v>
      </c>
      <c r="Q274" s="5" t="e">
        <f>IF((COUNTIFS(#REF!,$C274,#REF!,Q$1))&gt;=1,"SIM","")</f>
        <v>#REF!</v>
      </c>
      <c r="R274" s="5" t="e">
        <f>IF((COUNTIFS(#REF!,$C274,#REF!,"*CARTA*"))&gt;=1,"SIM","")</f>
        <v>#REF!</v>
      </c>
      <c r="S274" s="5" t="e">
        <f>IF((COUNTIFS(#REF!,$C274,#REF!,"*CARTA NOTIFICAÇÃO/DEVOL*"))&gt;=1,"SIM","")</f>
        <v>#REF!</v>
      </c>
      <c r="T274" s="5" t="e">
        <f>IF((COUNTIFS(#REF!,$C274,#REF!,"*LIGAÇÃO ATIVA DEV PRIN/LOC*"))&gt;=1,"SIM","")</f>
        <v>#REF!</v>
      </c>
    </row>
    <row r="275" spans="1:20">
      <c r="A275" s="24" t="s">
        <v>2155</v>
      </c>
      <c r="B275" s="24" t="s">
        <v>93</v>
      </c>
      <c r="C275" s="24" t="s">
        <v>94</v>
      </c>
      <c r="D275" s="5" t="e">
        <f>IF((COUNTIFS(#REF!,$C275,#REF!,"*163*"))&gt;=1,"SIM","")</f>
        <v>#REF!</v>
      </c>
      <c r="E275" s="5" t="e">
        <f>IF((COUNTIFS(#REF!,$C275,#REF!,E$1))&gt;=1,"SIM","")</f>
        <v>#REF!</v>
      </c>
      <c r="F275" s="5" t="e">
        <f>IF((COUNTIFS(#REF!,$C275,#REF!,F$1))&gt;=1,"SIM","")</f>
        <v>#REF!</v>
      </c>
      <c r="G275" s="5" t="e">
        <f>IF((COUNTIFS(#REF!,$C275,#REF!,"*606*"))&gt;=1,"SIM","")</f>
        <v>#REF!</v>
      </c>
      <c r="H275" s="5" t="e">
        <f>IF((COUNTIFS(#REF!,$C275,#REF!,"*605*"))&gt;=1,"SIM","")</f>
        <v>#REF!</v>
      </c>
      <c r="I275" s="5" t="e">
        <f>IF((COUNTIFS(#REF!,$C275,#REF!,I$1))&gt;=1,"SIM","")</f>
        <v>#REF!</v>
      </c>
      <c r="J275" s="5" t="e">
        <f>IF((COUNTIFS(#REF!,$C275,#REF!,J$1))&gt;=1,"SIM","")</f>
        <v>#REF!</v>
      </c>
      <c r="K275" s="5" t="e">
        <f>IF((COUNTIFS(#REF!,$C275,#REF!,K$1))&gt;=1,"SIM","")</f>
        <v>#REF!</v>
      </c>
      <c r="L275" s="5" t="e">
        <f>IF((COUNTIFS(#REF!,$C275,#REF!,L$1))&gt;=1,"SIM","")</f>
        <v>#REF!</v>
      </c>
      <c r="M275" s="5" t="e">
        <f>IF((COUNTIFS(#REF!,$C275,#REF!,M$1))&gt;=1,"SIM","")</f>
        <v>#REF!</v>
      </c>
      <c r="N275" s="5" t="e">
        <f>IF((COUNTIFS(#REF!,$C275,#REF!,N$1))&gt;=1,"SIM","")</f>
        <v>#REF!</v>
      </c>
      <c r="O275" s="5"/>
      <c r="P275" s="5" t="e">
        <f>IF((COUNTIFS(#REF!,$C275,#REF!,P$1))&gt;=1,"SIM","")</f>
        <v>#REF!</v>
      </c>
      <c r="Q275" s="5" t="e">
        <f>IF((COUNTIFS(#REF!,$C275,#REF!,Q$1))&gt;=1,"SIM","")</f>
        <v>#REF!</v>
      </c>
      <c r="R275" s="5" t="e">
        <f>IF((COUNTIFS(#REF!,$C275,#REF!,"*CARTA*"))&gt;=1,"SIM","")</f>
        <v>#REF!</v>
      </c>
      <c r="S275" s="5" t="e">
        <f>IF((COUNTIFS(#REF!,$C275,#REF!,"*CARTA NOTIFICAÇÃO/DEVOL*"))&gt;=1,"SIM","")</f>
        <v>#REF!</v>
      </c>
      <c r="T275" s="5" t="e">
        <f>IF((COUNTIFS(#REF!,$C275,#REF!,"*LIGAÇÃO ATIVA DEV PRIN/LOC*"))&gt;=1,"SIM","")</f>
        <v>#REF!</v>
      </c>
    </row>
    <row r="276" spans="1:20">
      <c r="A276" s="24" t="s">
        <v>2159</v>
      </c>
      <c r="B276" s="24" t="s">
        <v>2083</v>
      </c>
      <c r="C276" s="24" t="s">
        <v>2084</v>
      </c>
      <c r="D276" s="5" t="e">
        <f>IF((COUNTIFS(#REF!,$C276,#REF!,"*163*"))&gt;=1,"SIM","")</f>
        <v>#REF!</v>
      </c>
      <c r="E276" s="5" t="e">
        <f>IF((COUNTIFS(#REF!,$C276,#REF!,E$1))&gt;=1,"SIM","")</f>
        <v>#REF!</v>
      </c>
      <c r="F276" s="5" t="e">
        <f>IF((COUNTIFS(#REF!,$C276,#REF!,F$1))&gt;=1,"SIM","")</f>
        <v>#REF!</v>
      </c>
      <c r="G276" s="5" t="e">
        <f>IF((COUNTIFS(#REF!,$C276,#REF!,"*606*"))&gt;=1,"SIM","")</f>
        <v>#REF!</v>
      </c>
      <c r="H276" s="5" t="e">
        <f>IF((COUNTIFS(#REF!,$C276,#REF!,"*605*"))&gt;=1,"SIM","")</f>
        <v>#REF!</v>
      </c>
      <c r="I276" s="5" t="e">
        <f>IF((COUNTIFS(#REF!,$C276,#REF!,I$1))&gt;=1,"SIM","")</f>
        <v>#REF!</v>
      </c>
      <c r="J276" s="5" t="e">
        <f>IF((COUNTIFS(#REF!,$C276,#REF!,J$1))&gt;=1,"SIM","")</f>
        <v>#REF!</v>
      </c>
      <c r="K276" s="5" t="e">
        <f>IF((COUNTIFS(#REF!,$C276,#REF!,K$1))&gt;=1,"SIM","")</f>
        <v>#REF!</v>
      </c>
      <c r="L276" s="5" t="e">
        <f>IF((COUNTIFS(#REF!,$C276,#REF!,L$1))&gt;=1,"SIM","")</f>
        <v>#REF!</v>
      </c>
      <c r="M276" s="5" t="e">
        <f>IF((COUNTIFS(#REF!,$C276,#REF!,M$1))&gt;=1,"SIM","")</f>
        <v>#REF!</v>
      </c>
      <c r="N276" s="5" t="e">
        <f>IF((COUNTIFS(#REF!,$C276,#REF!,N$1))&gt;=1,"SIM","")</f>
        <v>#REF!</v>
      </c>
      <c r="O276" s="5"/>
      <c r="P276" s="5" t="e">
        <f>IF((COUNTIFS(#REF!,$C276,#REF!,P$1))&gt;=1,"SIM","")</f>
        <v>#REF!</v>
      </c>
      <c r="Q276" s="5" t="e">
        <f>IF((COUNTIFS(#REF!,$C276,#REF!,Q$1))&gt;=1,"SIM","")</f>
        <v>#REF!</v>
      </c>
      <c r="R276" s="5" t="e">
        <f>IF((COUNTIFS(#REF!,$C276,#REF!,"*CARTA*"))&gt;=1,"SIM","")</f>
        <v>#REF!</v>
      </c>
      <c r="S276" s="5" t="e">
        <f>IF((COUNTIFS(#REF!,$C276,#REF!,"*CARTA NOTIFICAÇÃO/DEVOL*"))&gt;=1,"SIM","")</f>
        <v>#REF!</v>
      </c>
      <c r="T276" s="5" t="e">
        <f>IF((COUNTIFS(#REF!,$C276,#REF!,"*LIGAÇÃO ATIVA DEV PRIN/LOC*"))&gt;=1,"SIM","")</f>
        <v>#REF!</v>
      </c>
    </row>
    <row r="277" spans="1:20">
      <c r="A277" s="24" t="s">
        <v>2158</v>
      </c>
      <c r="B277" s="24" t="s">
        <v>1049</v>
      </c>
      <c r="C277" s="24" t="s">
        <v>1050</v>
      </c>
      <c r="D277" s="5" t="e">
        <f>IF((COUNTIFS(#REF!,$C277,#REF!,"*163*"))&gt;=1,"SIM","")</f>
        <v>#REF!</v>
      </c>
      <c r="E277" s="5" t="e">
        <f>IF((COUNTIFS(#REF!,$C277,#REF!,E$1))&gt;=1,"SIM","")</f>
        <v>#REF!</v>
      </c>
      <c r="F277" s="5" t="e">
        <f>IF((COUNTIFS(#REF!,$C277,#REF!,F$1))&gt;=1,"SIM","")</f>
        <v>#REF!</v>
      </c>
      <c r="G277" s="5" t="e">
        <f>IF((COUNTIFS(#REF!,$C277,#REF!,"*606*"))&gt;=1,"SIM","")</f>
        <v>#REF!</v>
      </c>
      <c r="H277" s="5" t="e">
        <f>IF((COUNTIFS(#REF!,$C277,#REF!,"*605*"))&gt;=1,"SIM","")</f>
        <v>#REF!</v>
      </c>
      <c r="I277" s="5" t="e">
        <f>IF((COUNTIFS(#REF!,$C277,#REF!,I$1))&gt;=1,"SIM","")</f>
        <v>#REF!</v>
      </c>
      <c r="J277" s="5" t="e">
        <f>IF((COUNTIFS(#REF!,$C277,#REF!,J$1))&gt;=1,"SIM","")</f>
        <v>#REF!</v>
      </c>
      <c r="K277" s="5" t="e">
        <f>IF((COUNTIFS(#REF!,$C277,#REF!,K$1))&gt;=1,"SIM","")</f>
        <v>#REF!</v>
      </c>
      <c r="L277" s="5" t="e">
        <f>IF((COUNTIFS(#REF!,$C277,#REF!,L$1))&gt;=1,"SIM","")</f>
        <v>#REF!</v>
      </c>
      <c r="M277" s="5" t="e">
        <f>IF((COUNTIFS(#REF!,$C277,#REF!,M$1))&gt;=1,"SIM","")</f>
        <v>#REF!</v>
      </c>
      <c r="N277" s="5" t="e">
        <f>IF((COUNTIFS(#REF!,$C277,#REF!,N$1))&gt;=1,"SIM","")</f>
        <v>#REF!</v>
      </c>
      <c r="O277" s="5"/>
      <c r="P277" s="5" t="e">
        <f>IF((COUNTIFS(#REF!,$C277,#REF!,P$1))&gt;=1,"SIM","")</f>
        <v>#REF!</v>
      </c>
      <c r="Q277" s="5" t="e">
        <f>IF((COUNTIFS(#REF!,$C277,#REF!,Q$1))&gt;=1,"SIM","")</f>
        <v>#REF!</v>
      </c>
      <c r="R277" s="5" t="e">
        <f>IF((COUNTIFS(#REF!,$C277,#REF!,"*CARTA*"))&gt;=1,"SIM","")</f>
        <v>#REF!</v>
      </c>
      <c r="S277" s="5" t="e">
        <f>IF((COUNTIFS(#REF!,$C277,#REF!,"*CARTA NOTIFICAÇÃO/DEVOL*"))&gt;=1,"SIM","")</f>
        <v>#REF!</v>
      </c>
      <c r="T277" s="5" t="e">
        <f>IF((COUNTIFS(#REF!,$C277,#REF!,"*LIGAÇÃO ATIVA DEV PRIN/LOC*"))&gt;=1,"SIM","")</f>
        <v>#REF!</v>
      </c>
    </row>
    <row r="278" spans="1:20">
      <c r="A278" s="24" t="s">
        <v>2155</v>
      </c>
      <c r="B278" s="24" t="s">
        <v>555</v>
      </c>
      <c r="C278" s="24" t="s">
        <v>556</v>
      </c>
      <c r="D278" s="5" t="e">
        <f>IF((COUNTIFS(#REF!,$C278,#REF!,"*163*"))&gt;=1,"SIM","")</f>
        <v>#REF!</v>
      </c>
      <c r="E278" s="5" t="e">
        <f>IF((COUNTIFS(#REF!,$C278,#REF!,E$1))&gt;=1,"SIM","")</f>
        <v>#REF!</v>
      </c>
      <c r="F278" s="5" t="e">
        <f>IF((COUNTIFS(#REF!,$C278,#REF!,F$1))&gt;=1,"SIM","")</f>
        <v>#REF!</v>
      </c>
      <c r="G278" s="5" t="e">
        <f>IF((COUNTIFS(#REF!,$C278,#REF!,"*606*"))&gt;=1,"SIM","")</f>
        <v>#REF!</v>
      </c>
      <c r="H278" s="5" t="e">
        <f>IF((COUNTIFS(#REF!,$C278,#REF!,"*605*"))&gt;=1,"SIM","")</f>
        <v>#REF!</v>
      </c>
      <c r="I278" s="5" t="e">
        <f>IF((COUNTIFS(#REF!,$C278,#REF!,I$1))&gt;=1,"SIM","")</f>
        <v>#REF!</v>
      </c>
      <c r="J278" s="5" t="e">
        <f>IF((COUNTIFS(#REF!,$C278,#REF!,J$1))&gt;=1,"SIM","")</f>
        <v>#REF!</v>
      </c>
      <c r="K278" s="5" t="e">
        <f>IF((COUNTIFS(#REF!,$C278,#REF!,K$1))&gt;=1,"SIM","")</f>
        <v>#REF!</v>
      </c>
      <c r="L278" s="5" t="e">
        <f>IF((COUNTIFS(#REF!,$C278,#REF!,L$1))&gt;=1,"SIM","")</f>
        <v>#REF!</v>
      </c>
      <c r="M278" s="5" t="e">
        <f>IF((COUNTIFS(#REF!,$C278,#REF!,M$1))&gt;=1,"SIM","")</f>
        <v>#REF!</v>
      </c>
      <c r="N278" s="5" t="e">
        <f>IF((COUNTIFS(#REF!,$C278,#REF!,N$1))&gt;=1,"SIM","")</f>
        <v>#REF!</v>
      </c>
      <c r="O278" s="5"/>
      <c r="P278" s="5" t="e">
        <f>IF((COUNTIFS(#REF!,$C278,#REF!,P$1))&gt;=1,"SIM","")</f>
        <v>#REF!</v>
      </c>
      <c r="Q278" s="5" t="e">
        <f>IF((COUNTIFS(#REF!,$C278,#REF!,Q$1))&gt;=1,"SIM","")</f>
        <v>#REF!</v>
      </c>
      <c r="R278" s="5" t="e">
        <f>IF((COUNTIFS(#REF!,$C278,#REF!,"*CARTA*"))&gt;=1,"SIM","")</f>
        <v>#REF!</v>
      </c>
      <c r="S278" s="5" t="e">
        <f>IF((COUNTIFS(#REF!,$C278,#REF!,"*CARTA NOTIFICAÇÃO/DEVOL*"))&gt;=1,"SIM","")</f>
        <v>#REF!</v>
      </c>
      <c r="T278" s="5" t="e">
        <f>IF((COUNTIFS(#REF!,$C278,#REF!,"*LIGAÇÃO ATIVA DEV PRIN/LOC*"))&gt;=1,"SIM","")</f>
        <v>#REF!</v>
      </c>
    </row>
    <row r="279" spans="1:20">
      <c r="A279" s="24" t="s">
        <v>2159</v>
      </c>
      <c r="B279" s="24" t="s">
        <v>2082</v>
      </c>
      <c r="C279" s="24" t="s">
        <v>1461</v>
      </c>
      <c r="D279" s="5" t="e">
        <f>IF((COUNTIFS(#REF!,$C279,#REF!,"*163*"))&gt;=1,"SIM","")</f>
        <v>#REF!</v>
      </c>
      <c r="E279" s="5" t="e">
        <f>IF((COUNTIFS(#REF!,$C279,#REF!,E$1))&gt;=1,"SIM","")</f>
        <v>#REF!</v>
      </c>
      <c r="F279" s="5" t="e">
        <f>IF((COUNTIFS(#REF!,$C279,#REF!,F$1))&gt;=1,"SIM","")</f>
        <v>#REF!</v>
      </c>
      <c r="G279" s="5" t="e">
        <f>IF((COUNTIFS(#REF!,$C279,#REF!,"*606*"))&gt;=1,"SIM","")</f>
        <v>#REF!</v>
      </c>
      <c r="H279" s="5" t="e">
        <f>IF((COUNTIFS(#REF!,$C279,#REF!,"*605*"))&gt;=1,"SIM","")</f>
        <v>#REF!</v>
      </c>
      <c r="I279" s="5" t="e">
        <f>IF((COUNTIFS(#REF!,$C279,#REF!,I$1))&gt;=1,"SIM","")</f>
        <v>#REF!</v>
      </c>
      <c r="J279" s="5" t="e">
        <f>IF((COUNTIFS(#REF!,$C279,#REF!,J$1))&gt;=1,"SIM","")</f>
        <v>#REF!</v>
      </c>
      <c r="K279" s="5" t="e">
        <f>IF((COUNTIFS(#REF!,$C279,#REF!,K$1))&gt;=1,"SIM","")</f>
        <v>#REF!</v>
      </c>
      <c r="L279" s="5" t="e">
        <f>IF((COUNTIFS(#REF!,$C279,#REF!,L$1))&gt;=1,"SIM","")</f>
        <v>#REF!</v>
      </c>
      <c r="M279" s="5" t="e">
        <f>IF((COUNTIFS(#REF!,$C279,#REF!,M$1))&gt;=1,"SIM","")</f>
        <v>#REF!</v>
      </c>
      <c r="N279" s="5" t="e">
        <f>IF((COUNTIFS(#REF!,$C279,#REF!,N$1))&gt;=1,"SIM","")</f>
        <v>#REF!</v>
      </c>
      <c r="O279" s="5"/>
      <c r="P279" s="5" t="e">
        <f>IF((COUNTIFS(#REF!,$C279,#REF!,P$1))&gt;=1,"SIM","")</f>
        <v>#REF!</v>
      </c>
      <c r="Q279" s="5" t="e">
        <f>IF((COUNTIFS(#REF!,$C279,#REF!,Q$1))&gt;=1,"SIM","")</f>
        <v>#REF!</v>
      </c>
      <c r="R279" s="5" t="e">
        <f>IF((COUNTIFS(#REF!,$C279,#REF!,"*CARTA*"))&gt;=1,"SIM","")</f>
        <v>#REF!</v>
      </c>
      <c r="S279" s="5" t="e">
        <f>IF((COUNTIFS(#REF!,$C279,#REF!,"*CARTA NOTIFICAÇÃO/DEVOL*"))&gt;=1,"SIM","")</f>
        <v>#REF!</v>
      </c>
      <c r="T279" s="5" t="e">
        <f>IF((COUNTIFS(#REF!,$C279,#REF!,"*LIGAÇÃO ATIVA DEV PRIN/LOC*"))&gt;=1,"SIM","")</f>
        <v>#REF!</v>
      </c>
    </row>
    <row r="280" spans="1:20">
      <c r="A280" s="24" t="s">
        <v>2159</v>
      </c>
      <c r="B280" s="24" t="s">
        <v>1755</v>
      </c>
      <c r="C280" s="24" t="s">
        <v>1461</v>
      </c>
      <c r="D280" s="5" t="e">
        <f>IF((COUNTIFS(#REF!,$C280,#REF!,"*163*"))&gt;=1,"SIM","")</f>
        <v>#REF!</v>
      </c>
      <c r="E280" s="5" t="e">
        <f>IF((COUNTIFS(#REF!,$C280,#REF!,E$1))&gt;=1,"SIM","")</f>
        <v>#REF!</v>
      </c>
      <c r="F280" s="5" t="e">
        <f>IF((COUNTIFS(#REF!,$C280,#REF!,F$1))&gt;=1,"SIM","")</f>
        <v>#REF!</v>
      </c>
      <c r="G280" s="5" t="e">
        <f>IF((COUNTIFS(#REF!,$C280,#REF!,"*606*"))&gt;=1,"SIM","")</f>
        <v>#REF!</v>
      </c>
      <c r="H280" s="5" t="e">
        <f>IF((COUNTIFS(#REF!,$C280,#REF!,"*605*"))&gt;=1,"SIM","")</f>
        <v>#REF!</v>
      </c>
      <c r="I280" s="5" t="e">
        <f>IF((COUNTIFS(#REF!,$C280,#REF!,I$1))&gt;=1,"SIM","")</f>
        <v>#REF!</v>
      </c>
      <c r="J280" s="5" t="e">
        <f>IF((COUNTIFS(#REF!,$C280,#REF!,J$1))&gt;=1,"SIM","")</f>
        <v>#REF!</v>
      </c>
      <c r="K280" s="5" t="e">
        <f>IF((COUNTIFS(#REF!,$C280,#REF!,K$1))&gt;=1,"SIM","")</f>
        <v>#REF!</v>
      </c>
      <c r="L280" s="5" t="e">
        <f>IF((COUNTIFS(#REF!,$C280,#REF!,L$1))&gt;=1,"SIM","")</f>
        <v>#REF!</v>
      </c>
      <c r="M280" s="5" t="e">
        <f>IF((COUNTIFS(#REF!,$C280,#REF!,M$1))&gt;=1,"SIM","")</f>
        <v>#REF!</v>
      </c>
      <c r="N280" s="5" t="e">
        <f>IF((COUNTIFS(#REF!,$C280,#REF!,N$1))&gt;=1,"SIM","")</f>
        <v>#REF!</v>
      </c>
      <c r="O280" s="5"/>
      <c r="P280" s="5" t="e">
        <f>IF((COUNTIFS(#REF!,$C280,#REF!,P$1))&gt;=1,"SIM","")</f>
        <v>#REF!</v>
      </c>
      <c r="Q280" s="5" t="e">
        <f>IF((COUNTIFS(#REF!,$C280,#REF!,Q$1))&gt;=1,"SIM","")</f>
        <v>#REF!</v>
      </c>
      <c r="R280" s="5" t="e">
        <f>IF((COUNTIFS(#REF!,$C280,#REF!,"*CARTA*"))&gt;=1,"SIM","")</f>
        <v>#REF!</v>
      </c>
      <c r="S280" s="5" t="e">
        <f>IF((COUNTIFS(#REF!,$C280,#REF!,"*CARTA NOTIFICAÇÃO/DEVOL*"))&gt;=1,"SIM","")</f>
        <v>#REF!</v>
      </c>
      <c r="T280" s="5" t="e">
        <f>IF((COUNTIFS(#REF!,$C280,#REF!,"*LIGAÇÃO ATIVA DEV PRIN/LOC*"))&gt;=1,"SIM","")</f>
        <v>#REF!</v>
      </c>
    </row>
    <row r="281" spans="1:20">
      <c r="A281" s="24" t="s">
        <v>2159</v>
      </c>
      <c r="B281" s="24" t="s">
        <v>1460</v>
      </c>
      <c r="C281" s="24" t="s">
        <v>1461</v>
      </c>
      <c r="D281" s="5" t="e">
        <f>IF((COUNTIFS(#REF!,$C281,#REF!,"*163*"))&gt;=1,"SIM","")</f>
        <v>#REF!</v>
      </c>
      <c r="E281" s="5" t="e">
        <f>IF((COUNTIFS(#REF!,$C281,#REF!,E$1))&gt;=1,"SIM","")</f>
        <v>#REF!</v>
      </c>
      <c r="F281" s="5" t="e">
        <f>IF((COUNTIFS(#REF!,$C281,#REF!,F$1))&gt;=1,"SIM","")</f>
        <v>#REF!</v>
      </c>
      <c r="G281" s="5" t="e">
        <f>IF((COUNTIFS(#REF!,$C281,#REF!,"*606*"))&gt;=1,"SIM","")</f>
        <v>#REF!</v>
      </c>
      <c r="H281" s="5" t="e">
        <f>IF((COUNTIFS(#REF!,$C281,#REF!,"*605*"))&gt;=1,"SIM","")</f>
        <v>#REF!</v>
      </c>
      <c r="I281" s="5" t="e">
        <f>IF((COUNTIFS(#REF!,$C281,#REF!,I$1))&gt;=1,"SIM","")</f>
        <v>#REF!</v>
      </c>
      <c r="J281" s="5" t="e">
        <f>IF((COUNTIFS(#REF!,$C281,#REF!,J$1))&gt;=1,"SIM","")</f>
        <v>#REF!</v>
      </c>
      <c r="K281" s="5" t="e">
        <f>IF((COUNTIFS(#REF!,$C281,#REF!,K$1))&gt;=1,"SIM","")</f>
        <v>#REF!</v>
      </c>
      <c r="L281" s="5" t="e">
        <f>IF((COUNTIFS(#REF!,$C281,#REF!,L$1))&gt;=1,"SIM","")</f>
        <v>#REF!</v>
      </c>
      <c r="M281" s="5" t="e">
        <f>IF((COUNTIFS(#REF!,$C281,#REF!,M$1))&gt;=1,"SIM","")</f>
        <v>#REF!</v>
      </c>
      <c r="N281" s="5" t="e">
        <f>IF((COUNTIFS(#REF!,$C281,#REF!,N$1))&gt;=1,"SIM","")</f>
        <v>#REF!</v>
      </c>
      <c r="O281" s="5"/>
      <c r="P281" s="5" t="e">
        <f>IF((COUNTIFS(#REF!,$C281,#REF!,P$1))&gt;=1,"SIM","")</f>
        <v>#REF!</v>
      </c>
      <c r="Q281" s="5" t="e">
        <f>IF((COUNTIFS(#REF!,$C281,#REF!,Q$1))&gt;=1,"SIM","")</f>
        <v>#REF!</v>
      </c>
      <c r="R281" s="5" t="e">
        <f>IF((COUNTIFS(#REF!,$C281,#REF!,"*CARTA*"))&gt;=1,"SIM","")</f>
        <v>#REF!</v>
      </c>
      <c r="S281" s="5" t="e">
        <f>IF((COUNTIFS(#REF!,$C281,#REF!,"*CARTA NOTIFICAÇÃO/DEVOL*"))&gt;=1,"SIM","")</f>
        <v>#REF!</v>
      </c>
      <c r="T281" s="5" t="e">
        <f>IF((COUNTIFS(#REF!,$C281,#REF!,"*LIGAÇÃO ATIVA DEV PRIN/LOC*"))&gt;=1,"SIM","")</f>
        <v>#REF!</v>
      </c>
    </row>
    <row r="282" spans="1:20">
      <c r="A282" s="24" t="s">
        <v>2159</v>
      </c>
      <c r="B282" s="24" t="s">
        <v>1754</v>
      </c>
      <c r="C282" s="24" t="s">
        <v>1289</v>
      </c>
      <c r="D282" s="5" t="e">
        <f>IF((COUNTIFS(#REF!,$C282,#REF!,"*163*"))&gt;=1,"SIM","")</f>
        <v>#REF!</v>
      </c>
      <c r="E282" s="5" t="e">
        <f>IF((COUNTIFS(#REF!,$C282,#REF!,E$1))&gt;=1,"SIM","")</f>
        <v>#REF!</v>
      </c>
      <c r="F282" s="5" t="e">
        <f>IF((COUNTIFS(#REF!,$C282,#REF!,F$1))&gt;=1,"SIM","")</f>
        <v>#REF!</v>
      </c>
      <c r="G282" s="5" t="e">
        <f>IF((COUNTIFS(#REF!,$C282,#REF!,"*606*"))&gt;=1,"SIM","")</f>
        <v>#REF!</v>
      </c>
      <c r="H282" s="5" t="e">
        <f>IF((COUNTIFS(#REF!,$C282,#REF!,"*605*"))&gt;=1,"SIM","")</f>
        <v>#REF!</v>
      </c>
      <c r="I282" s="5" t="e">
        <f>IF((COUNTIFS(#REF!,$C282,#REF!,I$1))&gt;=1,"SIM","")</f>
        <v>#REF!</v>
      </c>
      <c r="J282" s="5" t="e">
        <f>IF((COUNTIFS(#REF!,$C282,#REF!,J$1))&gt;=1,"SIM","")</f>
        <v>#REF!</v>
      </c>
      <c r="K282" s="5" t="e">
        <f>IF((COUNTIFS(#REF!,$C282,#REF!,K$1))&gt;=1,"SIM","")</f>
        <v>#REF!</v>
      </c>
      <c r="L282" s="5" t="e">
        <f>IF((COUNTIFS(#REF!,$C282,#REF!,L$1))&gt;=1,"SIM","")</f>
        <v>#REF!</v>
      </c>
      <c r="M282" s="5" t="e">
        <f>IF((COUNTIFS(#REF!,$C282,#REF!,M$1))&gt;=1,"SIM","")</f>
        <v>#REF!</v>
      </c>
      <c r="N282" s="5" t="e">
        <f>IF((COUNTIFS(#REF!,$C282,#REF!,N$1))&gt;=1,"SIM","")</f>
        <v>#REF!</v>
      </c>
      <c r="O282" s="5"/>
      <c r="P282" s="5" t="e">
        <f>IF((COUNTIFS(#REF!,$C282,#REF!,P$1))&gt;=1,"SIM","")</f>
        <v>#REF!</v>
      </c>
      <c r="Q282" s="5" t="e">
        <f>IF((COUNTIFS(#REF!,$C282,#REF!,Q$1))&gt;=1,"SIM","")</f>
        <v>#REF!</v>
      </c>
      <c r="R282" s="5" t="e">
        <f>IF((COUNTIFS(#REF!,$C282,#REF!,"*CARTA*"))&gt;=1,"SIM","")</f>
        <v>#REF!</v>
      </c>
      <c r="S282" s="5" t="e">
        <f>IF((COUNTIFS(#REF!,$C282,#REF!,"*CARTA NOTIFICAÇÃO/DEVOL*"))&gt;=1,"SIM","")</f>
        <v>#REF!</v>
      </c>
      <c r="T282" s="5" t="e">
        <f>IF((COUNTIFS(#REF!,$C282,#REF!,"*LIGAÇÃO ATIVA DEV PRIN/LOC*"))&gt;=1,"SIM","")</f>
        <v>#REF!</v>
      </c>
    </row>
    <row r="283" spans="1:20">
      <c r="A283" s="24" t="s">
        <v>2159</v>
      </c>
      <c r="B283" s="24" t="s">
        <v>1288</v>
      </c>
      <c r="C283" s="24" t="s">
        <v>1289</v>
      </c>
      <c r="D283" s="5" t="e">
        <f>IF((COUNTIFS(#REF!,$C283,#REF!,"*163*"))&gt;=1,"SIM","")</f>
        <v>#REF!</v>
      </c>
      <c r="E283" s="5" t="e">
        <f>IF((COUNTIFS(#REF!,$C283,#REF!,E$1))&gt;=1,"SIM","")</f>
        <v>#REF!</v>
      </c>
      <c r="F283" s="5" t="e">
        <f>IF((COUNTIFS(#REF!,$C283,#REF!,F$1))&gt;=1,"SIM","")</f>
        <v>#REF!</v>
      </c>
      <c r="G283" s="5" t="e">
        <f>IF((COUNTIFS(#REF!,$C283,#REF!,"*606*"))&gt;=1,"SIM","")</f>
        <v>#REF!</v>
      </c>
      <c r="H283" s="5" t="e">
        <f>IF((COUNTIFS(#REF!,$C283,#REF!,"*605*"))&gt;=1,"SIM","")</f>
        <v>#REF!</v>
      </c>
      <c r="I283" s="5" t="e">
        <f>IF((COUNTIFS(#REF!,$C283,#REF!,I$1))&gt;=1,"SIM","")</f>
        <v>#REF!</v>
      </c>
      <c r="J283" s="5" t="e">
        <f>IF((COUNTIFS(#REF!,$C283,#REF!,J$1))&gt;=1,"SIM","")</f>
        <v>#REF!</v>
      </c>
      <c r="K283" s="5" t="e">
        <f>IF((COUNTIFS(#REF!,$C283,#REF!,K$1))&gt;=1,"SIM","")</f>
        <v>#REF!</v>
      </c>
      <c r="L283" s="5" t="e">
        <f>IF((COUNTIFS(#REF!,$C283,#REF!,L$1))&gt;=1,"SIM","")</f>
        <v>#REF!</v>
      </c>
      <c r="M283" s="5" t="e">
        <f>IF((COUNTIFS(#REF!,$C283,#REF!,M$1))&gt;=1,"SIM","")</f>
        <v>#REF!</v>
      </c>
      <c r="N283" s="5" t="e">
        <f>IF((COUNTIFS(#REF!,$C283,#REF!,N$1))&gt;=1,"SIM","")</f>
        <v>#REF!</v>
      </c>
      <c r="O283" s="5"/>
      <c r="P283" s="5" t="e">
        <f>IF((COUNTIFS(#REF!,$C283,#REF!,P$1))&gt;=1,"SIM","")</f>
        <v>#REF!</v>
      </c>
      <c r="Q283" s="5" t="e">
        <f>IF((COUNTIFS(#REF!,$C283,#REF!,Q$1))&gt;=1,"SIM","")</f>
        <v>#REF!</v>
      </c>
      <c r="R283" s="5" t="e">
        <f>IF((COUNTIFS(#REF!,$C283,#REF!,"*CARTA*"))&gt;=1,"SIM","")</f>
        <v>#REF!</v>
      </c>
      <c r="S283" s="5" t="e">
        <f>IF((COUNTIFS(#REF!,$C283,#REF!,"*CARTA NOTIFICAÇÃO/DEVOL*"))&gt;=1,"SIM","")</f>
        <v>#REF!</v>
      </c>
      <c r="T283" s="5" t="e">
        <f>IF((COUNTIFS(#REF!,$C283,#REF!,"*LIGAÇÃO ATIVA DEV PRIN/LOC*"))&gt;=1,"SIM","")</f>
        <v>#REF!</v>
      </c>
    </row>
    <row r="284" spans="1:20">
      <c r="A284" s="24" t="s">
        <v>2159</v>
      </c>
      <c r="B284" s="24" t="s">
        <v>1529</v>
      </c>
      <c r="C284" s="24" t="s">
        <v>1530</v>
      </c>
      <c r="D284" s="5" t="e">
        <f>IF((COUNTIFS(#REF!,$C284,#REF!,"*163*"))&gt;=1,"SIM","")</f>
        <v>#REF!</v>
      </c>
      <c r="E284" s="5" t="e">
        <f>IF((COUNTIFS(#REF!,$C284,#REF!,E$1))&gt;=1,"SIM","")</f>
        <v>#REF!</v>
      </c>
      <c r="F284" s="5" t="e">
        <f>IF((COUNTIFS(#REF!,$C284,#REF!,F$1))&gt;=1,"SIM","")</f>
        <v>#REF!</v>
      </c>
      <c r="G284" s="5" t="e">
        <f>IF((COUNTIFS(#REF!,$C284,#REF!,"*606*"))&gt;=1,"SIM","")</f>
        <v>#REF!</v>
      </c>
      <c r="H284" s="5" t="e">
        <f>IF((COUNTIFS(#REF!,$C284,#REF!,"*605*"))&gt;=1,"SIM","")</f>
        <v>#REF!</v>
      </c>
      <c r="I284" s="5" t="e">
        <f>IF((COUNTIFS(#REF!,$C284,#REF!,I$1))&gt;=1,"SIM","")</f>
        <v>#REF!</v>
      </c>
      <c r="J284" s="5" t="e">
        <f>IF((COUNTIFS(#REF!,$C284,#REF!,J$1))&gt;=1,"SIM","")</f>
        <v>#REF!</v>
      </c>
      <c r="K284" s="5" t="e">
        <f>IF((COUNTIFS(#REF!,$C284,#REF!,K$1))&gt;=1,"SIM","")</f>
        <v>#REF!</v>
      </c>
      <c r="L284" s="5" t="e">
        <f>IF((COUNTIFS(#REF!,$C284,#REF!,L$1))&gt;=1,"SIM","")</f>
        <v>#REF!</v>
      </c>
      <c r="M284" s="5" t="e">
        <f>IF((COUNTIFS(#REF!,$C284,#REF!,M$1))&gt;=1,"SIM","")</f>
        <v>#REF!</v>
      </c>
      <c r="N284" s="5" t="e">
        <f>IF((COUNTIFS(#REF!,$C284,#REF!,N$1))&gt;=1,"SIM","")</f>
        <v>#REF!</v>
      </c>
      <c r="O284" s="5"/>
      <c r="P284" s="5" t="e">
        <f>IF((COUNTIFS(#REF!,$C284,#REF!,P$1))&gt;=1,"SIM","")</f>
        <v>#REF!</v>
      </c>
      <c r="Q284" s="5" t="e">
        <f>IF((COUNTIFS(#REF!,$C284,#REF!,Q$1))&gt;=1,"SIM","")</f>
        <v>#REF!</v>
      </c>
      <c r="R284" s="5" t="e">
        <f>IF((COUNTIFS(#REF!,$C284,#REF!,"*CARTA*"))&gt;=1,"SIM","")</f>
        <v>#REF!</v>
      </c>
      <c r="S284" s="5" t="e">
        <f>IF((COUNTIFS(#REF!,$C284,#REF!,"*CARTA NOTIFICAÇÃO/DEVOL*"))&gt;=1,"SIM","")</f>
        <v>#REF!</v>
      </c>
      <c r="T284" s="5" t="e">
        <f>IF((COUNTIFS(#REF!,$C284,#REF!,"*LIGAÇÃO ATIVA DEV PRIN/LOC*"))&gt;=1,"SIM","")</f>
        <v>#REF!</v>
      </c>
    </row>
    <row r="285" spans="1:20">
      <c r="A285" s="24" t="s">
        <v>2157</v>
      </c>
      <c r="B285" s="24" t="s">
        <v>785</v>
      </c>
      <c r="C285" s="24" t="s">
        <v>786</v>
      </c>
      <c r="D285" s="5" t="e">
        <f>IF((COUNTIFS(#REF!,$C285,#REF!,"*163*"))&gt;=1,"SIM","")</f>
        <v>#REF!</v>
      </c>
      <c r="E285" s="5" t="e">
        <f>IF((COUNTIFS(#REF!,$C285,#REF!,E$1))&gt;=1,"SIM","")</f>
        <v>#REF!</v>
      </c>
      <c r="F285" s="5" t="e">
        <f>IF((COUNTIFS(#REF!,$C285,#REF!,F$1))&gt;=1,"SIM","")</f>
        <v>#REF!</v>
      </c>
      <c r="G285" s="5" t="e">
        <f>IF((COUNTIFS(#REF!,$C285,#REF!,"*606*"))&gt;=1,"SIM","")</f>
        <v>#REF!</v>
      </c>
      <c r="H285" s="5" t="e">
        <f>IF((COUNTIFS(#REF!,$C285,#REF!,"*605*"))&gt;=1,"SIM","")</f>
        <v>#REF!</v>
      </c>
      <c r="I285" s="5" t="e">
        <f>IF((COUNTIFS(#REF!,$C285,#REF!,I$1))&gt;=1,"SIM","")</f>
        <v>#REF!</v>
      </c>
      <c r="J285" s="5" t="e">
        <f>IF((COUNTIFS(#REF!,$C285,#REF!,J$1))&gt;=1,"SIM","")</f>
        <v>#REF!</v>
      </c>
      <c r="K285" s="5" t="e">
        <f>IF((COUNTIFS(#REF!,$C285,#REF!,K$1))&gt;=1,"SIM","")</f>
        <v>#REF!</v>
      </c>
      <c r="L285" s="5" t="e">
        <f>IF((COUNTIFS(#REF!,$C285,#REF!,L$1))&gt;=1,"SIM","")</f>
        <v>#REF!</v>
      </c>
      <c r="M285" s="5" t="e">
        <f>IF((COUNTIFS(#REF!,$C285,#REF!,M$1))&gt;=1,"SIM","")</f>
        <v>#REF!</v>
      </c>
      <c r="N285" s="5" t="e">
        <f>IF((COUNTIFS(#REF!,$C285,#REF!,N$1))&gt;=1,"SIM","")</f>
        <v>#REF!</v>
      </c>
      <c r="O285" s="5"/>
      <c r="P285" s="5" t="e">
        <f>IF((COUNTIFS(#REF!,$C285,#REF!,P$1))&gt;=1,"SIM","")</f>
        <v>#REF!</v>
      </c>
      <c r="Q285" s="5" t="e">
        <f>IF((COUNTIFS(#REF!,$C285,#REF!,Q$1))&gt;=1,"SIM","")</f>
        <v>#REF!</v>
      </c>
      <c r="R285" s="5" t="e">
        <f>IF((COUNTIFS(#REF!,$C285,#REF!,"*CARTA*"))&gt;=1,"SIM","")</f>
        <v>#REF!</v>
      </c>
      <c r="S285" s="5" t="e">
        <f>IF((COUNTIFS(#REF!,$C285,#REF!,"*CARTA NOTIFICAÇÃO/DEVOL*"))&gt;=1,"SIM","")</f>
        <v>#REF!</v>
      </c>
      <c r="T285" s="5" t="e">
        <f>IF((COUNTIFS(#REF!,$C285,#REF!,"*LIGAÇÃO ATIVA DEV PRIN/LOC*"))&gt;=1,"SIM","")</f>
        <v>#REF!</v>
      </c>
    </row>
    <row r="286" spans="1:20">
      <c r="A286" s="24" t="s">
        <v>2158</v>
      </c>
      <c r="B286" s="24" t="s">
        <v>1768</v>
      </c>
      <c r="C286" s="24" t="s">
        <v>1769</v>
      </c>
      <c r="D286" s="5" t="e">
        <f>IF((COUNTIFS(#REF!,$C286,#REF!,"*163*"))&gt;=1,"SIM","")</f>
        <v>#REF!</v>
      </c>
      <c r="E286" s="5" t="e">
        <f>IF((COUNTIFS(#REF!,$C286,#REF!,E$1))&gt;=1,"SIM","")</f>
        <v>#REF!</v>
      </c>
      <c r="F286" s="5" t="e">
        <f>IF((COUNTIFS(#REF!,$C286,#REF!,F$1))&gt;=1,"SIM","")</f>
        <v>#REF!</v>
      </c>
      <c r="G286" s="5" t="e">
        <f>IF((COUNTIFS(#REF!,$C286,#REF!,"*606*"))&gt;=1,"SIM","")</f>
        <v>#REF!</v>
      </c>
      <c r="H286" s="5" t="e">
        <f>IF((COUNTIFS(#REF!,$C286,#REF!,"*605*"))&gt;=1,"SIM","")</f>
        <v>#REF!</v>
      </c>
      <c r="I286" s="5" t="e">
        <f>IF((COUNTIFS(#REF!,$C286,#REF!,I$1))&gt;=1,"SIM","")</f>
        <v>#REF!</v>
      </c>
      <c r="J286" s="5" t="e">
        <f>IF((COUNTIFS(#REF!,$C286,#REF!,J$1))&gt;=1,"SIM","")</f>
        <v>#REF!</v>
      </c>
      <c r="K286" s="5" t="e">
        <f>IF((COUNTIFS(#REF!,$C286,#REF!,K$1))&gt;=1,"SIM","")</f>
        <v>#REF!</v>
      </c>
      <c r="L286" s="5" t="e">
        <f>IF((COUNTIFS(#REF!,$C286,#REF!,L$1))&gt;=1,"SIM","")</f>
        <v>#REF!</v>
      </c>
      <c r="M286" s="5" t="e">
        <f>IF((COUNTIFS(#REF!,$C286,#REF!,M$1))&gt;=1,"SIM","")</f>
        <v>#REF!</v>
      </c>
      <c r="N286" s="5" t="e">
        <f>IF((COUNTIFS(#REF!,$C286,#REF!,N$1))&gt;=1,"SIM","")</f>
        <v>#REF!</v>
      </c>
      <c r="O286" s="5"/>
      <c r="P286" s="5" t="e">
        <f>IF((COUNTIFS(#REF!,$C286,#REF!,P$1))&gt;=1,"SIM","")</f>
        <v>#REF!</v>
      </c>
      <c r="Q286" s="5" t="e">
        <f>IF((COUNTIFS(#REF!,$C286,#REF!,Q$1))&gt;=1,"SIM","")</f>
        <v>#REF!</v>
      </c>
      <c r="R286" s="5" t="e">
        <f>IF((COUNTIFS(#REF!,$C286,#REF!,"*CARTA*"))&gt;=1,"SIM","")</f>
        <v>#REF!</v>
      </c>
      <c r="S286" s="5" t="e">
        <f>IF((COUNTIFS(#REF!,$C286,#REF!,"*CARTA NOTIFICAÇÃO/DEVOL*"))&gt;=1,"SIM","")</f>
        <v>#REF!</v>
      </c>
      <c r="T286" s="5" t="e">
        <f>IF((COUNTIFS(#REF!,$C286,#REF!,"*LIGAÇÃO ATIVA DEV PRIN/LOC*"))&gt;=1,"SIM","")</f>
        <v>#REF!</v>
      </c>
    </row>
    <row r="287" spans="1:20">
      <c r="A287" s="24" t="s">
        <v>2153</v>
      </c>
      <c r="B287" s="24" t="s">
        <v>1731</v>
      </c>
      <c r="C287" s="24" t="s">
        <v>1732</v>
      </c>
      <c r="D287" s="5" t="e">
        <f>IF((COUNTIFS(#REF!,$C287,#REF!,"*163*"))&gt;=1,"SIM","")</f>
        <v>#REF!</v>
      </c>
      <c r="E287" s="5" t="e">
        <f>IF((COUNTIFS(#REF!,$C287,#REF!,E$1))&gt;=1,"SIM","")</f>
        <v>#REF!</v>
      </c>
      <c r="F287" s="5" t="e">
        <f>IF((COUNTIFS(#REF!,$C287,#REF!,F$1))&gt;=1,"SIM","")</f>
        <v>#REF!</v>
      </c>
      <c r="G287" s="5" t="e">
        <f>IF((COUNTIFS(#REF!,$C287,#REF!,"*606*"))&gt;=1,"SIM","")</f>
        <v>#REF!</v>
      </c>
      <c r="H287" s="5" t="e">
        <f>IF((COUNTIFS(#REF!,$C287,#REF!,"*605*"))&gt;=1,"SIM","")</f>
        <v>#REF!</v>
      </c>
      <c r="I287" s="5" t="e">
        <f>IF((COUNTIFS(#REF!,$C287,#REF!,I$1))&gt;=1,"SIM","")</f>
        <v>#REF!</v>
      </c>
      <c r="J287" s="5" t="e">
        <f>IF((COUNTIFS(#REF!,$C287,#REF!,J$1))&gt;=1,"SIM","")</f>
        <v>#REF!</v>
      </c>
      <c r="K287" s="5" t="e">
        <f>IF((COUNTIFS(#REF!,$C287,#REF!,K$1))&gt;=1,"SIM","")</f>
        <v>#REF!</v>
      </c>
      <c r="L287" s="5" t="e">
        <f>IF((COUNTIFS(#REF!,$C287,#REF!,L$1))&gt;=1,"SIM","")</f>
        <v>#REF!</v>
      </c>
      <c r="M287" s="5" t="e">
        <f>IF((COUNTIFS(#REF!,$C287,#REF!,M$1))&gt;=1,"SIM","")</f>
        <v>#REF!</v>
      </c>
      <c r="N287" s="5" t="e">
        <f>IF((COUNTIFS(#REF!,$C287,#REF!,N$1))&gt;=1,"SIM","")</f>
        <v>#REF!</v>
      </c>
      <c r="O287" s="5"/>
      <c r="P287" s="5" t="e">
        <f>IF((COUNTIFS(#REF!,$C287,#REF!,P$1))&gt;=1,"SIM","")</f>
        <v>#REF!</v>
      </c>
      <c r="Q287" s="5" t="e">
        <f>IF((COUNTIFS(#REF!,$C287,#REF!,Q$1))&gt;=1,"SIM","")</f>
        <v>#REF!</v>
      </c>
      <c r="R287" s="5" t="e">
        <f>IF((COUNTIFS(#REF!,$C287,#REF!,"*CARTA*"))&gt;=1,"SIM","")</f>
        <v>#REF!</v>
      </c>
      <c r="S287" s="5" t="e">
        <f>IF((COUNTIFS(#REF!,$C287,#REF!,"*CARTA NOTIFICAÇÃO/DEVOL*"))&gt;=1,"SIM","")</f>
        <v>#REF!</v>
      </c>
      <c r="T287" s="5" t="e">
        <f>IF((COUNTIFS(#REF!,$C287,#REF!,"*LIGAÇÃO ATIVA DEV PRIN/LOC*"))&gt;=1,"SIM","")</f>
        <v>#REF!</v>
      </c>
    </row>
    <row r="288" spans="1:20">
      <c r="A288" s="24" t="s">
        <v>2153</v>
      </c>
      <c r="B288" s="24" t="s">
        <v>530</v>
      </c>
      <c r="C288" s="24" t="s">
        <v>531</v>
      </c>
      <c r="D288" s="5" t="e">
        <f>IF((COUNTIFS(#REF!,$C288,#REF!,"*163*"))&gt;=1,"SIM","")</f>
        <v>#REF!</v>
      </c>
      <c r="E288" s="5" t="e">
        <f>IF((COUNTIFS(#REF!,$C288,#REF!,E$1))&gt;=1,"SIM","")</f>
        <v>#REF!</v>
      </c>
      <c r="F288" s="5" t="e">
        <f>IF((COUNTIFS(#REF!,$C288,#REF!,F$1))&gt;=1,"SIM","")</f>
        <v>#REF!</v>
      </c>
      <c r="G288" s="5" t="e">
        <f>IF((COUNTIFS(#REF!,$C288,#REF!,"*606*"))&gt;=1,"SIM","")</f>
        <v>#REF!</v>
      </c>
      <c r="H288" s="5" t="e">
        <f>IF((COUNTIFS(#REF!,$C288,#REF!,"*605*"))&gt;=1,"SIM","")</f>
        <v>#REF!</v>
      </c>
      <c r="I288" s="5" t="e">
        <f>IF((COUNTIFS(#REF!,$C288,#REF!,I$1))&gt;=1,"SIM","")</f>
        <v>#REF!</v>
      </c>
      <c r="J288" s="5" t="e">
        <f>IF((COUNTIFS(#REF!,$C288,#REF!,J$1))&gt;=1,"SIM","")</f>
        <v>#REF!</v>
      </c>
      <c r="K288" s="5" t="e">
        <f>IF((COUNTIFS(#REF!,$C288,#REF!,K$1))&gt;=1,"SIM","")</f>
        <v>#REF!</v>
      </c>
      <c r="L288" s="5" t="e">
        <f>IF((COUNTIFS(#REF!,$C288,#REF!,L$1))&gt;=1,"SIM","")</f>
        <v>#REF!</v>
      </c>
      <c r="M288" s="5" t="e">
        <f>IF((COUNTIFS(#REF!,$C288,#REF!,M$1))&gt;=1,"SIM","")</f>
        <v>#REF!</v>
      </c>
      <c r="N288" s="5" t="e">
        <f>IF((COUNTIFS(#REF!,$C288,#REF!,N$1))&gt;=1,"SIM","")</f>
        <v>#REF!</v>
      </c>
      <c r="O288" s="5"/>
      <c r="P288" s="5" t="e">
        <f>IF((COUNTIFS(#REF!,$C288,#REF!,P$1))&gt;=1,"SIM","")</f>
        <v>#REF!</v>
      </c>
      <c r="Q288" s="5" t="e">
        <f>IF((COUNTIFS(#REF!,$C288,#REF!,Q$1))&gt;=1,"SIM","")</f>
        <v>#REF!</v>
      </c>
      <c r="R288" s="5" t="e">
        <f>IF((COUNTIFS(#REF!,$C288,#REF!,"*CARTA*"))&gt;=1,"SIM","")</f>
        <v>#REF!</v>
      </c>
      <c r="S288" s="5" t="e">
        <f>IF((COUNTIFS(#REF!,$C288,#REF!,"*CARTA NOTIFICAÇÃO/DEVOL*"))&gt;=1,"SIM","")</f>
        <v>#REF!</v>
      </c>
      <c r="T288" s="5" t="e">
        <f>IF((COUNTIFS(#REF!,$C288,#REF!,"*LIGAÇÃO ATIVA DEV PRIN/LOC*"))&gt;=1,"SIM","")</f>
        <v>#REF!</v>
      </c>
    </row>
    <row r="289" spans="1:20">
      <c r="A289" s="24" t="s">
        <v>2157</v>
      </c>
      <c r="B289" s="24" t="s">
        <v>812</v>
      </c>
      <c r="C289" s="24" t="s">
        <v>813</v>
      </c>
      <c r="D289" s="5" t="e">
        <f>IF((COUNTIFS(#REF!,$C289,#REF!,"*163*"))&gt;=1,"SIM","")</f>
        <v>#REF!</v>
      </c>
      <c r="E289" s="5" t="e">
        <f>IF((COUNTIFS(#REF!,$C289,#REF!,E$1))&gt;=1,"SIM","")</f>
        <v>#REF!</v>
      </c>
      <c r="F289" s="5" t="e">
        <f>IF((COUNTIFS(#REF!,$C289,#REF!,F$1))&gt;=1,"SIM","")</f>
        <v>#REF!</v>
      </c>
      <c r="G289" s="5" t="e">
        <f>IF((COUNTIFS(#REF!,$C289,#REF!,"*606*"))&gt;=1,"SIM","")</f>
        <v>#REF!</v>
      </c>
      <c r="H289" s="5" t="e">
        <f>IF((COUNTIFS(#REF!,$C289,#REF!,"*605*"))&gt;=1,"SIM","")</f>
        <v>#REF!</v>
      </c>
      <c r="I289" s="5" t="e">
        <f>IF((COUNTIFS(#REF!,$C289,#REF!,I$1))&gt;=1,"SIM","")</f>
        <v>#REF!</v>
      </c>
      <c r="J289" s="5" t="e">
        <f>IF((COUNTIFS(#REF!,$C289,#REF!,J$1))&gt;=1,"SIM","")</f>
        <v>#REF!</v>
      </c>
      <c r="K289" s="5" t="e">
        <f>IF((COUNTIFS(#REF!,$C289,#REF!,K$1))&gt;=1,"SIM","")</f>
        <v>#REF!</v>
      </c>
      <c r="L289" s="5" t="e">
        <f>IF((COUNTIFS(#REF!,$C289,#REF!,L$1))&gt;=1,"SIM","")</f>
        <v>#REF!</v>
      </c>
      <c r="M289" s="5" t="e">
        <f>IF((COUNTIFS(#REF!,$C289,#REF!,M$1))&gt;=1,"SIM","")</f>
        <v>#REF!</v>
      </c>
      <c r="N289" s="5" t="e">
        <f>IF((COUNTIFS(#REF!,$C289,#REF!,N$1))&gt;=1,"SIM","")</f>
        <v>#REF!</v>
      </c>
      <c r="O289" s="5"/>
      <c r="P289" s="5" t="e">
        <f>IF((COUNTIFS(#REF!,$C289,#REF!,P$1))&gt;=1,"SIM","")</f>
        <v>#REF!</v>
      </c>
      <c r="Q289" s="5" t="e">
        <f>IF((COUNTIFS(#REF!,$C289,#REF!,Q$1))&gt;=1,"SIM","")</f>
        <v>#REF!</v>
      </c>
      <c r="R289" s="5" t="e">
        <f>IF((COUNTIFS(#REF!,$C289,#REF!,"*CARTA*"))&gt;=1,"SIM","")</f>
        <v>#REF!</v>
      </c>
      <c r="S289" s="5" t="e">
        <f>IF((COUNTIFS(#REF!,$C289,#REF!,"*CARTA NOTIFICAÇÃO/DEVOL*"))&gt;=1,"SIM","")</f>
        <v>#REF!</v>
      </c>
      <c r="T289" s="5" t="e">
        <f>IF((COUNTIFS(#REF!,$C289,#REF!,"*LIGAÇÃO ATIVA DEV PRIN/LOC*"))&gt;=1,"SIM","")</f>
        <v>#REF!</v>
      </c>
    </row>
    <row r="290" spans="1:20">
      <c r="A290" s="24" t="s">
        <v>2153</v>
      </c>
      <c r="B290" s="24" t="s">
        <v>485</v>
      </c>
      <c r="C290" s="24" t="s">
        <v>486</v>
      </c>
      <c r="D290" s="5" t="e">
        <f>IF((COUNTIFS(#REF!,$C290,#REF!,"*163*"))&gt;=1,"SIM","")</f>
        <v>#REF!</v>
      </c>
      <c r="E290" s="5" t="e">
        <f>IF((COUNTIFS(#REF!,$C290,#REF!,E$1))&gt;=1,"SIM","")</f>
        <v>#REF!</v>
      </c>
      <c r="F290" s="5" t="e">
        <f>IF((COUNTIFS(#REF!,$C290,#REF!,F$1))&gt;=1,"SIM","")</f>
        <v>#REF!</v>
      </c>
      <c r="G290" s="5" t="e">
        <f>IF((COUNTIFS(#REF!,$C290,#REF!,"*606*"))&gt;=1,"SIM","")</f>
        <v>#REF!</v>
      </c>
      <c r="H290" s="5" t="e">
        <f>IF((COUNTIFS(#REF!,$C290,#REF!,"*605*"))&gt;=1,"SIM","")</f>
        <v>#REF!</v>
      </c>
      <c r="I290" s="5" t="e">
        <f>IF((COUNTIFS(#REF!,$C290,#REF!,I$1))&gt;=1,"SIM","")</f>
        <v>#REF!</v>
      </c>
      <c r="J290" s="5" t="e">
        <f>IF((COUNTIFS(#REF!,$C290,#REF!,J$1))&gt;=1,"SIM","")</f>
        <v>#REF!</v>
      </c>
      <c r="K290" s="5" t="e">
        <f>IF((COUNTIFS(#REF!,$C290,#REF!,K$1))&gt;=1,"SIM","")</f>
        <v>#REF!</v>
      </c>
      <c r="L290" s="5" t="e">
        <f>IF((COUNTIFS(#REF!,$C290,#REF!,L$1))&gt;=1,"SIM","")</f>
        <v>#REF!</v>
      </c>
      <c r="M290" s="5" t="e">
        <f>IF((COUNTIFS(#REF!,$C290,#REF!,M$1))&gt;=1,"SIM","")</f>
        <v>#REF!</v>
      </c>
      <c r="N290" s="5" t="e">
        <f>IF((COUNTIFS(#REF!,$C290,#REF!,N$1))&gt;=1,"SIM","")</f>
        <v>#REF!</v>
      </c>
      <c r="O290" s="5"/>
      <c r="P290" s="5" t="e">
        <f>IF((COUNTIFS(#REF!,$C290,#REF!,P$1))&gt;=1,"SIM","")</f>
        <v>#REF!</v>
      </c>
      <c r="Q290" s="5" t="e">
        <f>IF((COUNTIFS(#REF!,$C290,#REF!,Q$1))&gt;=1,"SIM","")</f>
        <v>#REF!</v>
      </c>
      <c r="R290" s="5" t="e">
        <f>IF((COUNTIFS(#REF!,$C290,#REF!,"*CARTA*"))&gt;=1,"SIM","")</f>
        <v>#REF!</v>
      </c>
      <c r="S290" s="5" t="e">
        <f>IF((COUNTIFS(#REF!,$C290,#REF!,"*CARTA NOTIFICAÇÃO/DEVOL*"))&gt;=1,"SIM","")</f>
        <v>#REF!</v>
      </c>
      <c r="T290" s="5" t="e">
        <f>IF((COUNTIFS(#REF!,$C290,#REF!,"*LIGAÇÃO ATIVA DEV PRIN/LOC*"))&gt;=1,"SIM","")</f>
        <v>#REF!</v>
      </c>
    </row>
    <row r="291" spans="1:20">
      <c r="A291" s="24" t="s">
        <v>2153</v>
      </c>
      <c r="B291" s="24" t="s">
        <v>487</v>
      </c>
      <c r="C291" s="24" t="s">
        <v>488</v>
      </c>
      <c r="D291" s="5" t="e">
        <f>IF((COUNTIFS(#REF!,$C291,#REF!,"*163*"))&gt;=1,"SIM","")</f>
        <v>#REF!</v>
      </c>
      <c r="E291" s="5" t="e">
        <f>IF((COUNTIFS(#REF!,$C291,#REF!,E$1))&gt;=1,"SIM","")</f>
        <v>#REF!</v>
      </c>
      <c r="F291" s="5" t="e">
        <f>IF((COUNTIFS(#REF!,$C291,#REF!,F$1))&gt;=1,"SIM","")</f>
        <v>#REF!</v>
      </c>
      <c r="G291" s="5" t="e">
        <f>IF((COUNTIFS(#REF!,$C291,#REF!,"*606*"))&gt;=1,"SIM","")</f>
        <v>#REF!</v>
      </c>
      <c r="H291" s="5" t="e">
        <f>IF((COUNTIFS(#REF!,$C291,#REF!,"*605*"))&gt;=1,"SIM","")</f>
        <v>#REF!</v>
      </c>
      <c r="I291" s="5" t="e">
        <f>IF((COUNTIFS(#REF!,$C291,#REF!,I$1))&gt;=1,"SIM","")</f>
        <v>#REF!</v>
      </c>
      <c r="J291" s="5" t="e">
        <f>IF((COUNTIFS(#REF!,$C291,#REF!,J$1))&gt;=1,"SIM","")</f>
        <v>#REF!</v>
      </c>
      <c r="K291" s="5" t="e">
        <f>IF((COUNTIFS(#REF!,$C291,#REF!,K$1))&gt;=1,"SIM","")</f>
        <v>#REF!</v>
      </c>
      <c r="L291" s="5" t="e">
        <f>IF((COUNTIFS(#REF!,$C291,#REF!,L$1))&gt;=1,"SIM","")</f>
        <v>#REF!</v>
      </c>
      <c r="M291" s="5" t="e">
        <f>IF((COUNTIFS(#REF!,$C291,#REF!,M$1))&gt;=1,"SIM","")</f>
        <v>#REF!</v>
      </c>
      <c r="N291" s="5" t="e">
        <f>IF((COUNTIFS(#REF!,$C291,#REF!,N$1))&gt;=1,"SIM","")</f>
        <v>#REF!</v>
      </c>
      <c r="O291" s="5"/>
      <c r="P291" s="5" t="e">
        <f>IF((COUNTIFS(#REF!,$C291,#REF!,P$1))&gt;=1,"SIM","")</f>
        <v>#REF!</v>
      </c>
      <c r="Q291" s="5" t="e">
        <f>IF((COUNTIFS(#REF!,$C291,#REF!,Q$1))&gt;=1,"SIM","")</f>
        <v>#REF!</v>
      </c>
      <c r="R291" s="5" t="e">
        <f>IF((COUNTIFS(#REF!,$C291,#REF!,"*CARTA*"))&gt;=1,"SIM","")</f>
        <v>#REF!</v>
      </c>
      <c r="S291" s="5" t="e">
        <f>IF((COUNTIFS(#REF!,$C291,#REF!,"*CARTA NOTIFICAÇÃO/DEVOL*"))&gt;=1,"SIM","")</f>
        <v>#REF!</v>
      </c>
      <c r="T291" s="5" t="e">
        <f>IF((COUNTIFS(#REF!,$C291,#REF!,"*LIGAÇÃO ATIVA DEV PRIN/LOC*"))&gt;=1,"SIM","")</f>
        <v>#REF!</v>
      </c>
    </row>
    <row r="292" spans="1:20">
      <c r="A292" s="24" t="s">
        <v>2155</v>
      </c>
      <c r="B292" s="24" t="s">
        <v>96</v>
      </c>
      <c r="C292" s="24" t="s">
        <v>97</v>
      </c>
      <c r="D292" s="5" t="e">
        <f>IF((COUNTIFS(#REF!,$C292,#REF!,"*163*"))&gt;=1,"SIM","")</f>
        <v>#REF!</v>
      </c>
      <c r="E292" s="5" t="e">
        <f>IF((COUNTIFS(#REF!,$C292,#REF!,E$1))&gt;=1,"SIM","")</f>
        <v>#REF!</v>
      </c>
      <c r="F292" s="5" t="e">
        <f>IF((COUNTIFS(#REF!,$C292,#REF!,F$1))&gt;=1,"SIM","")</f>
        <v>#REF!</v>
      </c>
      <c r="G292" s="5" t="e">
        <f>IF((COUNTIFS(#REF!,$C292,#REF!,"*606*"))&gt;=1,"SIM","")</f>
        <v>#REF!</v>
      </c>
      <c r="H292" s="5" t="e">
        <f>IF((COUNTIFS(#REF!,$C292,#REF!,"*605*"))&gt;=1,"SIM","")</f>
        <v>#REF!</v>
      </c>
      <c r="I292" s="5" t="e">
        <f>IF((COUNTIFS(#REF!,$C292,#REF!,I$1))&gt;=1,"SIM","")</f>
        <v>#REF!</v>
      </c>
      <c r="J292" s="5" t="e">
        <f>IF((COUNTIFS(#REF!,$C292,#REF!,J$1))&gt;=1,"SIM","")</f>
        <v>#REF!</v>
      </c>
      <c r="K292" s="5" t="e">
        <f>IF((COUNTIFS(#REF!,$C292,#REF!,K$1))&gt;=1,"SIM","")</f>
        <v>#REF!</v>
      </c>
      <c r="L292" s="5" t="e">
        <f>IF((COUNTIFS(#REF!,$C292,#REF!,L$1))&gt;=1,"SIM","")</f>
        <v>#REF!</v>
      </c>
      <c r="M292" s="5" t="e">
        <f>IF((COUNTIFS(#REF!,$C292,#REF!,M$1))&gt;=1,"SIM","")</f>
        <v>#REF!</v>
      </c>
      <c r="N292" s="5" t="e">
        <f>IF((COUNTIFS(#REF!,$C292,#REF!,N$1))&gt;=1,"SIM","")</f>
        <v>#REF!</v>
      </c>
      <c r="O292" s="5"/>
      <c r="P292" s="5" t="e">
        <f>IF((COUNTIFS(#REF!,$C292,#REF!,P$1))&gt;=1,"SIM","")</f>
        <v>#REF!</v>
      </c>
      <c r="Q292" s="5" t="e">
        <f>IF((COUNTIFS(#REF!,$C292,#REF!,Q$1))&gt;=1,"SIM","")</f>
        <v>#REF!</v>
      </c>
      <c r="R292" s="5" t="e">
        <f>IF((COUNTIFS(#REF!,$C292,#REF!,"*CARTA*"))&gt;=1,"SIM","")</f>
        <v>#REF!</v>
      </c>
      <c r="S292" s="5" t="e">
        <f>IF((COUNTIFS(#REF!,$C292,#REF!,"*CARTA NOTIFICAÇÃO/DEVOL*"))&gt;=1,"SIM","")</f>
        <v>#REF!</v>
      </c>
      <c r="T292" s="5" t="e">
        <f>IF((COUNTIFS(#REF!,$C292,#REF!,"*LIGAÇÃO ATIVA DEV PRIN/LOC*"))&gt;=1,"SIM","")</f>
        <v>#REF!</v>
      </c>
    </row>
    <row r="293" spans="1:20">
      <c r="A293" s="24" t="s">
        <v>2153</v>
      </c>
      <c r="B293" s="24" t="s">
        <v>96</v>
      </c>
      <c r="C293" s="24" t="s">
        <v>97</v>
      </c>
      <c r="D293" s="5" t="e">
        <f>IF((COUNTIFS(#REF!,$C293,#REF!,"*163*"))&gt;=1,"SIM","")</f>
        <v>#REF!</v>
      </c>
      <c r="E293" s="5" t="e">
        <f>IF((COUNTIFS(#REF!,$C293,#REF!,E$1))&gt;=1,"SIM","")</f>
        <v>#REF!</v>
      </c>
      <c r="F293" s="5" t="e">
        <f>IF((COUNTIFS(#REF!,$C293,#REF!,F$1))&gt;=1,"SIM","")</f>
        <v>#REF!</v>
      </c>
      <c r="G293" s="5" t="e">
        <f>IF((COUNTIFS(#REF!,$C293,#REF!,"*606*"))&gt;=1,"SIM","")</f>
        <v>#REF!</v>
      </c>
      <c r="H293" s="5" t="e">
        <f>IF((COUNTIFS(#REF!,$C293,#REF!,"*605*"))&gt;=1,"SIM","")</f>
        <v>#REF!</v>
      </c>
      <c r="I293" s="5" t="e">
        <f>IF((COUNTIFS(#REF!,$C293,#REF!,I$1))&gt;=1,"SIM","")</f>
        <v>#REF!</v>
      </c>
      <c r="J293" s="5" t="e">
        <f>IF((COUNTIFS(#REF!,$C293,#REF!,J$1))&gt;=1,"SIM","")</f>
        <v>#REF!</v>
      </c>
      <c r="K293" s="5" t="e">
        <f>IF((COUNTIFS(#REF!,$C293,#REF!,K$1))&gt;=1,"SIM","")</f>
        <v>#REF!</v>
      </c>
      <c r="L293" s="5" t="e">
        <f>IF((COUNTIFS(#REF!,$C293,#REF!,L$1))&gt;=1,"SIM","")</f>
        <v>#REF!</v>
      </c>
      <c r="M293" s="5" t="e">
        <f>IF((COUNTIFS(#REF!,$C293,#REF!,M$1))&gt;=1,"SIM","")</f>
        <v>#REF!</v>
      </c>
      <c r="N293" s="5" t="e">
        <f>IF((COUNTIFS(#REF!,$C293,#REF!,N$1))&gt;=1,"SIM","")</f>
        <v>#REF!</v>
      </c>
      <c r="O293" s="5"/>
      <c r="P293" s="5" t="e">
        <f>IF((COUNTIFS(#REF!,$C293,#REF!,P$1))&gt;=1,"SIM","")</f>
        <v>#REF!</v>
      </c>
      <c r="Q293" s="5" t="e">
        <f>IF((COUNTIFS(#REF!,$C293,#REF!,Q$1))&gt;=1,"SIM","")</f>
        <v>#REF!</v>
      </c>
      <c r="R293" s="5" t="e">
        <f>IF((COUNTIFS(#REF!,$C293,#REF!,"*CARTA*"))&gt;=1,"SIM","")</f>
        <v>#REF!</v>
      </c>
      <c r="S293" s="5" t="e">
        <f>IF((COUNTIFS(#REF!,$C293,#REF!,"*CARTA NOTIFICAÇÃO/DEVOL*"))&gt;=1,"SIM","")</f>
        <v>#REF!</v>
      </c>
      <c r="T293" s="5" t="e">
        <f>IF((COUNTIFS(#REF!,$C293,#REF!,"*LIGAÇÃO ATIVA DEV PRIN/LOC*"))&gt;=1,"SIM","")</f>
        <v>#REF!</v>
      </c>
    </row>
    <row r="294" spans="1:20">
      <c r="A294" s="24" t="s">
        <v>2158</v>
      </c>
      <c r="B294" s="24" t="s">
        <v>1083</v>
      </c>
      <c r="C294" s="24" t="s">
        <v>1084</v>
      </c>
      <c r="D294" s="5" t="e">
        <f>IF((COUNTIFS(#REF!,$C294,#REF!,"*163*"))&gt;=1,"SIM","")</f>
        <v>#REF!</v>
      </c>
      <c r="E294" s="5" t="e">
        <f>IF((COUNTIFS(#REF!,$C294,#REF!,E$1))&gt;=1,"SIM","")</f>
        <v>#REF!</v>
      </c>
      <c r="F294" s="5" t="e">
        <f>IF((COUNTIFS(#REF!,$C294,#REF!,F$1))&gt;=1,"SIM","")</f>
        <v>#REF!</v>
      </c>
      <c r="G294" s="5" t="e">
        <f>IF((COUNTIFS(#REF!,$C294,#REF!,"*606*"))&gt;=1,"SIM","")</f>
        <v>#REF!</v>
      </c>
      <c r="H294" s="5" t="e">
        <f>IF((COUNTIFS(#REF!,$C294,#REF!,"*605*"))&gt;=1,"SIM","")</f>
        <v>#REF!</v>
      </c>
      <c r="I294" s="5" t="e">
        <f>IF((COUNTIFS(#REF!,$C294,#REF!,I$1))&gt;=1,"SIM","")</f>
        <v>#REF!</v>
      </c>
      <c r="J294" s="5" t="e">
        <f>IF((COUNTIFS(#REF!,$C294,#REF!,J$1))&gt;=1,"SIM","")</f>
        <v>#REF!</v>
      </c>
      <c r="K294" s="5" t="e">
        <f>IF((COUNTIFS(#REF!,$C294,#REF!,K$1))&gt;=1,"SIM","")</f>
        <v>#REF!</v>
      </c>
      <c r="L294" s="5" t="e">
        <f>IF((COUNTIFS(#REF!,$C294,#REF!,L$1))&gt;=1,"SIM","")</f>
        <v>#REF!</v>
      </c>
      <c r="M294" s="5" t="e">
        <f>IF((COUNTIFS(#REF!,$C294,#REF!,M$1))&gt;=1,"SIM","")</f>
        <v>#REF!</v>
      </c>
      <c r="N294" s="5" t="e">
        <f>IF((COUNTIFS(#REF!,$C294,#REF!,N$1))&gt;=1,"SIM","")</f>
        <v>#REF!</v>
      </c>
      <c r="O294" s="5"/>
      <c r="P294" s="5" t="e">
        <f>IF((COUNTIFS(#REF!,$C294,#REF!,P$1))&gt;=1,"SIM","")</f>
        <v>#REF!</v>
      </c>
      <c r="Q294" s="5" t="e">
        <f>IF((COUNTIFS(#REF!,$C294,#REF!,Q$1))&gt;=1,"SIM","")</f>
        <v>#REF!</v>
      </c>
      <c r="R294" s="5" t="e">
        <f>IF((COUNTIFS(#REF!,$C294,#REF!,"*CARTA*"))&gt;=1,"SIM","")</f>
        <v>#REF!</v>
      </c>
      <c r="S294" s="5" t="e">
        <f>IF((COUNTIFS(#REF!,$C294,#REF!,"*CARTA NOTIFICAÇÃO/DEVOL*"))&gt;=1,"SIM","")</f>
        <v>#REF!</v>
      </c>
      <c r="T294" s="5" t="e">
        <f>IF((COUNTIFS(#REF!,$C294,#REF!,"*LIGAÇÃO ATIVA DEV PRIN/LOC*"))&gt;=1,"SIM","")</f>
        <v>#REF!</v>
      </c>
    </row>
    <row r="295" spans="1:20">
      <c r="A295" s="24" t="s">
        <v>2153</v>
      </c>
      <c r="B295" s="24" t="s">
        <v>590</v>
      </c>
      <c r="C295" s="24" t="s">
        <v>591</v>
      </c>
      <c r="D295" s="5" t="e">
        <f>IF((COUNTIFS(#REF!,$C295,#REF!,"*163*"))&gt;=1,"SIM","")</f>
        <v>#REF!</v>
      </c>
      <c r="E295" s="5" t="e">
        <f>IF((COUNTIFS(#REF!,$C295,#REF!,E$1))&gt;=1,"SIM","")</f>
        <v>#REF!</v>
      </c>
      <c r="F295" s="5" t="e">
        <f>IF((COUNTIFS(#REF!,$C295,#REF!,F$1))&gt;=1,"SIM","")</f>
        <v>#REF!</v>
      </c>
      <c r="G295" s="5" t="e">
        <f>IF((COUNTIFS(#REF!,$C295,#REF!,"*606*"))&gt;=1,"SIM","")</f>
        <v>#REF!</v>
      </c>
      <c r="H295" s="5" t="e">
        <f>IF((COUNTIFS(#REF!,$C295,#REF!,"*605*"))&gt;=1,"SIM","")</f>
        <v>#REF!</v>
      </c>
      <c r="I295" s="5" t="e">
        <f>IF((COUNTIFS(#REF!,$C295,#REF!,I$1))&gt;=1,"SIM","")</f>
        <v>#REF!</v>
      </c>
      <c r="J295" s="5" t="e">
        <f>IF((COUNTIFS(#REF!,$C295,#REF!,J$1))&gt;=1,"SIM","")</f>
        <v>#REF!</v>
      </c>
      <c r="K295" s="5" t="e">
        <f>IF((COUNTIFS(#REF!,$C295,#REF!,K$1))&gt;=1,"SIM","")</f>
        <v>#REF!</v>
      </c>
      <c r="L295" s="5" t="e">
        <f>IF((COUNTIFS(#REF!,$C295,#REF!,L$1))&gt;=1,"SIM","")</f>
        <v>#REF!</v>
      </c>
      <c r="M295" s="5" t="e">
        <f>IF((COUNTIFS(#REF!,$C295,#REF!,M$1))&gt;=1,"SIM","")</f>
        <v>#REF!</v>
      </c>
      <c r="N295" s="5" t="e">
        <f>IF((COUNTIFS(#REF!,$C295,#REF!,N$1))&gt;=1,"SIM","")</f>
        <v>#REF!</v>
      </c>
      <c r="O295" s="5"/>
      <c r="P295" s="5" t="e">
        <f>IF((COUNTIFS(#REF!,$C295,#REF!,P$1))&gt;=1,"SIM","")</f>
        <v>#REF!</v>
      </c>
      <c r="Q295" s="5" t="e">
        <f>IF((COUNTIFS(#REF!,$C295,#REF!,Q$1))&gt;=1,"SIM","")</f>
        <v>#REF!</v>
      </c>
      <c r="R295" s="5" t="e">
        <f>IF((COUNTIFS(#REF!,$C295,#REF!,"*CARTA*"))&gt;=1,"SIM","")</f>
        <v>#REF!</v>
      </c>
      <c r="S295" s="5" t="e">
        <f>IF((COUNTIFS(#REF!,$C295,#REF!,"*CARTA NOTIFICAÇÃO/DEVOL*"))&gt;=1,"SIM","")</f>
        <v>#REF!</v>
      </c>
      <c r="T295" s="5" t="e">
        <f>IF((COUNTIFS(#REF!,$C295,#REF!,"*LIGAÇÃO ATIVA DEV PRIN/LOC*"))&gt;=1,"SIM","")</f>
        <v>#REF!</v>
      </c>
    </row>
    <row r="296" spans="1:20">
      <c r="A296" s="24" t="s">
        <v>2153</v>
      </c>
      <c r="B296" s="24" t="s">
        <v>576</v>
      </c>
      <c r="C296" s="24" t="s">
        <v>577</v>
      </c>
      <c r="D296" s="5" t="e">
        <f>IF((COUNTIFS(#REF!,$C296,#REF!,"*163*"))&gt;=1,"SIM","")</f>
        <v>#REF!</v>
      </c>
      <c r="E296" s="5" t="e">
        <f>IF((COUNTIFS(#REF!,$C296,#REF!,E$1))&gt;=1,"SIM","")</f>
        <v>#REF!</v>
      </c>
      <c r="F296" s="5" t="e">
        <f>IF((COUNTIFS(#REF!,$C296,#REF!,F$1))&gt;=1,"SIM","")</f>
        <v>#REF!</v>
      </c>
      <c r="G296" s="5" t="e">
        <f>IF((COUNTIFS(#REF!,$C296,#REF!,"*606*"))&gt;=1,"SIM","")</f>
        <v>#REF!</v>
      </c>
      <c r="H296" s="5" t="e">
        <f>IF((COUNTIFS(#REF!,$C296,#REF!,"*605*"))&gt;=1,"SIM","")</f>
        <v>#REF!</v>
      </c>
      <c r="I296" s="5" t="e">
        <f>IF((COUNTIFS(#REF!,$C296,#REF!,I$1))&gt;=1,"SIM","")</f>
        <v>#REF!</v>
      </c>
      <c r="J296" s="5" t="e">
        <f>IF((COUNTIFS(#REF!,$C296,#REF!,J$1))&gt;=1,"SIM","")</f>
        <v>#REF!</v>
      </c>
      <c r="K296" s="5" t="e">
        <f>IF((COUNTIFS(#REF!,$C296,#REF!,K$1))&gt;=1,"SIM","")</f>
        <v>#REF!</v>
      </c>
      <c r="L296" s="5" t="e">
        <f>IF((COUNTIFS(#REF!,$C296,#REF!,L$1))&gt;=1,"SIM","")</f>
        <v>#REF!</v>
      </c>
      <c r="M296" s="5" t="e">
        <f>IF((COUNTIFS(#REF!,$C296,#REF!,M$1))&gt;=1,"SIM","")</f>
        <v>#REF!</v>
      </c>
      <c r="N296" s="5" t="e">
        <f>IF((COUNTIFS(#REF!,$C296,#REF!,N$1))&gt;=1,"SIM","")</f>
        <v>#REF!</v>
      </c>
      <c r="O296" s="5"/>
      <c r="P296" s="5" t="e">
        <f>IF((COUNTIFS(#REF!,$C296,#REF!,P$1))&gt;=1,"SIM","")</f>
        <v>#REF!</v>
      </c>
      <c r="Q296" s="5" t="e">
        <f>IF((COUNTIFS(#REF!,$C296,#REF!,Q$1))&gt;=1,"SIM","")</f>
        <v>#REF!</v>
      </c>
      <c r="R296" s="5" t="e">
        <f>IF((COUNTIFS(#REF!,$C296,#REF!,"*CARTA*"))&gt;=1,"SIM","")</f>
        <v>#REF!</v>
      </c>
      <c r="S296" s="5" t="e">
        <f>IF((COUNTIFS(#REF!,$C296,#REF!,"*CARTA NOTIFICAÇÃO/DEVOL*"))&gt;=1,"SIM","")</f>
        <v>#REF!</v>
      </c>
      <c r="T296" s="5" t="e">
        <f>IF((COUNTIFS(#REF!,$C296,#REF!,"*LIGAÇÃO ATIVA DEV PRIN/LOC*"))&gt;=1,"SIM","")</f>
        <v>#REF!</v>
      </c>
    </row>
    <row r="297" spans="1:20">
      <c r="A297" s="24" t="s">
        <v>2153</v>
      </c>
      <c r="B297" s="24" t="s">
        <v>803</v>
      </c>
      <c r="C297" s="24" t="s">
        <v>804</v>
      </c>
      <c r="D297" s="5" t="e">
        <f>IF((COUNTIFS(#REF!,$C297,#REF!,"*163*"))&gt;=1,"SIM","")</f>
        <v>#REF!</v>
      </c>
      <c r="E297" s="5" t="e">
        <f>IF((COUNTIFS(#REF!,$C297,#REF!,E$1))&gt;=1,"SIM","")</f>
        <v>#REF!</v>
      </c>
      <c r="F297" s="5" t="e">
        <f>IF((COUNTIFS(#REF!,$C297,#REF!,F$1))&gt;=1,"SIM","")</f>
        <v>#REF!</v>
      </c>
      <c r="G297" s="5" t="e">
        <f>IF((COUNTIFS(#REF!,$C297,#REF!,"*606*"))&gt;=1,"SIM","")</f>
        <v>#REF!</v>
      </c>
      <c r="H297" s="5" t="e">
        <f>IF((COUNTIFS(#REF!,$C297,#REF!,"*605*"))&gt;=1,"SIM","")</f>
        <v>#REF!</v>
      </c>
      <c r="I297" s="5" t="e">
        <f>IF((COUNTIFS(#REF!,$C297,#REF!,I$1))&gt;=1,"SIM","")</f>
        <v>#REF!</v>
      </c>
      <c r="J297" s="5" t="e">
        <f>IF((COUNTIFS(#REF!,$C297,#REF!,J$1))&gt;=1,"SIM","")</f>
        <v>#REF!</v>
      </c>
      <c r="K297" s="5" t="e">
        <f>IF((COUNTIFS(#REF!,$C297,#REF!,K$1))&gt;=1,"SIM","")</f>
        <v>#REF!</v>
      </c>
      <c r="L297" s="5" t="e">
        <f>IF((COUNTIFS(#REF!,$C297,#REF!,L$1))&gt;=1,"SIM","")</f>
        <v>#REF!</v>
      </c>
      <c r="M297" s="5" t="e">
        <f>IF((COUNTIFS(#REF!,$C297,#REF!,M$1))&gt;=1,"SIM","")</f>
        <v>#REF!</v>
      </c>
      <c r="N297" s="5" t="e">
        <f>IF((COUNTIFS(#REF!,$C297,#REF!,N$1))&gt;=1,"SIM","")</f>
        <v>#REF!</v>
      </c>
      <c r="O297" s="5"/>
      <c r="P297" s="5" t="e">
        <f>IF((COUNTIFS(#REF!,$C297,#REF!,P$1))&gt;=1,"SIM","")</f>
        <v>#REF!</v>
      </c>
      <c r="Q297" s="5" t="e">
        <f>IF((COUNTIFS(#REF!,$C297,#REF!,Q$1))&gt;=1,"SIM","")</f>
        <v>#REF!</v>
      </c>
      <c r="R297" s="5" t="e">
        <f>IF((COUNTIFS(#REF!,$C297,#REF!,"*CARTA*"))&gt;=1,"SIM","")</f>
        <v>#REF!</v>
      </c>
      <c r="S297" s="5" t="e">
        <f>IF((COUNTIFS(#REF!,$C297,#REF!,"*CARTA NOTIFICAÇÃO/DEVOL*"))&gt;=1,"SIM","")</f>
        <v>#REF!</v>
      </c>
      <c r="T297" s="5" t="e">
        <f>IF((COUNTIFS(#REF!,$C297,#REF!,"*LIGAÇÃO ATIVA DEV PRIN/LOC*"))&gt;=1,"SIM","")</f>
        <v>#REF!</v>
      </c>
    </row>
    <row r="298" spans="1:20">
      <c r="A298" s="24" t="s">
        <v>2159</v>
      </c>
      <c r="B298" s="24" t="s">
        <v>1905</v>
      </c>
      <c r="C298" s="24" t="s">
        <v>1906</v>
      </c>
      <c r="D298" s="5" t="e">
        <f>IF((COUNTIFS(#REF!,$C298,#REF!,"*163*"))&gt;=1,"SIM","")</f>
        <v>#REF!</v>
      </c>
      <c r="E298" s="5" t="e">
        <f>IF((COUNTIFS(#REF!,$C298,#REF!,E$1))&gt;=1,"SIM","")</f>
        <v>#REF!</v>
      </c>
      <c r="F298" s="5" t="e">
        <f>IF((COUNTIFS(#REF!,$C298,#REF!,F$1))&gt;=1,"SIM","")</f>
        <v>#REF!</v>
      </c>
      <c r="G298" s="5" t="e">
        <f>IF((COUNTIFS(#REF!,$C298,#REF!,"*606*"))&gt;=1,"SIM","")</f>
        <v>#REF!</v>
      </c>
      <c r="H298" s="5" t="e">
        <f>IF((COUNTIFS(#REF!,$C298,#REF!,"*605*"))&gt;=1,"SIM","")</f>
        <v>#REF!</v>
      </c>
      <c r="I298" s="5" t="e">
        <f>IF((COUNTIFS(#REF!,$C298,#REF!,I$1))&gt;=1,"SIM","")</f>
        <v>#REF!</v>
      </c>
      <c r="J298" s="5" t="e">
        <f>IF((COUNTIFS(#REF!,$C298,#REF!,J$1))&gt;=1,"SIM","")</f>
        <v>#REF!</v>
      </c>
      <c r="K298" s="5" t="e">
        <f>IF((COUNTIFS(#REF!,$C298,#REF!,K$1))&gt;=1,"SIM","")</f>
        <v>#REF!</v>
      </c>
      <c r="L298" s="5" t="e">
        <f>IF((COUNTIFS(#REF!,$C298,#REF!,L$1))&gt;=1,"SIM","")</f>
        <v>#REF!</v>
      </c>
      <c r="M298" s="5" t="e">
        <f>IF((COUNTIFS(#REF!,$C298,#REF!,M$1))&gt;=1,"SIM","")</f>
        <v>#REF!</v>
      </c>
      <c r="N298" s="5" t="e">
        <f>IF((COUNTIFS(#REF!,$C298,#REF!,N$1))&gt;=1,"SIM","")</f>
        <v>#REF!</v>
      </c>
      <c r="O298" s="5"/>
      <c r="P298" s="5" t="e">
        <f>IF((COUNTIFS(#REF!,$C298,#REF!,P$1))&gt;=1,"SIM","")</f>
        <v>#REF!</v>
      </c>
      <c r="Q298" s="5" t="e">
        <f>IF((COUNTIFS(#REF!,$C298,#REF!,Q$1))&gt;=1,"SIM","")</f>
        <v>#REF!</v>
      </c>
      <c r="R298" s="5" t="e">
        <f>IF((COUNTIFS(#REF!,$C298,#REF!,"*CARTA*"))&gt;=1,"SIM","")</f>
        <v>#REF!</v>
      </c>
      <c r="S298" s="5" t="e">
        <f>IF((COUNTIFS(#REF!,$C298,#REF!,"*CARTA NOTIFICAÇÃO/DEVOL*"))&gt;=1,"SIM","")</f>
        <v>#REF!</v>
      </c>
      <c r="T298" s="5" t="e">
        <f>IF((COUNTIFS(#REF!,$C298,#REF!,"*LIGAÇÃO ATIVA DEV PRIN/LOC*"))&gt;=1,"SIM","")</f>
        <v>#REF!</v>
      </c>
    </row>
    <row r="299" spans="1:20">
      <c r="A299" s="24" t="s">
        <v>2159</v>
      </c>
      <c r="B299" s="24" t="s">
        <v>1026</v>
      </c>
      <c r="C299" s="24" t="s">
        <v>1027</v>
      </c>
      <c r="D299" s="5" t="e">
        <f>IF((COUNTIFS(#REF!,$C299,#REF!,"*163*"))&gt;=1,"SIM","")</f>
        <v>#REF!</v>
      </c>
      <c r="E299" s="5" t="e">
        <f>IF((COUNTIFS(#REF!,$C299,#REF!,E$1))&gt;=1,"SIM","")</f>
        <v>#REF!</v>
      </c>
      <c r="F299" s="5" t="e">
        <f>IF((COUNTIFS(#REF!,$C299,#REF!,F$1))&gt;=1,"SIM","")</f>
        <v>#REF!</v>
      </c>
      <c r="G299" s="5" t="e">
        <f>IF((COUNTIFS(#REF!,$C299,#REF!,"*606*"))&gt;=1,"SIM","")</f>
        <v>#REF!</v>
      </c>
      <c r="H299" s="5" t="e">
        <f>IF((COUNTIFS(#REF!,$C299,#REF!,"*605*"))&gt;=1,"SIM","")</f>
        <v>#REF!</v>
      </c>
      <c r="I299" s="5" t="e">
        <f>IF((COUNTIFS(#REF!,$C299,#REF!,I$1))&gt;=1,"SIM","")</f>
        <v>#REF!</v>
      </c>
      <c r="J299" s="5" t="e">
        <f>IF((COUNTIFS(#REF!,$C299,#REF!,J$1))&gt;=1,"SIM","")</f>
        <v>#REF!</v>
      </c>
      <c r="K299" s="5" t="e">
        <f>IF((COUNTIFS(#REF!,$C299,#REF!,K$1))&gt;=1,"SIM","")</f>
        <v>#REF!</v>
      </c>
      <c r="L299" s="5" t="e">
        <f>IF((COUNTIFS(#REF!,$C299,#REF!,L$1))&gt;=1,"SIM","")</f>
        <v>#REF!</v>
      </c>
      <c r="M299" s="5" t="e">
        <f>IF((COUNTIFS(#REF!,$C299,#REF!,M$1))&gt;=1,"SIM","")</f>
        <v>#REF!</v>
      </c>
      <c r="N299" s="5" t="e">
        <f>IF((COUNTIFS(#REF!,$C299,#REF!,N$1))&gt;=1,"SIM","")</f>
        <v>#REF!</v>
      </c>
      <c r="O299" s="5"/>
      <c r="P299" s="5" t="e">
        <f>IF((COUNTIFS(#REF!,$C299,#REF!,P$1))&gt;=1,"SIM","")</f>
        <v>#REF!</v>
      </c>
      <c r="Q299" s="5" t="e">
        <f>IF((COUNTIFS(#REF!,$C299,#REF!,Q$1))&gt;=1,"SIM","")</f>
        <v>#REF!</v>
      </c>
      <c r="R299" s="5" t="e">
        <f>IF((COUNTIFS(#REF!,$C299,#REF!,"*CARTA*"))&gt;=1,"SIM","")</f>
        <v>#REF!</v>
      </c>
      <c r="S299" s="5" t="e">
        <f>IF((COUNTIFS(#REF!,$C299,#REF!,"*CARTA NOTIFICAÇÃO/DEVOL*"))&gt;=1,"SIM","")</f>
        <v>#REF!</v>
      </c>
      <c r="T299" s="5" t="e">
        <f>IF((COUNTIFS(#REF!,$C299,#REF!,"*LIGAÇÃO ATIVA DEV PRIN/LOC*"))&gt;=1,"SIM","")</f>
        <v>#REF!</v>
      </c>
    </row>
    <row r="300" spans="1:20">
      <c r="A300" s="24" t="s">
        <v>2159</v>
      </c>
      <c r="B300" s="24" t="s">
        <v>2141</v>
      </c>
      <c r="C300" s="24" t="s">
        <v>2142</v>
      </c>
      <c r="D300" s="5" t="e">
        <f>IF((COUNTIFS(#REF!,$C300,#REF!,"*163*"))&gt;=1,"SIM","")</f>
        <v>#REF!</v>
      </c>
      <c r="E300" s="5" t="e">
        <f>IF((COUNTIFS(#REF!,$C300,#REF!,E$1))&gt;=1,"SIM","")</f>
        <v>#REF!</v>
      </c>
      <c r="F300" s="5" t="e">
        <f>IF((COUNTIFS(#REF!,$C300,#REF!,F$1))&gt;=1,"SIM","")</f>
        <v>#REF!</v>
      </c>
      <c r="G300" s="5" t="e">
        <f>IF((COUNTIFS(#REF!,$C300,#REF!,"*606*"))&gt;=1,"SIM","")</f>
        <v>#REF!</v>
      </c>
      <c r="H300" s="5" t="e">
        <f>IF((COUNTIFS(#REF!,$C300,#REF!,"*605*"))&gt;=1,"SIM","")</f>
        <v>#REF!</v>
      </c>
      <c r="I300" s="5" t="e">
        <f>IF((COUNTIFS(#REF!,$C300,#REF!,I$1))&gt;=1,"SIM","")</f>
        <v>#REF!</v>
      </c>
      <c r="J300" s="5" t="e">
        <f>IF((COUNTIFS(#REF!,$C300,#REF!,J$1))&gt;=1,"SIM","")</f>
        <v>#REF!</v>
      </c>
      <c r="K300" s="5" t="e">
        <f>IF((COUNTIFS(#REF!,$C300,#REF!,K$1))&gt;=1,"SIM","")</f>
        <v>#REF!</v>
      </c>
      <c r="L300" s="5" t="e">
        <f>IF((COUNTIFS(#REF!,$C300,#REF!,L$1))&gt;=1,"SIM","")</f>
        <v>#REF!</v>
      </c>
      <c r="M300" s="5" t="e">
        <f>IF((COUNTIFS(#REF!,$C300,#REF!,M$1))&gt;=1,"SIM","")</f>
        <v>#REF!</v>
      </c>
      <c r="N300" s="5" t="e">
        <f>IF((COUNTIFS(#REF!,$C300,#REF!,N$1))&gt;=1,"SIM","")</f>
        <v>#REF!</v>
      </c>
      <c r="O300" s="5"/>
      <c r="P300" s="5" t="e">
        <f>IF((COUNTIFS(#REF!,$C300,#REF!,P$1))&gt;=1,"SIM","")</f>
        <v>#REF!</v>
      </c>
      <c r="Q300" s="5" t="e">
        <f>IF((COUNTIFS(#REF!,$C300,#REF!,Q$1))&gt;=1,"SIM","")</f>
        <v>#REF!</v>
      </c>
      <c r="R300" s="5" t="e">
        <f>IF((COUNTIFS(#REF!,$C300,#REF!,"*CARTA*"))&gt;=1,"SIM","")</f>
        <v>#REF!</v>
      </c>
      <c r="S300" s="5" t="e">
        <f>IF((COUNTIFS(#REF!,$C300,#REF!,"*CARTA NOTIFICAÇÃO/DEVOL*"))&gt;=1,"SIM","")</f>
        <v>#REF!</v>
      </c>
      <c r="T300" s="5" t="e">
        <f>IF((COUNTIFS(#REF!,$C300,#REF!,"*LIGAÇÃO ATIVA DEV PRIN/LOC*"))&gt;=1,"SIM","")</f>
        <v>#REF!</v>
      </c>
    </row>
    <row r="301" spans="1:20">
      <c r="A301" s="24" t="s">
        <v>2159</v>
      </c>
      <c r="B301" s="24" t="s">
        <v>1716</v>
      </c>
      <c r="C301" s="24" t="s">
        <v>1717</v>
      </c>
      <c r="D301" s="5" t="e">
        <f>IF((COUNTIFS(#REF!,$C301,#REF!,"*163*"))&gt;=1,"SIM","")</f>
        <v>#REF!</v>
      </c>
      <c r="E301" s="5" t="e">
        <f>IF((COUNTIFS(#REF!,$C301,#REF!,E$1))&gt;=1,"SIM","")</f>
        <v>#REF!</v>
      </c>
      <c r="F301" s="5" t="e">
        <f>IF((COUNTIFS(#REF!,$C301,#REF!,F$1))&gt;=1,"SIM","")</f>
        <v>#REF!</v>
      </c>
      <c r="G301" s="5" t="e">
        <f>IF((COUNTIFS(#REF!,$C301,#REF!,"*606*"))&gt;=1,"SIM","")</f>
        <v>#REF!</v>
      </c>
      <c r="H301" s="5" t="e">
        <f>IF((COUNTIFS(#REF!,$C301,#REF!,"*605*"))&gt;=1,"SIM","")</f>
        <v>#REF!</v>
      </c>
      <c r="I301" s="5" t="e">
        <f>IF((COUNTIFS(#REF!,$C301,#REF!,I$1))&gt;=1,"SIM","")</f>
        <v>#REF!</v>
      </c>
      <c r="J301" s="5" t="e">
        <f>IF((COUNTIFS(#REF!,$C301,#REF!,J$1))&gt;=1,"SIM","")</f>
        <v>#REF!</v>
      </c>
      <c r="K301" s="5" t="e">
        <f>IF((COUNTIFS(#REF!,$C301,#REF!,K$1))&gt;=1,"SIM","")</f>
        <v>#REF!</v>
      </c>
      <c r="L301" s="5" t="e">
        <f>IF((COUNTIFS(#REF!,$C301,#REF!,L$1))&gt;=1,"SIM","")</f>
        <v>#REF!</v>
      </c>
      <c r="M301" s="5" t="e">
        <f>IF((COUNTIFS(#REF!,$C301,#REF!,M$1))&gt;=1,"SIM","")</f>
        <v>#REF!</v>
      </c>
      <c r="N301" s="5" t="e">
        <f>IF((COUNTIFS(#REF!,$C301,#REF!,N$1))&gt;=1,"SIM","")</f>
        <v>#REF!</v>
      </c>
      <c r="O301" s="5"/>
      <c r="P301" s="5" t="e">
        <f>IF((COUNTIFS(#REF!,$C301,#REF!,P$1))&gt;=1,"SIM","")</f>
        <v>#REF!</v>
      </c>
      <c r="Q301" s="5" t="e">
        <f>IF((COUNTIFS(#REF!,$C301,#REF!,Q$1))&gt;=1,"SIM","")</f>
        <v>#REF!</v>
      </c>
      <c r="R301" s="5" t="e">
        <f>IF((COUNTIFS(#REF!,$C301,#REF!,"*CARTA*"))&gt;=1,"SIM","")</f>
        <v>#REF!</v>
      </c>
      <c r="S301" s="5" t="e">
        <f>IF((COUNTIFS(#REF!,$C301,#REF!,"*CARTA NOTIFICAÇÃO/DEVOL*"))&gt;=1,"SIM","")</f>
        <v>#REF!</v>
      </c>
      <c r="T301" s="5" t="e">
        <f>IF((COUNTIFS(#REF!,$C301,#REF!,"*LIGAÇÃO ATIVA DEV PRIN/LOC*"))&gt;=1,"SIM","")</f>
        <v>#REF!</v>
      </c>
    </row>
    <row r="302" spans="1:20">
      <c r="A302" s="24" t="s">
        <v>2159</v>
      </c>
      <c r="B302" s="24" t="s">
        <v>1031</v>
      </c>
      <c r="C302" s="24" t="s">
        <v>1032</v>
      </c>
      <c r="D302" s="5" t="e">
        <f>IF((COUNTIFS(#REF!,$C302,#REF!,"*163*"))&gt;=1,"SIM","")</f>
        <v>#REF!</v>
      </c>
      <c r="E302" s="5" t="e">
        <f>IF((COUNTIFS(#REF!,$C302,#REF!,E$1))&gt;=1,"SIM","")</f>
        <v>#REF!</v>
      </c>
      <c r="F302" s="5" t="e">
        <f>IF((COUNTIFS(#REF!,$C302,#REF!,F$1))&gt;=1,"SIM","")</f>
        <v>#REF!</v>
      </c>
      <c r="G302" s="5" t="e">
        <f>IF((COUNTIFS(#REF!,$C302,#REF!,"*606*"))&gt;=1,"SIM","")</f>
        <v>#REF!</v>
      </c>
      <c r="H302" s="5" t="e">
        <f>IF((COUNTIFS(#REF!,$C302,#REF!,"*605*"))&gt;=1,"SIM","")</f>
        <v>#REF!</v>
      </c>
      <c r="I302" s="5" t="e">
        <f>IF((COUNTIFS(#REF!,$C302,#REF!,I$1))&gt;=1,"SIM","")</f>
        <v>#REF!</v>
      </c>
      <c r="J302" s="5" t="e">
        <f>IF((COUNTIFS(#REF!,$C302,#REF!,J$1))&gt;=1,"SIM","")</f>
        <v>#REF!</v>
      </c>
      <c r="K302" s="5" t="e">
        <f>IF((COUNTIFS(#REF!,$C302,#REF!,K$1))&gt;=1,"SIM","")</f>
        <v>#REF!</v>
      </c>
      <c r="L302" s="5" t="e">
        <f>IF((COUNTIFS(#REF!,$C302,#REF!,L$1))&gt;=1,"SIM","")</f>
        <v>#REF!</v>
      </c>
      <c r="M302" s="5" t="e">
        <f>IF((COUNTIFS(#REF!,$C302,#REF!,M$1))&gt;=1,"SIM","")</f>
        <v>#REF!</v>
      </c>
      <c r="N302" s="5" t="e">
        <f>IF((COUNTIFS(#REF!,$C302,#REF!,N$1))&gt;=1,"SIM","")</f>
        <v>#REF!</v>
      </c>
      <c r="O302" s="5"/>
      <c r="P302" s="5" t="e">
        <f>IF((COUNTIFS(#REF!,$C302,#REF!,P$1))&gt;=1,"SIM","")</f>
        <v>#REF!</v>
      </c>
      <c r="Q302" s="5" t="e">
        <f>IF((COUNTIFS(#REF!,$C302,#REF!,Q$1))&gt;=1,"SIM","")</f>
        <v>#REF!</v>
      </c>
      <c r="R302" s="5" t="e">
        <f>IF((COUNTIFS(#REF!,$C302,#REF!,"*CARTA*"))&gt;=1,"SIM","")</f>
        <v>#REF!</v>
      </c>
      <c r="S302" s="5" t="e">
        <f>IF((COUNTIFS(#REF!,$C302,#REF!,"*CARTA NOTIFICAÇÃO/DEVOL*"))&gt;=1,"SIM","")</f>
        <v>#REF!</v>
      </c>
      <c r="T302" s="5" t="e">
        <f>IF((COUNTIFS(#REF!,$C302,#REF!,"*LIGAÇÃO ATIVA DEV PRIN/LOC*"))&gt;=1,"SIM","")</f>
        <v>#REF!</v>
      </c>
    </row>
    <row r="303" spans="1:20">
      <c r="A303" s="24" t="s">
        <v>2159</v>
      </c>
      <c r="B303" s="24" t="s">
        <v>1938</v>
      </c>
      <c r="C303" s="24" t="s">
        <v>1939</v>
      </c>
      <c r="D303" s="5" t="e">
        <f>IF((COUNTIFS(#REF!,$C303,#REF!,"*163*"))&gt;=1,"SIM","")</f>
        <v>#REF!</v>
      </c>
      <c r="E303" s="5" t="e">
        <f>IF((COUNTIFS(#REF!,$C303,#REF!,E$1))&gt;=1,"SIM","")</f>
        <v>#REF!</v>
      </c>
      <c r="F303" s="5" t="e">
        <f>IF((COUNTIFS(#REF!,$C303,#REF!,F$1))&gt;=1,"SIM","")</f>
        <v>#REF!</v>
      </c>
      <c r="G303" s="5" t="e">
        <f>IF((COUNTIFS(#REF!,$C303,#REF!,"*606*"))&gt;=1,"SIM","")</f>
        <v>#REF!</v>
      </c>
      <c r="H303" s="5" t="e">
        <f>IF((COUNTIFS(#REF!,$C303,#REF!,"*605*"))&gt;=1,"SIM","")</f>
        <v>#REF!</v>
      </c>
      <c r="I303" s="5" t="e">
        <f>IF((COUNTIFS(#REF!,$C303,#REF!,I$1))&gt;=1,"SIM","")</f>
        <v>#REF!</v>
      </c>
      <c r="J303" s="5" t="e">
        <f>IF((COUNTIFS(#REF!,$C303,#REF!,J$1))&gt;=1,"SIM","")</f>
        <v>#REF!</v>
      </c>
      <c r="K303" s="5" t="e">
        <f>IF((COUNTIFS(#REF!,$C303,#REF!,K$1))&gt;=1,"SIM","")</f>
        <v>#REF!</v>
      </c>
      <c r="L303" s="5" t="e">
        <f>IF((COUNTIFS(#REF!,$C303,#REF!,L$1))&gt;=1,"SIM","")</f>
        <v>#REF!</v>
      </c>
      <c r="M303" s="5" t="e">
        <f>IF((COUNTIFS(#REF!,$C303,#REF!,M$1))&gt;=1,"SIM","")</f>
        <v>#REF!</v>
      </c>
      <c r="N303" s="5" t="e">
        <f>IF((COUNTIFS(#REF!,$C303,#REF!,N$1))&gt;=1,"SIM","")</f>
        <v>#REF!</v>
      </c>
      <c r="O303" s="5"/>
      <c r="P303" s="5" t="e">
        <f>IF((COUNTIFS(#REF!,$C303,#REF!,P$1))&gt;=1,"SIM","")</f>
        <v>#REF!</v>
      </c>
      <c r="Q303" s="5" t="e">
        <f>IF((COUNTIFS(#REF!,$C303,#REF!,Q$1))&gt;=1,"SIM","")</f>
        <v>#REF!</v>
      </c>
      <c r="R303" s="5" t="e">
        <f>IF((COUNTIFS(#REF!,$C303,#REF!,"*CARTA*"))&gt;=1,"SIM","")</f>
        <v>#REF!</v>
      </c>
      <c r="S303" s="5" t="e">
        <f>IF((COUNTIFS(#REF!,$C303,#REF!,"*CARTA NOTIFICAÇÃO/DEVOL*"))&gt;=1,"SIM","")</f>
        <v>#REF!</v>
      </c>
      <c r="T303" s="5" t="e">
        <f>IF((COUNTIFS(#REF!,$C303,#REF!,"*LIGAÇÃO ATIVA DEV PRIN/LOC*"))&gt;=1,"SIM","")</f>
        <v>#REF!</v>
      </c>
    </row>
    <row r="304" spans="1:20">
      <c r="A304" s="24" t="s">
        <v>2153</v>
      </c>
      <c r="B304" s="24" t="s">
        <v>502</v>
      </c>
      <c r="C304" s="24" t="s">
        <v>503</v>
      </c>
      <c r="D304" s="5" t="e">
        <f>IF((COUNTIFS(#REF!,$C304,#REF!,"*163*"))&gt;=1,"SIM","")</f>
        <v>#REF!</v>
      </c>
      <c r="E304" s="5" t="e">
        <f>IF((COUNTIFS(#REF!,$C304,#REF!,E$1))&gt;=1,"SIM","")</f>
        <v>#REF!</v>
      </c>
      <c r="F304" s="5" t="e">
        <f>IF((COUNTIFS(#REF!,$C304,#REF!,F$1))&gt;=1,"SIM","")</f>
        <v>#REF!</v>
      </c>
      <c r="G304" s="5" t="e">
        <f>IF((COUNTIFS(#REF!,$C304,#REF!,"*606*"))&gt;=1,"SIM","")</f>
        <v>#REF!</v>
      </c>
      <c r="H304" s="5" t="e">
        <f>IF((COUNTIFS(#REF!,$C304,#REF!,"*605*"))&gt;=1,"SIM","")</f>
        <v>#REF!</v>
      </c>
      <c r="I304" s="5" t="e">
        <f>IF((COUNTIFS(#REF!,$C304,#REF!,I$1))&gt;=1,"SIM","")</f>
        <v>#REF!</v>
      </c>
      <c r="J304" s="5" t="e">
        <f>IF((COUNTIFS(#REF!,$C304,#REF!,J$1))&gt;=1,"SIM","")</f>
        <v>#REF!</v>
      </c>
      <c r="K304" s="5" t="e">
        <f>IF((COUNTIFS(#REF!,$C304,#REF!,K$1))&gt;=1,"SIM","")</f>
        <v>#REF!</v>
      </c>
      <c r="L304" s="5" t="e">
        <f>IF((COUNTIFS(#REF!,$C304,#REF!,L$1))&gt;=1,"SIM","")</f>
        <v>#REF!</v>
      </c>
      <c r="M304" s="5" t="e">
        <f>IF((COUNTIFS(#REF!,$C304,#REF!,M$1))&gt;=1,"SIM","")</f>
        <v>#REF!</v>
      </c>
      <c r="N304" s="5" t="e">
        <f>IF((COUNTIFS(#REF!,$C304,#REF!,N$1))&gt;=1,"SIM","")</f>
        <v>#REF!</v>
      </c>
      <c r="O304" s="5"/>
      <c r="P304" s="5" t="e">
        <f>IF((COUNTIFS(#REF!,$C304,#REF!,P$1))&gt;=1,"SIM","")</f>
        <v>#REF!</v>
      </c>
      <c r="Q304" s="5" t="e">
        <f>IF((COUNTIFS(#REF!,$C304,#REF!,Q$1))&gt;=1,"SIM","")</f>
        <v>#REF!</v>
      </c>
      <c r="R304" s="5" t="e">
        <f>IF((COUNTIFS(#REF!,$C304,#REF!,"*CARTA*"))&gt;=1,"SIM","")</f>
        <v>#REF!</v>
      </c>
      <c r="S304" s="5" t="e">
        <f>IF((COUNTIFS(#REF!,$C304,#REF!,"*CARTA NOTIFICAÇÃO/DEVOL*"))&gt;=1,"SIM","")</f>
        <v>#REF!</v>
      </c>
      <c r="T304" s="5" t="e">
        <f>IF((COUNTIFS(#REF!,$C304,#REF!,"*LIGAÇÃO ATIVA DEV PRIN/LOC*"))&gt;=1,"SIM","")</f>
        <v>#REF!</v>
      </c>
    </row>
    <row r="305" spans="1:20">
      <c r="A305" s="24" t="s">
        <v>2159</v>
      </c>
      <c r="B305" s="24" t="s">
        <v>1035</v>
      </c>
      <c r="C305" s="24" t="s">
        <v>1036</v>
      </c>
      <c r="D305" s="5" t="e">
        <f>IF((COUNTIFS(#REF!,$C305,#REF!,"*163*"))&gt;=1,"SIM","")</f>
        <v>#REF!</v>
      </c>
      <c r="E305" s="5" t="e">
        <f>IF((COUNTIFS(#REF!,$C305,#REF!,E$1))&gt;=1,"SIM","")</f>
        <v>#REF!</v>
      </c>
      <c r="F305" s="5" t="e">
        <f>IF((COUNTIFS(#REF!,$C305,#REF!,F$1))&gt;=1,"SIM","")</f>
        <v>#REF!</v>
      </c>
      <c r="G305" s="5" t="e">
        <f>IF((COUNTIFS(#REF!,$C305,#REF!,"*606*"))&gt;=1,"SIM","")</f>
        <v>#REF!</v>
      </c>
      <c r="H305" s="5" t="e">
        <f>IF((COUNTIFS(#REF!,$C305,#REF!,"*605*"))&gt;=1,"SIM","")</f>
        <v>#REF!</v>
      </c>
      <c r="I305" s="5" t="e">
        <f>IF((COUNTIFS(#REF!,$C305,#REF!,I$1))&gt;=1,"SIM","")</f>
        <v>#REF!</v>
      </c>
      <c r="J305" s="5" t="e">
        <f>IF((COUNTIFS(#REF!,$C305,#REF!,J$1))&gt;=1,"SIM","")</f>
        <v>#REF!</v>
      </c>
      <c r="K305" s="5" t="e">
        <f>IF((COUNTIFS(#REF!,$C305,#REF!,K$1))&gt;=1,"SIM","")</f>
        <v>#REF!</v>
      </c>
      <c r="L305" s="5" t="e">
        <f>IF((COUNTIFS(#REF!,$C305,#REF!,L$1))&gt;=1,"SIM","")</f>
        <v>#REF!</v>
      </c>
      <c r="M305" s="5" t="e">
        <f>IF((COUNTIFS(#REF!,$C305,#REF!,M$1))&gt;=1,"SIM","")</f>
        <v>#REF!</v>
      </c>
      <c r="N305" s="5" t="e">
        <f>IF((COUNTIFS(#REF!,$C305,#REF!,N$1))&gt;=1,"SIM","")</f>
        <v>#REF!</v>
      </c>
      <c r="O305" s="5"/>
      <c r="P305" s="5" t="e">
        <f>IF((COUNTIFS(#REF!,$C305,#REF!,P$1))&gt;=1,"SIM","")</f>
        <v>#REF!</v>
      </c>
      <c r="Q305" s="5" t="e">
        <f>IF((COUNTIFS(#REF!,$C305,#REF!,Q$1))&gt;=1,"SIM","")</f>
        <v>#REF!</v>
      </c>
      <c r="R305" s="5" t="e">
        <f>IF((COUNTIFS(#REF!,$C305,#REF!,"*CARTA*"))&gt;=1,"SIM","")</f>
        <v>#REF!</v>
      </c>
      <c r="S305" s="5" t="e">
        <f>IF((COUNTIFS(#REF!,$C305,#REF!,"*CARTA NOTIFICAÇÃO/DEVOL*"))&gt;=1,"SIM","")</f>
        <v>#REF!</v>
      </c>
      <c r="T305" s="5" t="e">
        <f>IF((COUNTIFS(#REF!,$C305,#REF!,"*LIGAÇÃO ATIVA DEV PRIN/LOC*"))&gt;=1,"SIM","")</f>
        <v>#REF!</v>
      </c>
    </row>
    <row r="306" spans="1:20">
      <c r="A306" s="24" t="s">
        <v>2153</v>
      </c>
      <c r="B306" s="24" t="s">
        <v>936</v>
      </c>
      <c r="C306" s="24" t="s">
        <v>937</v>
      </c>
      <c r="D306" s="5" t="e">
        <f>IF((COUNTIFS(#REF!,$C306,#REF!,"*163*"))&gt;=1,"SIM","")</f>
        <v>#REF!</v>
      </c>
      <c r="E306" s="5" t="e">
        <f>IF((COUNTIFS(#REF!,$C306,#REF!,E$1))&gt;=1,"SIM","")</f>
        <v>#REF!</v>
      </c>
      <c r="F306" s="5" t="e">
        <f>IF((COUNTIFS(#REF!,$C306,#REF!,F$1))&gt;=1,"SIM","")</f>
        <v>#REF!</v>
      </c>
      <c r="G306" s="5" t="e">
        <f>IF((COUNTIFS(#REF!,$C306,#REF!,"*606*"))&gt;=1,"SIM","")</f>
        <v>#REF!</v>
      </c>
      <c r="H306" s="5" t="e">
        <f>IF((COUNTIFS(#REF!,$C306,#REF!,"*605*"))&gt;=1,"SIM","")</f>
        <v>#REF!</v>
      </c>
      <c r="I306" s="5" t="e">
        <f>IF((COUNTIFS(#REF!,$C306,#REF!,I$1))&gt;=1,"SIM","")</f>
        <v>#REF!</v>
      </c>
      <c r="J306" s="5" t="e">
        <f>IF((COUNTIFS(#REF!,$C306,#REF!,J$1))&gt;=1,"SIM","")</f>
        <v>#REF!</v>
      </c>
      <c r="K306" s="5" t="e">
        <f>IF((COUNTIFS(#REF!,$C306,#REF!,K$1))&gt;=1,"SIM","")</f>
        <v>#REF!</v>
      </c>
      <c r="L306" s="5" t="e">
        <f>IF((COUNTIFS(#REF!,$C306,#REF!,L$1))&gt;=1,"SIM","")</f>
        <v>#REF!</v>
      </c>
      <c r="M306" s="5" t="e">
        <f>IF((COUNTIFS(#REF!,$C306,#REF!,M$1))&gt;=1,"SIM","")</f>
        <v>#REF!</v>
      </c>
      <c r="N306" s="5" t="e">
        <f>IF((COUNTIFS(#REF!,$C306,#REF!,N$1))&gt;=1,"SIM","")</f>
        <v>#REF!</v>
      </c>
      <c r="O306" s="5"/>
      <c r="P306" s="5" t="e">
        <f>IF((COUNTIFS(#REF!,$C306,#REF!,P$1))&gt;=1,"SIM","")</f>
        <v>#REF!</v>
      </c>
      <c r="Q306" s="5" t="e">
        <f>IF((COUNTIFS(#REF!,$C306,#REF!,Q$1))&gt;=1,"SIM","")</f>
        <v>#REF!</v>
      </c>
      <c r="R306" s="5" t="e">
        <f>IF((COUNTIFS(#REF!,$C306,#REF!,"*CARTA*"))&gt;=1,"SIM","")</f>
        <v>#REF!</v>
      </c>
      <c r="S306" s="5" t="e">
        <f>IF((COUNTIFS(#REF!,$C306,#REF!,"*CARTA NOTIFICAÇÃO/DEVOL*"))&gt;=1,"SIM","")</f>
        <v>#REF!</v>
      </c>
      <c r="T306" s="5" t="e">
        <f>IF((COUNTIFS(#REF!,$C306,#REF!,"*LIGAÇÃO ATIVA DEV PRIN/LOC*"))&gt;=1,"SIM","")</f>
        <v>#REF!</v>
      </c>
    </row>
    <row r="307" spans="1:20">
      <c r="A307" s="24" t="s">
        <v>2159</v>
      </c>
      <c r="B307" s="24" t="s">
        <v>1815</v>
      </c>
      <c r="C307" s="24" t="s">
        <v>1816</v>
      </c>
      <c r="D307" s="5" t="e">
        <f>IF((COUNTIFS(#REF!,$C307,#REF!,"*163*"))&gt;=1,"SIM","")</f>
        <v>#REF!</v>
      </c>
      <c r="E307" s="5" t="e">
        <f>IF((COUNTIFS(#REF!,$C307,#REF!,E$1))&gt;=1,"SIM","")</f>
        <v>#REF!</v>
      </c>
      <c r="F307" s="5" t="e">
        <f>IF((COUNTIFS(#REF!,$C307,#REF!,F$1))&gt;=1,"SIM","")</f>
        <v>#REF!</v>
      </c>
      <c r="G307" s="5" t="e">
        <f>IF((COUNTIFS(#REF!,$C307,#REF!,"*606*"))&gt;=1,"SIM","")</f>
        <v>#REF!</v>
      </c>
      <c r="H307" s="5" t="e">
        <f>IF((COUNTIFS(#REF!,$C307,#REF!,"*605*"))&gt;=1,"SIM","")</f>
        <v>#REF!</v>
      </c>
      <c r="I307" s="5" t="e">
        <f>IF((COUNTIFS(#REF!,$C307,#REF!,I$1))&gt;=1,"SIM","")</f>
        <v>#REF!</v>
      </c>
      <c r="J307" s="5" t="e">
        <f>IF((COUNTIFS(#REF!,$C307,#REF!,J$1))&gt;=1,"SIM","")</f>
        <v>#REF!</v>
      </c>
      <c r="K307" s="5" t="e">
        <f>IF((COUNTIFS(#REF!,$C307,#REF!,K$1))&gt;=1,"SIM","")</f>
        <v>#REF!</v>
      </c>
      <c r="L307" s="5" t="e">
        <f>IF((COUNTIFS(#REF!,$C307,#REF!,L$1))&gt;=1,"SIM","")</f>
        <v>#REF!</v>
      </c>
      <c r="M307" s="5" t="e">
        <f>IF((COUNTIFS(#REF!,$C307,#REF!,M$1))&gt;=1,"SIM","")</f>
        <v>#REF!</v>
      </c>
      <c r="N307" s="5" t="e">
        <f>IF((COUNTIFS(#REF!,$C307,#REF!,N$1))&gt;=1,"SIM","")</f>
        <v>#REF!</v>
      </c>
      <c r="O307" s="5"/>
      <c r="P307" s="5" t="e">
        <f>IF((COUNTIFS(#REF!,$C307,#REF!,P$1))&gt;=1,"SIM","")</f>
        <v>#REF!</v>
      </c>
      <c r="Q307" s="5" t="e">
        <f>IF((COUNTIFS(#REF!,$C307,#REF!,Q$1))&gt;=1,"SIM","")</f>
        <v>#REF!</v>
      </c>
      <c r="R307" s="5" t="e">
        <f>IF((COUNTIFS(#REF!,$C307,#REF!,"*CARTA*"))&gt;=1,"SIM","")</f>
        <v>#REF!</v>
      </c>
      <c r="S307" s="5" t="e">
        <f>IF((COUNTIFS(#REF!,$C307,#REF!,"*CARTA NOTIFICAÇÃO/DEVOL*"))&gt;=1,"SIM","")</f>
        <v>#REF!</v>
      </c>
      <c r="T307" s="5" t="e">
        <f>IF((COUNTIFS(#REF!,$C307,#REF!,"*LIGAÇÃO ATIVA DEV PRIN/LOC*"))&gt;=1,"SIM","")</f>
        <v>#REF!</v>
      </c>
    </row>
    <row r="308" spans="1:20">
      <c r="A308" s="24" t="s">
        <v>2159</v>
      </c>
      <c r="B308" s="24" t="s">
        <v>1369</v>
      </c>
      <c r="C308" s="24" t="s">
        <v>1370</v>
      </c>
      <c r="D308" s="5" t="e">
        <f>IF((COUNTIFS(#REF!,$C308,#REF!,"*163*"))&gt;=1,"SIM","")</f>
        <v>#REF!</v>
      </c>
      <c r="E308" s="5" t="e">
        <f>IF((COUNTIFS(#REF!,$C308,#REF!,E$1))&gt;=1,"SIM","")</f>
        <v>#REF!</v>
      </c>
      <c r="F308" s="5" t="e">
        <f>IF((COUNTIFS(#REF!,$C308,#REF!,F$1))&gt;=1,"SIM","")</f>
        <v>#REF!</v>
      </c>
      <c r="G308" s="5" t="e">
        <f>IF((COUNTIFS(#REF!,$C308,#REF!,"*606*"))&gt;=1,"SIM","")</f>
        <v>#REF!</v>
      </c>
      <c r="H308" s="5" t="e">
        <f>IF((COUNTIFS(#REF!,$C308,#REF!,"*605*"))&gt;=1,"SIM","")</f>
        <v>#REF!</v>
      </c>
      <c r="I308" s="5" t="e">
        <f>IF((COUNTIFS(#REF!,$C308,#REF!,I$1))&gt;=1,"SIM","")</f>
        <v>#REF!</v>
      </c>
      <c r="J308" s="5" t="e">
        <f>IF((COUNTIFS(#REF!,$C308,#REF!,J$1))&gt;=1,"SIM","")</f>
        <v>#REF!</v>
      </c>
      <c r="K308" s="5" t="e">
        <f>IF((COUNTIFS(#REF!,$C308,#REF!,K$1))&gt;=1,"SIM","")</f>
        <v>#REF!</v>
      </c>
      <c r="L308" s="5" t="e">
        <f>IF((COUNTIFS(#REF!,$C308,#REF!,L$1))&gt;=1,"SIM","")</f>
        <v>#REF!</v>
      </c>
      <c r="M308" s="5" t="e">
        <f>IF((COUNTIFS(#REF!,$C308,#REF!,M$1))&gt;=1,"SIM","")</f>
        <v>#REF!</v>
      </c>
      <c r="N308" s="5" t="e">
        <f>IF((COUNTIFS(#REF!,$C308,#REF!,N$1))&gt;=1,"SIM","")</f>
        <v>#REF!</v>
      </c>
      <c r="O308" s="5"/>
      <c r="P308" s="5" t="e">
        <f>IF((COUNTIFS(#REF!,$C308,#REF!,P$1))&gt;=1,"SIM","")</f>
        <v>#REF!</v>
      </c>
      <c r="Q308" s="5" t="e">
        <f>IF((COUNTIFS(#REF!,$C308,#REF!,Q$1))&gt;=1,"SIM","")</f>
        <v>#REF!</v>
      </c>
      <c r="R308" s="5" t="e">
        <f>IF((COUNTIFS(#REF!,$C308,#REF!,"*CARTA*"))&gt;=1,"SIM","")</f>
        <v>#REF!</v>
      </c>
      <c r="S308" s="5" t="e">
        <f>IF((COUNTIFS(#REF!,$C308,#REF!,"*CARTA NOTIFICAÇÃO/DEVOL*"))&gt;=1,"SIM","")</f>
        <v>#REF!</v>
      </c>
      <c r="T308" s="5" t="e">
        <f>IF((COUNTIFS(#REF!,$C308,#REF!,"*LIGAÇÃO ATIVA DEV PRIN/LOC*"))&gt;=1,"SIM","")</f>
        <v>#REF!</v>
      </c>
    </row>
    <row r="309" spans="1:20">
      <c r="A309" s="24" t="s">
        <v>2153</v>
      </c>
      <c r="B309" s="24" t="s">
        <v>712</v>
      </c>
      <c r="C309" s="24" t="s">
        <v>713</v>
      </c>
      <c r="D309" s="5" t="e">
        <f>IF((COUNTIFS(#REF!,$C309,#REF!,"*163*"))&gt;=1,"SIM","")</f>
        <v>#REF!</v>
      </c>
      <c r="E309" s="5" t="e">
        <f>IF((COUNTIFS(#REF!,$C309,#REF!,E$1))&gt;=1,"SIM","")</f>
        <v>#REF!</v>
      </c>
      <c r="F309" s="5" t="e">
        <f>IF((COUNTIFS(#REF!,$C309,#REF!,F$1))&gt;=1,"SIM","")</f>
        <v>#REF!</v>
      </c>
      <c r="G309" s="5" t="e">
        <f>IF((COUNTIFS(#REF!,$C309,#REF!,"*606*"))&gt;=1,"SIM","")</f>
        <v>#REF!</v>
      </c>
      <c r="H309" s="5" t="e">
        <f>IF((COUNTIFS(#REF!,$C309,#REF!,"*605*"))&gt;=1,"SIM","")</f>
        <v>#REF!</v>
      </c>
      <c r="I309" s="5" t="e">
        <f>IF((COUNTIFS(#REF!,$C309,#REF!,I$1))&gt;=1,"SIM","")</f>
        <v>#REF!</v>
      </c>
      <c r="J309" s="5" t="e">
        <f>IF((COUNTIFS(#REF!,$C309,#REF!,J$1))&gt;=1,"SIM","")</f>
        <v>#REF!</v>
      </c>
      <c r="K309" s="5" t="e">
        <f>IF((COUNTIFS(#REF!,$C309,#REF!,K$1))&gt;=1,"SIM","")</f>
        <v>#REF!</v>
      </c>
      <c r="L309" s="5" t="e">
        <f>IF((COUNTIFS(#REF!,$C309,#REF!,L$1))&gt;=1,"SIM","")</f>
        <v>#REF!</v>
      </c>
      <c r="M309" s="5" t="e">
        <f>IF((COUNTIFS(#REF!,$C309,#REF!,M$1))&gt;=1,"SIM","")</f>
        <v>#REF!</v>
      </c>
      <c r="N309" s="5" t="e">
        <f>IF((COUNTIFS(#REF!,$C309,#REF!,N$1))&gt;=1,"SIM","")</f>
        <v>#REF!</v>
      </c>
      <c r="O309" s="5"/>
      <c r="P309" s="5" t="e">
        <f>IF((COUNTIFS(#REF!,$C309,#REF!,P$1))&gt;=1,"SIM","")</f>
        <v>#REF!</v>
      </c>
      <c r="Q309" s="5" t="e">
        <f>IF((COUNTIFS(#REF!,$C309,#REF!,Q$1))&gt;=1,"SIM","")</f>
        <v>#REF!</v>
      </c>
      <c r="R309" s="5" t="e">
        <f>IF((COUNTIFS(#REF!,$C309,#REF!,"*CARTA*"))&gt;=1,"SIM","")</f>
        <v>#REF!</v>
      </c>
      <c r="S309" s="5" t="e">
        <f>IF((COUNTIFS(#REF!,$C309,#REF!,"*CARTA NOTIFICAÇÃO/DEVOL*"))&gt;=1,"SIM","")</f>
        <v>#REF!</v>
      </c>
      <c r="T309" s="5" t="e">
        <f>IF((COUNTIFS(#REF!,$C309,#REF!,"*LIGAÇÃO ATIVA DEV PRIN/LOC*"))&gt;=1,"SIM","")</f>
        <v>#REF!</v>
      </c>
    </row>
    <row r="310" spans="1:20">
      <c r="A310" s="24" t="s">
        <v>2159</v>
      </c>
      <c r="B310" s="24" t="s">
        <v>1940</v>
      </c>
      <c r="C310" s="24" t="s">
        <v>1941</v>
      </c>
      <c r="D310" s="5" t="e">
        <f>IF((COUNTIFS(#REF!,$C310,#REF!,"*163*"))&gt;=1,"SIM","")</f>
        <v>#REF!</v>
      </c>
      <c r="E310" s="5" t="e">
        <f>IF((COUNTIFS(#REF!,$C310,#REF!,E$1))&gt;=1,"SIM","")</f>
        <v>#REF!</v>
      </c>
      <c r="F310" s="5" t="e">
        <f>IF((COUNTIFS(#REF!,$C310,#REF!,F$1))&gt;=1,"SIM","")</f>
        <v>#REF!</v>
      </c>
      <c r="G310" s="5" t="e">
        <f>IF((COUNTIFS(#REF!,$C310,#REF!,"*606*"))&gt;=1,"SIM","")</f>
        <v>#REF!</v>
      </c>
      <c r="H310" s="5" t="e">
        <f>IF((COUNTIFS(#REF!,$C310,#REF!,"*605*"))&gt;=1,"SIM","")</f>
        <v>#REF!</v>
      </c>
      <c r="I310" s="5" t="e">
        <f>IF((COUNTIFS(#REF!,$C310,#REF!,I$1))&gt;=1,"SIM","")</f>
        <v>#REF!</v>
      </c>
      <c r="J310" s="5" t="e">
        <f>IF((COUNTIFS(#REF!,$C310,#REF!,J$1))&gt;=1,"SIM","")</f>
        <v>#REF!</v>
      </c>
      <c r="K310" s="5" t="e">
        <f>IF((COUNTIFS(#REF!,$C310,#REF!,K$1))&gt;=1,"SIM","")</f>
        <v>#REF!</v>
      </c>
      <c r="L310" s="5" t="e">
        <f>IF((COUNTIFS(#REF!,$C310,#REF!,L$1))&gt;=1,"SIM","")</f>
        <v>#REF!</v>
      </c>
      <c r="M310" s="5" t="e">
        <f>IF((COUNTIFS(#REF!,$C310,#REF!,M$1))&gt;=1,"SIM","")</f>
        <v>#REF!</v>
      </c>
      <c r="N310" s="5" t="e">
        <f>IF((COUNTIFS(#REF!,$C310,#REF!,N$1))&gt;=1,"SIM","")</f>
        <v>#REF!</v>
      </c>
      <c r="O310" s="5"/>
      <c r="P310" s="5" t="e">
        <f>IF((COUNTIFS(#REF!,$C310,#REF!,P$1))&gt;=1,"SIM","")</f>
        <v>#REF!</v>
      </c>
      <c r="Q310" s="5" t="e">
        <f>IF((COUNTIFS(#REF!,$C310,#REF!,Q$1))&gt;=1,"SIM","")</f>
        <v>#REF!</v>
      </c>
      <c r="R310" s="5" t="e">
        <f>IF((COUNTIFS(#REF!,$C310,#REF!,"*CARTA*"))&gt;=1,"SIM","")</f>
        <v>#REF!</v>
      </c>
      <c r="S310" s="5" t="e">
        <f>IF((COUNTIFS(#REF!,$C310,#REF!,"*CARTA NOTIFICAÇÃO/DEVOL*"))&gt;=1,"SIM","")</f>
        <v>#REF!</v>
      </c>
      <c r="T310" s="5" t="e">
        <f>IF((COUNTIFS(#REF!,$C310,#REF!,"*LIGAÇÃO ATIVA DEV PRIN/LOC*"))&gt;=1,"SIM","")</f>
        <v>#REF!</v>
      </c>
    </row>
    <row r="311" spans="1:20">
      <c r="A311" s="24" t="s">
        <v>2153</v>
      </c>
      <c r="B311" s="24" t="s">
        <v>278</v>
      </c>
      <c r="C311" s="24" t="s">
        <v>279</v>
      </c>
      <c r="D311" s="5" t="e">
        <f>IF((COUNTIFS(#REF!,$C311,#REF!,"*163*"))&gt;=1,"SIM","")</f>
        <v>#REF!</v>
      </c>
      <c r="E311" s="5" t="e">
        <f>IF((COUNTIFS(#REF!,$C311,#REF!,E$1))&gt;=1,"SIM","")</f>
        <v>#REF!</v>
      </c>
      <c r="F311" s="5" t="e">
        <f>IF((COUNTIFS(#REF!,$C311,#REF!,F$1))&gt;=1,"SIM","")</f>
        <v>#REF!</v>
      </c>
      <c r="G311" s="5" t="e">
        <f>IF((COUNTIFS(#REF!,$C311,#REF!,"*606*"))&gt;=1,"SIM","")</f>
        <v>#REF!</v>
      </c>
      <c r="H311" s="5" t="e">
        <f>IF((COUNTIFS(#REF!,$C311,#REF!,"*605*"))&gt;=1,"SIM","")</f>
        <v>#REF!</v>
      </c>
      <c r="I311" s="5" t="e">
        <f>IF((COUNTIFS(#REF!,$C311,#REF!,I$1))&gt;=1,"SIM","")</f>
        <v>#REF!</v>
      </c>
      <c r="J311" s="5" t="e">
        <f>IF((COUNTIFS(#REF!,$C311,#REF!,J$1))&gt;=1,"SIM","")</f>
        <v>#REF!</v>
      </c>
      <c r="K311" s="5" t="e">
        <f>IF((COUNTIFS(#REF!,$C311,#REF!,K$1))&gt;=1,"SIM","")</f>
        <v>#REF!</v>
      </c>
      <c r="L311" s="5" t="e">
        <f>IF((COUNTIFS(#REF!,$C311,#REF!,L$1))&gt;=1,"SIM","")</f>
        <v>#REF!</v>
      </c>
      <c r="M311" s="5" t="e">
        <f>IF((COUNTIFS(#REF!,$C311,#REF!,M$1))&gt;=1,"SIM","")</f>
        <v>#REF!</v>
      </c>
      <c r="N311" s="5" t="e">
        <f>IF((COUNTIFS(#REF!,$C311,#REF!,N$1))&gt;=1,"SIM","")</f>
        <v>#REF!</v>
      </c>
      <c r="O311" s="5"/>
      <c r="P311" s="5" t="e">
        <f>IF((COUNTIFS(#REF!,$C311,#REF!,P$1))&gt;=1,"SIM","")</f>
        <v>#REF!</v>
      </c>
      <c r="Q311" s="5" t="e">
        <f>IF((COUNTIFS(#REF!,$C311,#REF!,Q$1))&gt;=1,"SIM","")</f>
        <v>#REF!</v>
      </c>
      <c r="R311" s="5" t="e">
        <f>IF((COUNTIFS(#REF!,$C311,#REF!,"*CARTA*"))&gt;=1,"SIM","")</f>
        <v>#REF!</v>
      </c>
      <c r="S311" s="5" t="e">
        <f>IF((COUNTIFS(#REF!,$C311,#REF!,"*CARTA NOTIFICAÇÃO/DEVOL*"))&gt;=1,"SIM","")</f>
        <v>#REF!</v>
      </c>
      <c r="T311" s="5" t="e">
        <f>IF((COUNTIFS(#REF!,$C311,#REF!,"*LIGAÇÃO ATIVA DEV PRIN/LOC*"))&gt;=1,"SIM","")</f>
        <v>#REF!</v>
      </c>
    </row>
    <row r="312" spans="1:20">
      <c r="A312" s="24" t="s">
        <v>2159</v>
      </c>
      <c r="B312" s="24" t="s">
        <v>2005</v>
      </c>
      <c r="C312" s="24" t="s">
        <v>1046</v>
      </c>
      <c r="D312" s="5" t="e">
        <f>IF((COUNTIFS(#REF!,$C312,#REF!,"*163*"))&gt;=1,"SIM","")</f>
        <v>#REF!</v>
      </c>
      <c r="E312" s="5" t="e">
        <f>IF((COUNTIFS(#REF!,$C312,#REF!,E$1))&gt;=1,"SIM","")</f>
        <v>#REF!</v>
      </c>
      <c r="F312" s="5" t="e">
        <f>IF((COUNTIFS(#REF!,$C312,#REF!,F$1))&gt;=1,"SIM","")</f>
        <v>#REF!</v>
      </c>
      <c r="G312" s="5" t="e">
        <f>IF((COUNTIFS(#REF!,$C312,#REF!,"*606*"))&gt;=1,"SIM","")</f>
        <v>#REF!</v>
      </c>
      <c r="H312" s="5" t="e">
        <f>IF((COUNTIFS(#REF!,$C312,#REF!,"*605*"))&gt;=1,"SIM","")</f>
        <v>#REF!</v>
      </c>
      <c r="I312" s="5" t="e">
        <f>IF((COUNTIFS(#REF!,$C312,#REF!,I$1))&gt;=1,"SIM","")</f>
        <v>#REF!</v>
      </c>
      <c r="J312" s="5" t="e">
        <f>IF((COUNTIFS(#REF!,$C312,#REF!,J$1))&gt;=1,"SIM","")</f>
        <v>#REF!</v>
      </c>
      <c r="K312" s="5" t="e">
        <f>IF((COUNTIFS(#REF!,$C312,#REF!,K$1))&gt;=1,"SIM","")</f>
        <v>#REF!</v>
      </c>
      <c r="L312" s="5" t="e">
        <f>IF((COUNTIFS(#REF!,$C312,#REF!,L$1))&gt;=1,"SIM","")</f>
        <v>#REF!</v>
      </c>
      <c r="M312" s="5" t="e">
        <f>IF((COUNTIFS(#REF!,$C312,#REF!,M$1))&gt;=1,"SIM","")</f>
        <v>#REF!</v>
      </c>
      <c r="N312" s="5" t="e">
        <f>IF((COUNTIFS(#REF!,$C312,#REF!,N$1))&gt;=1,"SIM","")</f>
        <v>#REF!</v>
      </c>
      <c r="O312" s="5"/>
      <c r="P312" s="5" t="e">
        <f>IF((COUNTIFS(#REF!,$C312,#REF!,P$1))&gt;=1,"SIM","")</f>
        <v>#REF!</v>
      </c>
      <c r="Q312" s="5" t="e">
        <f>IF((COUNTIFS(#REF!,$C312,#REF!,Q$1))&gt;=1,"SIM","")</f>
        <v>#REF!</v>
      </c>
      <c r="R312" s="5" t="e">
        <f>IF((COUNTIFS(#REF!,$C312,#REF!,"*CARTA*"))&gt;=1,"SIM","")</f>
        <v>#REF!</v>
      </c>
      <c r="S312" s="5" t="e">
        <f>IF((COUNTIFS(#REF!,$C312,#REF!,"*CARTA NOTIFICAÇÃO/DEVOL*"))&gt;=1,"SIM","")</f>
        <v>#REF!</v>
      </c>
      <c r="T312" s="5" t="e">
        <f>IF((COUNTIFS(#REF!,$C312,#REF!,"*LIGAÇÃO ATIVA DEV PRIN/LOC*"))&gt;=1,"SIM","")</f>
        <v>#REF!</v>
      </c>
    </row>
    <row r="313" spans="1:20">
      <c r="A313" s="24" t="s">
        <v>2159</v>
      </c>
      <c r="B313" s="24" t="s">
        <v>1045</v>
      </c>
      <c r="C313" s="24" t="s">
        <v>1046</v>
      </c>
      <c r="D313" s="5" t="e">
        <f>IF((COUNTIFS(#REF!,$C313,#REF!,"*163*"))&gt;=1,"SIM","")</f>
        <v>#REF!</v>
      </c>
      <c r="E313" s="5" t="e">
        <f>IF((COUNTIFS(#REF!,$C313,#REF!,E$1))&gt;=1,"SIM","")</f>
        <v>#REF!</v>
      </c>
      <c r="F313" s="5" t="e">
        <f>IF((COUNTIFS(#REF!,$C313,#REF!,F$1))&gt;=1,"SIM","")</f>
        <v>#REF!</v>
      </c>
      <c r="G313" s="5" t="e">
        <f>IF((COUNTIFS(#REF!,$C313,#REF!,"*606*"))&gt;=1,"SIM","")</f>
        <v>#REF!</v>
      </c>
      <c r="H313" s="5" t="e">
        <f>IF((COUNTIFS(#REF!,$C313,#REF!,"*605*"))&gt;=1,"SIM","")</f>
        <v>#REF!</v>
      </c>
      <c r="I313" s="5" t="e">
        <f>IF((COUNTIFS(#REF!,$C313,#REF!,I$1))&gt;=1,"SIM","")</f>
        <v>#REF!</v>
      </c>
      <c r="J313" s="5" t="e">
        <f>IF((COUNTIFS(#REF!,$C313,#REF!,J$1))&gt;=1,"SIM","")</f>
        <v>#REF!</v>
      </c>
      <c r="K313" s="5" t="e">
        <f>IF((COUNTIFS(#REF!,$C313,#REF!,K$1))&gt;=1,"SIM","")</f>
        <v>#REF!</v>
      </c>
      <c r="L313" s="5" t="e">
        <f>IF((COUNTIFS(#REF!,$C313,#REF!,L$1))&gt;=1,"SIM","")</f>
        <v>#REF!</v>
      </c>
      <c r="M313" s="5" t="e">
        <f>IF((COUNTIFS(#REF!,$C313,#REF!,M$1))&gt;=1,"SIM","")</f>
        <v>#REF!</v>
      </c>
      <c r="N313" s="5" t="e">
        <f>IF((COUNTIFS(#REF!,$C313,#REF!,N$1))&gt;=1,"SIM","")</f>
        <v>#REF!</v>
      </c>
      <c r="O313" s="5"/>
      <c r="P313" s="5" t="e">
        <f>IF((COUNTIFS(#REF!,$C313,#REF!,P$1))&gt;=1,"SIM","")</f>
        <v>#REF!</v>
      </c>
      <c r="Q313" s="5" t="e">
        <f>IF((COUNTIFS(#REF!,$C313,#REF!,Q$1))&gt;=1,"SIM","")</f>
        <v>#REF!</v>
      </c>
      <c r="R313" s="5" t="e">
        <f>IF((COUNTIFS(#REF!,$C313,#REF!,"*CARTA*"))&gt;=1,"SIM","")</f>
        <v>#REF!</v>
      </c>
      <c r="S313" s="5" t="e">
        <f>IF((COUNTIFS(#REF!,$C313,#REF!,"*CARTA NOTIFICAÇÃO/DEVOL*"))&gt;=1,"SIM","")</f>
        <v>#REF!</v>
      </c>
      <c r="T313" s="5" t="e">
        <f>IF((COUNTIFS(#REF!,$C313,#REF!,"*LIGAÇÃO ATIVA DEV PRIN/LOC*"))&gt;=1,"SIM","")</f>
        <v>#REF!</v>
      </c>
    </row>
    <row r="314" spans="1:20">
      <c r="A314" s="24" t="s">
        <v>2159</v>
      </c>
      <c r="B314" s="24" t="s">
        <v>1082</v>
      </c>
      <c r="C314" s="24" t="s">
        <v>1046</v>
      </c>
      <c r="D314" s="5" t="e">
        <f>IF((COUNTIFS(#REF!,$C314,#REF!,"*163*"))&gt;=1,"SIM","")</f>
        <v>#REF!</v>
      </c>
      <c r="E314" s="5" t="e">
        <f>IF((COUNTIFS(#REF!,$C314,#REF!,E$1))&gt;=1,"SIM","")</f>
        <v>#REF!</v>
      </c>
      <c r="F314" s="5" t="e">
        <f>IF((COUNTIFS(#REF!,$C314,#REF!,F$1))&gt;=1,"SIM","")</f>
        <v>#REF!</v>
      </c>
      <c r="G314" s="5" t="e">
        <f>IF((COUNTIFS(#REF!,$C314,#REF!,"*606*"))&gt;=1,"SIM","")</f>
        <v>#REF!</v>
      </c>
      <c r="H314" s="5" t="e">
        <f>IF((COUNTIFS(#REF!,$C314,#REF!,"*605*"))&gt;=1,"SIM","")</f>
        <v>#REF!</v>
      </c>
      <c r="I314" s="5" t="e">
        <f>IF((COUNTIFS(#REF!,$C314,#REF!,I$1))&gt;=1,"SIM","")</f>
        <v>#REF!</v>
      </c>
      <c r="J314" s="5" t="e">
        <f>IF((COUNTIFS(#REF!,$C314,#REF!,J$1))&gt;=1,"SIM","")</f>
        <v>#REF!</v>
      </c>
      <c r="K314" s="5" t="e">
        <f>IF((COUNTIFS(#REF!,$C314,#REF!,K$1))&gt;=1,"SIM","")</f>
        <v>#REF!</v>
      </c>
      <c r="L314" s="5" t="e">
        <f>IF((COUNTIFS(#REF!,$C314,#REF!,L$1))&gt;=1,"SIM","")</f>
        <v>#REF!</v>
      </c>
      <c r="M314" s="5" t="e">
        <f>IF((COUNTIFS(#REF!,$C314,#REF!,M$1))&gt;=1,"SIM","")</f>
        <v>#REF!</v>
      </c>
      <c r="N314" s="5" t="e">
        <f>IF((COUNTIFS(#REF!,$C314,#REF!,N$1))&gt;=1,"SIM","")</f>
        <v>#REF!</v>
      </c>
      <c r="O314" s="5"/>
      <c r="P314" s="5" t="e">
        <f>IF((COUNTIFS(#REF!,$C314,#REF!,P$1))&gt;=1,"SIM","")</f>
        <v>#REF!</v>
      </c>
      <c r="Q314" s="5" t="e">
        <f>IF((COUNTIFS(#REF!,$C314,#REF!,Q$1))&gt;=1,"SIM","")</f>
        <v>#REF!</v>
      </c>
      <c r="R314" s="5" t="e">
        <f>IF((COUNTIFS(#REF!,$C314,#REF!,"*CARTA*"))&gt;=1,"SIM","")</f>
        <v>#REF!</v>
      </c>
      <c r="S314" s="5" t="e">
        <f>IF((COUNTIFS(#REF!,$C314,#REF!,"*CARTA NOTIFICAÇÃO/DEVOL*"))&gt;=1,"SIM","")</f>
        <v>#REF!</v>
      </c>
      <c r="T314" s="5" t="e">
        <f>IF((COUNTIFS(#REF!,$C314,#REF!,"*LIGAÇÃO ATIVA DEV PRIN/LOC*"))&gt;=1,"SIM","")</f>
        <v>#REF!</v>
      </c>
    </row>
    <row r="315" spans="1:20">
      <c r="A315" s="24" t="s">
        <v>2155</v>
      </c>
      <c r="B315" s="24" t="s">
        <v>102</v>
      </c>
      <c r="C315" s="24" t="s">
        <v>103</v>
      </c>
      <c r="D315" s="5" t="e">
        <f>IF((COUNTIFS(#REF!,$C315,#REF!,"*163*"))&gt;=1,"SIM","")</f>
        <v>#REF!</v>
      </c>
      <c r="E315" s="5" t="e">
        <f>IF((COUNTIFS(#REF!,$C315,#REF!,E$1))&gt;=1,"SIM","")</f>
        <v>#REF!</v>
      </c>
      <c r="F315" s="5" t="e">
        <f>IF((COUNTIFS(#REF!,$C315,#REF!,F$1))&gt;=1,"SIM","")</f>
        <v>#REF!</v>
      </c>
      <c r="G315" s="5" t="e">
        <f>IF((COUNTIFS(#REF!,$C315,#REF!,"*606*"))&gt;=1,"SIM","")</f>
        <v>#REF!</v>
      </c>
      <c r="H315" s="5" t="e">
        <f>IF((COUNTIFS(#REF!,$C315,#REF!,"*605*"))&gt;=1,"SIM","")</f>
        <v>#REF!</v>
      </c>
      <c r="I315" s="5" t="e">
        <f>IF((COUNTIFS(#REF!,$C315,#REF!,I$1))&gt;=1,"SIM","")</f>
        <v>#REF!</v>
      </c>
      <c r="J315" s="5" t="e">
        <f>IF((COUNTIFS(#REF!,$C315,#REF!,J$1))&gt;=1,"SIM","")</f>
        <v>#REF!</v>
      </c>
      <c r="K315" s="5" t="e">
        <f>IF((COUNTIFS(#REF!,$C315,#REF!,K$1))&gt;=1,"SIM","")</f>
        <v>#REF!</v>
      </c>
      <c r="L315" s="5" t="e">
        <f>IF((COUNTIFS(#REF!,$C315,#REF!,L$1))&gt;=1,"SIM","")</f>
        <v>#REF!</v>
      </c>
      <c r="M315" s="5" t="e">
        <f>IF((COUNTIFS(#REF!,$C315,#REF!,M$1))&gt;=1,"SIM","")</f>
        <v>#REF!</v>
      </c>
      <c r="N315" s="5" t="e">
        <f>IF((COUNTIFS(#REF!,$C315,#REF!,N$1))&gt;=1,"SIM","")</f>
        <v>#REF!</v>
      </c>
      <c r="O315" s="5"/>
      <c r="P315" s="5" t="e">
        <f>IF((COUNTIFS(#REF!,$C315,#REF!,P$1))&gt;=1,"SIM","")</f>
        <v>#REF!</v>
      </c>
      <c r="Q315" s="5" t="e">
        <f>IF((COUNTIFS(#REF!,$C315,#REF!,Q$1))&gt;=1,"SIM","")</f>
        <v>#REF!</v>
      </c>
      <c r="R315" s="5" t="e">
        <f>IF((COUNTIFS(#REF!,$C315,#REF!,"*CARTA*"))&gt;=1,"SIM","")</f>
        <v>#REF!</v>
      </c>
      <c r="S315" s="5" t="e">
        <f>IF((COUNTIFS(#REF!,$C315,#REF!,"*CARTA NOTIFICAÇÃO/DEVOL*"))&gt;=1,"SIM","")</f>
        <v>#REF!</v>
      </c>
      <c r="T315" s="5" t="e">
        <f>IF((COUNTIFS(#REF!,$C315,#REF!,"*LIGAÇÃO ATIVA DEV PRIN/LOC*"))&gt;=1,"SIM","")</f>
        <v>#REF!</v>
      </c>
    </row>
    <row r="316" spans="1:20">
      <c r="A316" s="24" t="s">
        <v>2153</v>
      </c>
      <c r="B316" s="24" t="s">
        <v>694</v>
      </c>
      <c r="C316" s="24" t="s">
        <v>695</v>
      </c>
      <c r="D316" s="5" t="e">
        <f>IF((COUNTIFS(#REF!,$C316,#REF!,"*163*"))&gt;=1,"SIM","")</f>
        <v>#REF!</v>
      </c>
      <c r="E316" s="5" t="e">
        <f>IF((COUNTIFS(#REF!,$C316,#REF!,E$1))&gt;=1,"SIM","")</f>
        <v>#REF!</v>
      </c>
      <c r="F316" s="5" t="e">
        <f>IF((COUNTIFS(#REF!,$C316,#REF!,F$1))&gt;=1,"SIM","")</f>
        <v>#REF!</v>
      </c>
      <c r="G316" s="5" t="e">
        <f>IF((COUNTIFS(#REF!,$C316,#REF!,"*606*"))&gt;=1,"SIM","")</f>
        <v>#REF!</v>
      </c>
      <c r="H316" s="5" t="e">
        <f>IF((COUNTIFS(#REF!,$C316,#REF!,"*605*"))&gt;=1,"SIM","")</f>
        <v>#REF!</v>
      </c>
      <c r="I316" s="5" t="e">
        <f>IF((COUNTIFS(#REF!,$C316,#REF!,I$1))&gt;=1,"SIM","")</f>
        <v>#REF!</v>
      </c>
      <c r="J316" s="5" t="e">
        <f>IF((COUNTIFS(#REF!,$C316,#REF!,J$1))&gt;=1,"SIM","")</f>
        <v>#REF!</v>
      </c>
      <c r="K316" s="5" t="e">
        <f>IF((COUNTIFS(#REF!,$C316,#REF!,K$1))&gt;=1,"SIM","")</f>
        <v>#REF!</v>
      </c>
      <c r="L316" s="5" t="e">
        <f>IF((COUNTIFS(#REF!,$C316,#REF!,L$1))&gt;=1,"SIM","")</f>
        <v>#REF!</v>
      </c>
      <c r="M316" s="5" t="e">
        <f>IF((COUNTIFS(#REF!,$C316,#REF!,M$1))&gt;=1,"SIM","")</f>
        <v>#REF!</v>
      </c>
      <c r="N316" s="5" t="e">
        <f>IF((COUNTIFS(#REF!,$C316,#REF!,N$1))&gt;=1,"SIM","")</f>
        <v>#REF!</v>
      </c>
      <c r="O316" s="5"/>
      <c r="P316" s="5" t="e">
        <f>IF((COUNTIFS(#REF!,$C316,#REF!,P$1))&gt;=1,"SIM","")</f>
        <v>#REF!</v>
      </c>
      <c r="Q316" s="5" t="e">
        <f>IF((COUNTIFS(#REF!,$C316,#REF!,Q$1))&gt;=1,"SIM","")</f>
        <v>#REF!</v>
      </c>
      <c r="R316" s="5" t="e">
        <f>IF((COUNTIFS(#REF!,$C316,#REF!,"*CARTA*"))&gt;=1,"SIM","")</f>
        <v>#REF!</v>
      </c>
      <c r="S316" s="5" t="e">
        <f>IF((COUNTIFS(#REF!,$C316,#REF!,"*CARTA NOTIFICAÇÃO/DEVOL*"))&gt;=1,"SIM","")</f>
        <v>#REF!</v>
      </c>
      <c r="T316" s="5" t="e">
        <f>IF((COUNTIFS(#REF!,$C316,#REF!,"*LIGAÇÃO ATIVA DEV PRIN/LOC*"))&gt;=1,"SIM","")</f>
        <v>#REF!</v>
      </c>
    </row>
    <row r="317" spans="1:20">
      <c r="A317" s="24" t="s">
        <v>2155</v>
      </c>
      <c r="B317" s="24" t="s">
        <v>91</v>
      </c>
      <c r="C317" s="24" t="s">
        <v>92</v>
      </c>
      <c r="D317" s="5" t="e">
        <f>IF((COUNTIFS(#REF!,$C317,#REF!,"*163*"))&gt;=1,"SIM","")</f>
        <v>#REF!</v>
      </c>
      <c r="E317" s="5" t="e">
        <f>IF((COUNTIFS(#REF!,$C317,#REF!,E$1))&gt;=1,"SIM","")</f>
        <v>#REF!</v>
      </c>
      <c r="F317" s="5" t="e">
        <f>IF((COUNTIFS(#REF!,$C317,#REF!,F$1))&gt;=1,"SIM","")</f>
        <v>#REF!</v>
      </c>
      <c r="G317" s="5" t="e">
        <f>IF((COUNTIFS(#REF!,$C317,#REF!,"*606*"))&gt;=1,"SIM","")</f>
        <v>#REF!</v>
      </c>
      <c r="H317" s="5" t="e">
        <f>IF((COUNTIFS(#REF!,$C317,#REF!,"*605*"))&gt;=1,"SIM","")</f>
        <v>#REF!</v>
      </c>
      <c r="I317" s="5" t="e">
        <f>IF((COUNTIFS(#REF!,$C317,#REF!,I$1))&gt;=1,"SIM","")</f>
        <v>#REF!</v>
      </c>
      <c r="J317" s="5" t="e">
        <f>IF((COUNTIFS(#REF!,$C317,#REF!,J$1))&gt;=1,"SIM","")</f>
        <v>#REF!</v>
      </c>
      <c r="K317" s="5" t="e">
        <f>IF((COUNTIFS(#REF!,$C317,#REF!,K$1))&gt;=1,"SIM","")</f>
        <v>#REF!</v>
      </c>
      <c r="L317" s="5" t="e">
        <f>IF((COUNTIFS(#REF!,$C317,#REF!,L$1))&gt;=1,"SIM","")</f>
        <v>#REF!</v>
      </c>
      <c r="M317" s="5" t="e">
        <f>IF((COUNTIFS(#REF!,$C317,#REF!,M$1))&gt;=1,"SIM","")</f>
        <v>#REF!</v>
      </c>
      <c r="N317" s="5" t="e">
        <f>IF((COUNTIFS(#REF!,$C317,#REF!,N$1))&gt;=1,"SIM","")</f>
        <v>#REF!</v>
      </c>
      <c r="O317" s="5"/>
      <c r="P317" s="5" t="e">
        <f>IF((COUNTIFS(#REF!,$C317,#REF!,P$1))&gt;=1,"SIM","")</f>
        <v>#REF!</v>
      </c>
      <c r="Q317" s="5" t="e">
        <f>IF((COUNTIFS(#REF!,$C317,#REF!,Q$1))&gt;=1,"SIM","")</f>
        <v>#REF!</v>
      </c>
      <c r="R317" s="5" t="e">
        <f>IF((COUNTIFS(#REF!,$C317,#REF!,"*CARTA*"))&gt;=1,"SIM","")</f>
        <v>#REF!</v>
      </c>
      <c r="S317" s="5" t="e">
        <f>IF((COUNTIFS(#REF!,$C317,#REF!,"*CARTA NOTIFICAÇÃO/DEVOL*"))&gt;=1,"SIM","")</f>
        <v>#REF!</v>
      </c>
      <c r="T317" s="5" t="e">
        <f>IF((COUNTIFS(#REF!,$C317,#REF!,"*LIGAÇÃO ATIVA DEV PRIN/LOC*"))&gt;=1,"SIM","")</f>
        <v>#REF!</v>
      </c>
    </row>
    <row r="318" spans="1:20">
      <c r="A318" s="24" t="s">
        <v>2159</v>
      </c>
      <c r="B318" s="24" t="s">
        <v>809</v>
      </c>
      <c r="C318" s="24" t="s">
        <v>810</v>
      </c>
      <c r="D318" s="5" t="e">
        <f>IF((COUNTIFS(#REF!,$C318,#REF!,"*163*"))&gt;=1,"SIM","")</f>
        <v>#REF!</v>
      </c>
      <c r="E318" s="5" t="e">
        <f>IF((COUNTIFS(#REF!,$C318,#REF!,E$1))&gt;=1,"SIM","")</f>
        <v>#REF!</v>
      </c>
      <c r="F318" s="5" t="e">
        <f>IF((COUNTIFS(#REF!,$C318,#REF!,F$1))&gt;=1,"SIM","")</f>
        <v>#REF!</v>
      </c>
      <c r="G318" s="5" t="e">
        <f>IF((COUNTIFS(#REF!,$C318,#REF!,"*606*"))&gt;=1,"SIM","")</f>
        <v>#REF!</v>
      </c>
      <c r="H318" s="5" t="e">
        <f>IF((COUNTIFS(#REF!,$C318,#REF!,"*605*"))&gt;=1,"SIM","")</f>
        <v>#REF!</v>
      </c>
      <c r="I318" s="5" t="e">
        <f>IF((COUNTIFS(#REF!,$C318,#REF!,I$1))&gt;=1,"SIM","")</f>
        <v>#REF!</v>
      </c>
      <c r="J318" s="5" t="e">
        <f>IF((COUNTIFS(#REF!,$C318,#REF!,J$1))&gt;=1,"SIM","")</f>
        <v>#REF!</v>
      </c>
      <c r="K318" s="5" t="e">
        <f>IF((COUNTIFS(#REF!,$C318,#REF!,K$1))&gt;=1,"SIM","")</f>
        <v>#REF!</v>
      </c>
      <c r="L318" s="5" t="e">
        <f>IF((COUNTIFS(#REF!,$C318,#REF!,L$1))&gt;=1,"SIM","")</f>
        <v>#REF!</v>
      </c>
      <c r="M318" s="5" t="e">
        <f>IF((COUNTIFS(#REF!,$C318,#REF!,M$1))&gt;=1,"SIM","")</f>
        <v>#REF!</v>
      </c>
      <c r="N318" s="5" t="e">
        <f>IF((COUNTIFS(#REF!,$C318,#REF!,N$1))&gt;=1,"SIM","")</f>
        <v>#REF!</v>
      </c>
      <c r="O318" s="5"/>
      <c r="P318" s="5" t="e">
        <f>IF((COUNTIFS(#REF!,$C318,#REF!,P$1))&gt;=1,"SIM","")</f>
        <v>#REF!</v>
      </c>
      <c r="Q318" s="5" t="e">
        <f>IF((COUNTIFS(#REF!,$C318,#REF!,Q$1))&gt;=1,"SIM","")</f>
        <v>#REF!</v>
      </c>
      <c r="R318" s="5" t="e">
        <f>IF((COUNTIFS(#REF!,$C318,#REF!,"*CARTA*"))&gt;=1,"SIM","")</f>
        <v>#REF!</v>
      </c>
      <c r="S318" s="5" t="e">
        <f>IF((COUNTIFS(#REF!,$C318,#REF!,"*CARTA NOTIFICAÇÃO/DEVOL*"))&gt;=1,"SIM","")</f>
        <v>#REF!</v>
      </c>
      <c r="T318" s="5" t="e">
        <f>IF((COUNTIFS(#REF!,$C318,#REF!,"*LIGAÇÃO ATIVA DEV PRIN/LOC*"))&gt;=1,"SIM","")</f>
        <v>#REF!</v>
      </c>
    </row>
    <row r="319" spans="1:20">
      <c r="A319" s="24" t="s">
        <v>2153</v>
      </c>
      <c r="B319" s="24" t="s">
        <v>668</v>
      </c>
      <c r="C319" s="24" t="s">
        <v>669</v>
      </c>
      <c r="D319" s="5" t="e">
        <f>IF((COUNTIFS(#REF!,$C319,#REF!,"*163*"))&gt;=1,"SIM","")</f>
        <v>#REF!</v>
      </c>
      <c r="E319" s="5" t="e">
        <f>IF((COUNTIFS(#REF!,$C319,#REF!,E$1))&gt;=1,"SIM","")</f>
        <v>#REF!</v>
      </c>
      <c r="F319" s="5" t="e">
        <f>IF((COUNTIFS(#REF!,$C319,#REF!,F$1))&gt;=1,"SIM","")</f>
        <v>#REF!</v>
      </c>
      <c r="G319" s="5" t="e">
        <f>IF((COUNTIFS(#REF!,$C319,#REF!,"*606*"))&gt;=1,"SIM","")</f>
        <v>#REF!</v>
      </c>
      <c r="H319" s="5" t="e">
        <f>IF((COUNTIFS(#REF!,$C319,#REF!,"*605*"))&gt;=1,"SIM","")</f>
        <v>#REF!</v>
      </c>
      <c r="I319" s="5" t="e">
        <f>IF((COUNTIFS(#REF!,$C319,#REF!,I$1))&gt;=1,"SIM","")</f>
        <v>#REF!</v>
      </c>
      <c r="J319" s="5" t="e">
        <f>IF((COUNTIFS(#REF!,$C319,#REF!,J$1))&gt;=1,"SIM","")</f>
        <v>#REF!</v>
      </c>
      <c r="K319" s="5" t="e">
        <f>IF((COUNTIFS(#REF!,$C319,#REF!,K$1))&gt;=1,"SIM","")</f>
        <v>#REF!</v>
      </c>
      <c r="L319" s="5" t="e">
        <f>IF((COUNTIFS(#REF!,$C319,#REF!,L$1))&gt;=1,"SIM","")</f>
        <v>#REF!</v>
      </c>
      <c r="M319" s="5" t="e">
        <f>IF((COUNTIFS(#REF!,$C319,#REF!,M$1))&gt;=1,"SIM","")</f>
        <v>#REF!</v>
      </c>
      <c r="N319" s="5" t="e">
        <f>IF((COUNTIFS(#REF!,$C319,#REF!,N$1))&gt;=1,"SIM","")</f>
        <v>#REF!</v>
      </c>
      <c r="O319" s="5"/>
      <c r="P319" s="5" t="e">
        <f>IF((COUNTIFS(#REF!,$C319,#REF!,P$1))&gt;=1,"SIM","")</f>
        <v>#REF!</v>
      </c>
      <c r="Q319" s="5" t="e">
        <f>IF((COUNTIFS(#REF!,$C319,#REF!,Q$1))&gt;=1,"SIM","")</f>
        <v>#REF!</v>
      </c>
      <c r="R319" s="5" t="e">
        <f>IF((COUNTIFS(#REF!,$C319,#REF!,"*CARTA*"))&gt;=1,"SIM","")</f>
        <v>#REF!</v>
      </c>
      <c r="S319" s="5" t="e">
        <f>IF((COUNTIFS(#REF!,$C319,#REF!,"*CARTA NOTIFICAÇÃO/DEVOL*"))&gt;=1,"SIM","")</f>
        <v>#REF!</v>
      </c>
      <c r="T319" s="5" t="e">
        <f>IF((COUNTIFS(#REF!,$C319,#REF!,"*LIGAÇÃO ATIVA DEV PRIN/LOC*"))&gt;=1,"SIM","")</f>
        <v>#REF!</v>
      </c>
    </row>
    <row r="320" spans="1:20">
      <c r="A320" s="24" t="s">
        <v>2153</v>
      </c>
      <c r="B320" s="24" t="s">
        <v>283</v>
      </c>
      <c r="C320" s="24" t="s">
        <v>284</v>
      </c>
      <c r="D320" s="5" t="e">
        <f>IF((COUNTIFS(#REF!,$C320,#REF!,"*163*"))&gt;=1,"SIM","")</f>
        <v>#REF!</v>
      </c>
      <c r="E320" s="5" t="e">
        <f>IF((COUNTIFS(#REF!,$C320,#REF!,E$1))&gt;=1,"SIM","")</f>
        <v>#REF!</v>
      </c>
      <c r="F320" s="5" t="e">
        <f>IF((COUNTIFS(#REF!,$C320,#REF!,F$1))&gt;=1,"SIM","")</f>
        <v>#REF!</v>
      </c>
      <c r="G320" s="5" t="e">
        <f>IF((COUNTIFS(#REF!,$C320,#REF!,"*606*"))&gt;=1,"SIM","")</f>
        <v>#REF!</v>
      </c>
      <c r="H320" s="5" t="e">
        <f>IF((COUNTIFS(#REF!,$C320,#REF!,"*605*"))&gt;=1,"SIM","")</f>
        <v>#REF!</v>
      </c>
      <c r="I320" s="5" t="e">
        <f>IF((COUNTIFS(#REF!,$C320,#REF!,I$1))&gt;=1,"SIM","")</f>
        <v>#REF!</v>
      </c>
      <c r="J320" s="5" t="e">
        <f>IF((COUNTIFS(#REF!,$C320,#REF!,J$1))&gt;=1,"SIM","")</f>
        <v>#REF!</v>
      </c>
      <c r="K320" s="5" t="e">
        <f>IF((COUNTIFS(#REF!,$C320,#REF!,K$1))&gt;=1,"SIM","")</f>
        <v>#REF!</v>
      </c>
      <c r="L320" s="5" t="e">
        <f>IF((COUNTIFS(#REF!,$C320,#REF!,L$1))&gt;=1,"SIM","")</f>
        <v>#REF!</v>
      </c>
      <c r="M320" s="5" t="e">
        <f>IF((COUNTIFS(#REF!,$C320,#REF!,M$1))&gt;=1,"SIM","")</f>
        <v>#REF!</v>
      </c>
      <c r="N320" s="5" t="e">
        <f>IF((COUNTIFS(#REF!,$C320,#REF!,N$1))&gt;=1,"SIM","")</f>
        <v>#REF!</v>
      </c>
      <c r="O320" s="5"/>
      <c r="P320" s="5" t="e">
        <f>IF((COUNTIFS(#REF!,$C320,#REF!,P$1))&gt;=1,"SIM","")</f>
        <v>#REF!</v>
      </c>
      <c r="Q320" s="5" t="e">
        <f>IF((COUNTIFS(#REF!,$C320,#REF!,Q$1))&gt;=1,"SIM","")</f>
        <v>#REF!</v>
      </c>
      <c r="R320" s="5" t="e">
        <f>IF((COUNTIFS(#REF!,$C320,#REF!,"*CARTA*"))&gt;=1,"SIM","")</f>
        <v>#REF!</v>
      </c>
      <c r="S320" s="5" t="e">
        <f>IF((COUNTIFS(#REF!,$C320,#REF!,"*CARTA NOTIFICAÇÃO/DEVOL*"))&gt;=1,"SIM","")</f>
        <v>#REF!</v>
      </c>
      <c r="T320" s="5" t="e">
        <f>IF((COUNTIFS(#REF!,$C320,#REF!,"*LIGAÇÃO ATIVA DEV PRIN/LOC*"))&gt;=1,"SIM","")</f>
        <v>#REF!</v>
      </c>
    </row>
    <row r="321" spans="1:20">
      <c r="A321" s="24" t="s">
        <v>2158</v>
      </c>
      <c r="B321" s="24" t="s">
        <v>1835</v>
      </c>
      <c r="C321" s="24" t="s">
        <v>1836</v>
      </c>
      <c r="D321" s="5" t="e">
        <f>IF((COUNTIFS(#REF!,$C321,#REF!,"*163*"))&gt;=1,"SIM","")</f>
        <v>#REF!</v>
      </c>
      <c r="E321" s="5" t="e">
        <f>IF((COUNTIFS(#REF!,$C321,#REF!,E$1))&gt;=1,"SIM","")</f>
        <v>#REF!</v>
      </c>
      <c r="F321" s="5" t="e">
        <f>IF((COUNTIFS(#REF!,$C321,#REF!,F$1))&gt;=1,"SIM","")</f>
        <v>#REF!</v>
      </c>
      <c r="G321" s="5" t="e">
        <f>IF((COUNTIFS(#REF!,$C321,#REF!,"*606*"))&gt;=1,"SIM","")</f>
        <v>#REF!</v>
      </c>
      <c r="H321" s="5" t="e">
        <f>IF((COUNTIFS(#REF!,$C321,#REF!,"*605*"))&gt;=1,"SIM","")</f>
        <v>#REF!</v>
      </c>
      <c r="I321" s="5" t="e">
        <f>IF((COUNTIFS(#REF!,$C321,#REF!,I$1))&gt;=1,"SIM","")</f>
        <v>#REF!</v>
      </c>
      <c r="J321" s="5" t="e">
        <f>IF((COUNTIFS(#REF!,$C321,#REF!,J$1))&gt;=1,"SIM","")</f>
        <v>#REF!</v>
      </c>
      <c r="K321" s="5" t="e">
        <f>IF((COUNTIFS(#REF!,$C321,#REF!,K$1))&gt;=1,"SIM","")</f>
        <v>#REF!</v>
      </c>
      <c r="L321" s="5" t="e">
        <f>IF((COUNTIFS(#REF!,$C321,#REF!,L$1))&gt;=1,"SIM","")</f>
        <v>#REF!</v>
      </c>
      <c r="M321" s="5" t="e">
        <f>IF((COUNTIFS(#REF!,$C321,#REF!,M$1))&gt;=1,"SIM","")</f>
        <v>#REF!</v>
      </c>
      <c r="N321" s="5" t="e">
        <f>IF((COUNTIFS(#REF!,$C321,#REF!,N$1))&gt;=1,"SIM","")</f>
        <v>#REF!</v>
      </c>
      <c r="O321" s="5"/>
      <c r="P321" s="5" t="e">
        <f>IF((COUNTIFS(#REF!,$C321,#REF!,P$1))&gt;=1,"SIM","")</f>
        <v>#REF!</v>
      </c>
      <c r="Q321" s="5" t="e">
        <f>IF((COUNTIFS(#REF!,$C321,#REF!,Q$1))&gt;=1,"SIM","")</f>
        <v>#REF!</v>
      </c>
      <c r="R321" s="5" t="e">
        <f>IF((COUNTIFS(#REF!,$C321,#REF!,"*CARTA*"))&gt;=1,"SIM","")</f>
        <v>#REF!</v>
      </c>
      <c r="S321" s="5" t="e">
        <f>IF((COUNTIFS(#REF!,$C321,#REF!,"*CARTA NOTIFICAÇÃO/DEVOL*"))&gt;=1,"SIM","")</f>
        <v>#REF!</v>
      </c>
      <c r="T321" s="5" t="e">
        <f>IF((COUNTIFS(#REF!,$C321,#REF!,"*LIGAÇÃO ATIVA DEV PRIN/LOC*"))&gt;=1,"SIM","")</f>
        <v>#REF!</v>
      </c>
    </row>
    <row r="322" spans="1:20">
      <c r="A322" s="24" t="s">
        <v>2153</v>
      </c>
      <c r="B322" s="24" t="s">
        <v>760</v>
      </c>
      <c r="C322" s="24" t="s">
        <v>761</v>
      </c>
      <c r="D322" s="5" t="e">
        <f>IF((COUNTIFS(#REF!,$C322,#REF!,"*163*"))&gt;=1,"SIM","")</f>
        <v>#REF!</v>
      </c>
      <c r="E322" s="5" t="e">
        <f>IF((COUNTIFS(#REF!,$C322,#REF!,E$1))&gt;=1,"SIM","")</f>
        <v>#REF!</v>
      </c>
      <c r="F322" s="5" t="e">
        <f>IF((COUNTIFS(#REF!,$C322,#REF!,F$1))&gt;=1,"SIM","")</f>
        <v>#REF!</v>
      </c>
      <c r="G322" s="5" t="e">
        <f>IF((COUNTIFS(#REF!,$C322,#REF!,"*606*"))&gt;=1,"SIM","")</f>
        <v>#REF!</v>
      </c>
      <c r="H322" s="5" t="e">
        <f>IF((COUNTIFS(#REF!,$C322,#REF!,"*605*"))&gt;=1,"SIM","")</f>
        <v>#REF!</v>
      </c>
      <c r="I322" s="5" t="e">
        <f>IF((COUNTIFS(#REF!,$C322,#REF!,I$1))&gt;=1,"SIM","")</f>
        <v>#REF!</v>
      </c>
      <c r="J322" s="5" t="e">
        <f>IF((COUNTIFS(#REF!,$C322,#REF!,J$1))&gt;=1,"SIM","")</f>
        <v>#REF!</v>
      </c>
      <c r="K322" s="5" t="e">
        <f>IF((COUNTIFS(#REF!,$C322,#REF!,K$1))&gt;=1,"SIM","")</f>
        <v>#REF!</v>
      </c>
      <c r="L322" s="5" t="e">
        <f>IF((COUNTIFS(#REF!,$C322,#REF!,L$1))&gt;=1,"SIM","")</f>
        <v>#REF!</v>
      </c>
      <c r="M322" s="5" t="e">
        <f>IF((COUNTIFS(#REF!,$C322,#REF!,M$1))&gt;=1,"SIM","")</f>
        <v>#REF!</v>
      </c>
      <c r="N322" s="5" t="e">
        <f>IF((COUNTIFS(#REF!,$C322,#REF!,N$1))&gt;=1,"SIM","")</f>
        <v>#REF!</v>
      </c>
      <c r="O322" s="5"/>
      <c r="P322" s="5" t="e">
        <f>IF((COUNTIFS(#REF!,$C322,#REF!,P$1))&gt;=1,"SIM","")</f>
        <v>#REF!</v>
      </c>
      <c r="Q322" s="5" t="e">
        <f>IF((COUNTIFS(#REF!,$C322,#REF!,Q$1))&gt;=1,"SIM","")</f>
        <v>#REF!</v>
      </c>
      <c r="R322" s="5" t="e">
        <f>IF((COUNTIFS(#REF!,$C322,#REF!,"*CARTA*"))&gt;=1,"SIM","")</f>
        <v>#REF!</v>
      </c>
      <c r="S322" s="5" t="e">
        <f>IF((COUNTIFS(#REF!,$C322,#REF!,"*CARTA NOTIFICAÇÃO/DEVOL*"))&gt;=1,"SIM","")</f>
        <v>#REF!</v>
      </c>
      <c r="T322" s="5" t="e">
        <f>IF((COUNTIFS(#REF!,$C322,#REF!,"*LIGAÇÃO ATIVA DEV PRIN/LOC*"))&gt;=1,"SIM","")</f>
        <v>#REF!</v>
      </c>
    </row>
    <row r="323" spans="1:20">
      <c r="A323" s="24" t="s">
        <v>2159</v>
      </c>
      <c r="B323" s="24" t="s">
        <v>2057</v>
      </c>
      <c r="C323" s="24" t="s">
        <v>2058</v>
      </c>
      <c r="D323" s="5" t="e">
        <f>IF((COUNTIFS(#REF!,$C323,#REF!,"*163*"))&gt;=1,"SIM","")</f>
        <v>#REF!</v>
      </c>
      <c r="E323" s="5" t="e">
        <f>IF((COUNTIFS(#REF!,$C323,#REF!,E$1))&gt;=1,"SIM","")</f>
        <v>#REF!</v>
      </c>
      <c r="F323" s="5" t="e">
        <f>IF((COUNTIFS(#REF!,$C323,#REF!,F$1))&gt;=1,"SIM","")</f>
        <v>#REF!</v>
      </c>
      <c r="G323" s="5" t="e">
        <f>IF((COUNTIFS(#REF!,$C323,#REF!,"*606*"))&gt;=1,"SIM","")</f>
        <v>#REF!</v>
      </c>
      <c r="H323" s="5" t="e">
        <f>IF((COUNTIFS(#REF!,$C323,#REF!,"*605*"))&gt;=1,"SIM","")</f>
        <v>#REF!</v>
      </c>
      <c r="I323" s="5" t="e">
        <f>IF((COUNTIFS(#REF!,$C323,#REF!,I$1))&gt;=1,"SIM","")</f>
        <v>#REF!</v>
      </c>
      <c r="J323" s="5" t="e">
        <f>IF((COUNTIFS(#REF!,$C323,#REF!,J$1))&gt;=1,"SIM","")</f>
        <v>#REF!</v>
      </c>
      <c r="K323" s="5" t="e">
        <f>IF((COUNTIFS(#REF!,$C323,#REF!,K$1))&gt;=1,"SIM","")</f>
        <v>#REF!</v>
      </c>
      <c r="L323" s="5" t="e">
        <f>IF((COUNTIFS(#REF!,$C323,#REF!,L$1))&gt;=1,"SIM","")</f>
        <v>#REF!</v>
      </c>
      <c r="M323" s="5" t="e">
        <f>IF((COUNTIFS(#REF!,$C323,#REF!,M$1))&gt;=1,"SIM","")</f>
        <v>#REF!</v>
      </c>
      <c r="N323" s="5" t="e">
        <f>IF((COUNTIFS(#REF!,$C323,#REF!,N$1))&gt;=1,"SIM","")</f>
        <v>#REF!</v>
      </c>
      <c r="O323" s="5"/>
      <c r="P323" s="5" t="e">
        <f>IF((COUNTIFS(#REF!,$C323,#REF!,P$1))&gt;=1,"SIM","")</f>
        <v>#REF!</v>
      </c>
      <c r="Q323" s="5" t="e">
        <f>IF((COUNTIFS(#REF!,$C323,#REF!,Q$1))&gt;=1,"SIM","")</f>
        <v>#REF!</v>
      </c>
      <c r="R323" s="5" t="e">
        <f>IF((COUNTIFS(#REF!,$C323,#REF!,"*CARTA*"))&gt;=1,"SIM","")</f>
        <v>#REF!</v>
      </c>
      <c r="S323" s="5" t="e">
        <f>IF((COUNTIFS(#REF!,$C323,#REF!,"*CARTA NOTIFICAÇÃO/DEVOL*"))&gt;=1,"SIM","")</f>
        <v>#REF!</v>
      </c>
      <c r="T323" s="5" t="e">
        <f>IF((COUNTIFS(#REF!,$C323,#REF!,"*LIGAÇÃO ATIVA DEV PRIN/LOC*"))&gt;=1,"SIM","")</f>
        <v>#REF!</v>
      </c>
    </row>
    <row r="324" spans="1:20">
      <c r="A324" s="24" t="s">
        <v>2159</v>
      </c>
      <c r="B324" s="24" t="s">
        <v>1718</v>
      </c>
      <c r="C324" s="24" t="s">
        <v>1719</v>
      </c>
      <c r="D324" s="5" t="e">
        <f>IF((COUNTIFS(#REF!,$C324,#REF!,"*163*"))&gt;=1,"SIM","")</f>
        <v>#REF!</v>
      </c>
      <c r="E324" s="5" t="e">
        <f>IF((COUNTIFS(#REF!,$C324,#REF!,E$1))&gt;=1,"SIM","")</f>
        <v>#REF!</v>
      </c>
      <c r="F324" s="5" t="e">
        <f>IF((COUNTIFS(#REF!,$C324,#REF!,F$1))&gt;=1,"SIM","")</f>
        <v>#REF!</v>
      </c>
      <c r="G324" s="5" t="e">
        <f>IF((COUNTIFS(#REF!,$C324,#REF!,"*606*"))&gt;=1,"SIM","")</f>
        <v>#REF!</v>
      </c>
      <c r="H324" s="5" t="e">
        <f>IF((COUNTIFS(#REF!,$C324,#REF!,"*605*"))&gt;=1,"SIM","")</f>
        <v>#REF!</v>
      </c>
      <c r="I324" s="5" t="e">
        <f>IF((COUNTIFS(#REF!,$C324,#REF!,I$1))&gt;=1,"SIM","")</f>
        <v>#REF!</v>
      </c>
      <c r="J324" s="5" t="e">
        <f>IF((COUNTIFS(#REF!,$C324,#REF!,J$1))&gt;=1,"SIM","")</f>
        <v>#REF!</v>
      </c>
      <c r="K324" s="5" t="e">
        <f>IF((COUNTIFS(#REF!,$C324,#REF!,K$1))&gt;=1,"SIM","")</f>
        <v>#REF!</v>
      </c>
      <c r="L324" s="5" t="e">
        <f>IF((COUNTIFS(#REF!,$C324,#REF!,L$1))&gt;=1,"SIM","")</f>
        <v>#REF!</v>
      </c>
      <c r="M324" s="5" t="e">
        <f>IF((COUNTIFS(#REF!,$C324,#REF!,M$1))&gt;=1,"SIM","")</f>
        <v>#REF!</v>
      </c>
      <c r="N324" s="5" t="e">
        <f>IF((COUNTIFS(#REF!,$C324,#REF!,N$1))&gt;=1,"SIM","")</f>
        <v>#REF!</v>
      </c>
      <c r="O324" s="5"/>
      <c r="P324" s="5" t="e">
        <f>IF((COUNTIFS(#REF!,$C324,#REF!,P$1))&gt;=1,"SIM","")</f>
        <v>#REF!</v>
      </c>
      <c r="Q324" s="5" t="e">
        <f>IF((COUNTIFS(#REF!,$C324,#REF!,Q$1))&gt;=1,"SIM","")</f>
        <v>#REF!</v>
      </c>
      <c r="R324" s="5" t="e">
        <f>IF((COUNTIFS(#REF!,$C324,#REF!,"*CARTA*"))&gt;=1,"SIM","")</f>
        <v>#REF!</v>
      </c>
      <c r="S324" s="5" t="e">
        <f>IF((COUNTIFS(#REF!,$C324,#REF!,"*CARTA NOTIFICAÇÃO/DEVOL*"))&gt;=1,"SIM","")</f>
        <v>#REF!</v>
      </c>
      <c r="T324" s="5" t="e">
        <f>IF((COUNTIFS(#REF!,$C324,#REF!,"*LIGAÇÃO ATIVA DEV PRIN/LOC*"))&gt;=1,"SIM","")</f>
        <v>#REF!</v>
      </c>
    </row>
    <row r="325" spans="1:20">
      <c r="A325" s="24" t="s">
        <v>2159</v>
      </c>
      <c r="B325" s="24" t="s">
        <v>1039</v>
      </c>
      <c r="C325" s="24" t="s">
        <v>1040</v>
      </c>
      <c r="D325" s="5" t="e">
        <f>IF((COUNTIFS(#REF!,$C325,#REF!,"*163*"))&gt;=1,"SIM","")</f>
        <v>#REF!</v>
      </c>
      <c r="E325" s="5" t="e">
        <f>IF((COUNTIFS(#REF!,$C325,#REF!,E$1))&gt;=1,"SIM","")</f>
        <v>#REF!</v>
      </c>
      <c r="F325" s="5" t="e">
        <f>IF((COUNTIFS(#REF!,$C325,#REF!,F$1))&gt;=1,"SIM","")</f>
        <v>#REF!</v>
      </c>
      <c r="G325" s="5" t="e">
        <f>IF((COUNTIFS(#REF!,$C325,#REF!,"*606*"))&gt;=1,"SIM","")</f>
        <v>#REF!</v>
      </c>
      <c r="H325" s="5" t="e">
        <f>IF((COUNTIFS(#REF!,$C325,#REF!,"*605*"))&gt;=1,"SIM","")</f>
        <v>#REF!</v>
      </c>
      <c r="I325" s="5" t="e">
        <f>IF((COUNTIFS(#REF!,$C325,#REF!,I$1))&gt;=1,"SIM","")</f>
        <v>#REF!</v>
      </c>
      <c r="J325" s="5" t="e">
        <f>IF((COUNTIFS(#REF!,$C325,#REF!,J$1))&gt;=1,"SIM","")</f>
        <v>#REF!</v>
      </c>
      <c r="K325" s="5" t="e">
        <f>IF((COUNTIFS(#REF!,$C325,#REF!,K$1))&gt;=1,"SIM","")</f>
        <v>#REF!</v>
      </c>
      <c r="L325" s="5" t="e">
        <f>IF((COUNTIFS(#REF!,$C325,#REF!,L$1))&gt;=1,"SIM","")</f>
        <v>#REF!</v>
      </c>
      <c r="M325" s="5" t="e">
        <f>IF((COUNTIFS(#REF!,$C325,#REF!,M$1))&gt;=1,"SIM","")</f>
        <v>#REF!</v>
      </c>
      <c r="N325" s="5" t="e">
        <f>IF((COUNTIFS(#REF!,$C325,#REF!,N$1))&gt;=1,"SIM","")</f>
        <v>#REF!</v>
      </c>
      <c r="O325" s="5"/>
      <c r="P325" s="5" t="e">
        <f>IF((COUNTIFS(#REF!,$C325,#REF!,P$1))&gt;=1,"SIM","")</f>
        <v>#REF!</v>
      </c>
      <c r="Q325" s="5" t="e">
        <f>IF((COUNTIFS(#REF!,$C325,#REF!,Q$1))&gt;=1,"SIM","")</f>
        <v>#REF!</v>
      </c>
      <c r="R325" s="5" t="e">
        <f>IF((COUNTIFS(#REF!,$C325,#REF!,"*CARTA*"))&gt;=1,"SIM","")</f>
        <v>#REF!</v>
      </c>
      <c r="S325" s="5" t="e">
        <f>IF((COUNTIFS(#REF!,$C325,#REF!,"*CARTA NOTIFICAÇÃO/DEVOL*"))&gt;=1,"SIM","")</f>
        <v>#REF!</v>
      </c>
      <c r="T325" s="5" t="e">
        <f>IF((COUNTIFS(#REF!,$C325,#REF!,"*LIGAÇÃO ATIVA DEV PRIN/LOC*"))&gt;=1,"SIM","")</f>
        <v>#REF!</v>
      </c>
    </row>
    <row r="326" spans="1:20">
      <c r="A326" s="24" t="s">
        <v>2159</v>
      </c>
      <c r="B326" s="24" t="s">
        <v>1550</v>
      </c>
      <c r="C326" s="24" t="s">
        <v>1551</v>
      </c>
      <c r="D326" s="5" t="e">
        <f>IF((COUNTIFS(#REF!,$C326,#REF!,"*163*"))&gt;=1,"SIM","")</f>
        <v>#REF!</v>
      </c>
      <c r="E326" s="5" t="e">
        <f>IF((COUNTIFS(#REF!,$C326,#REF!,E$1))&gt;=1,"SIM","")</f>
        <v>#REF!</v>
      </c>
      <c r="F326" s="5" t="e">
        <f>IF((COUNTIFS(#REF!,$C326,#REF!,F$1))&gt;=1,"SIM","")</f>
        <v>#REF!</v>
      </c>
      <c r="G326" s="5" t="e">
        <f>IF((COUNTIFS(#REF!,$C326,#REF!,"*606*"))&gt;=1,"SIM","")</f>
        <v>#REF!</v>
      </c>
      <c r="H326" s="5" t="e">
        <f>IF((COUNTIFS(#REF!,$C326,#REF!,"*605*"))&gt;=1,"SIM","")</f>
        <v>#REF!</v>
      </c>
      <c r="I326" s="5" t="e">
        <f>IF((COUNTIFS(#REF!,$C326,#REF!,I$1))&gt;=1,"SIM","")</f>
        <v>#REF!</v>
      </c>
      <c r="J326" s="5" t="e">
        <f>IF((COUNTIFS(#REF!,$C326,#REF!,J$1))&gt;=1,"SIM","")</f>
        <v>#REF!</v>
      </c>
      <c r="K326" s="5" t="e">
        <f>IF((COUNTIFS(#REF!,$C326,#REF!,K$1))&gt;=1,"SIM","")</f>
        <v>#REF!</v>
      </c>
      <c r="L326" s="5" t="e">
        <f>IF((COUNTIFS(#REF!,$C326,#REF!,L$1))&gt;=1,"SIM","")</f>
        <v>#REF!</v>
      </c>
      <c r="M326" s="5" t="e">
        <f>IF((COUNTIFS(#REF!,$C326,#REF!,M$1))&gt;=1,"SIM","")</f>
        <v>#REF!</v>
      </c>
      <c r="N326" s="5" t="e">
        <f>IF((COUNTIFS(#REF!,$C326,#REF!,N$1))&gt;=1,"SIM","")</f>
        <v>#REF!</v>
      </c>
      <c r="O326" s="5"/>
      <c r="P326" s="5" t="e">
        <f>IF((COUNTIFS(#REF!,$C326,#REF!,P$1))&gt;=1,"SIM","")</f>
        <v>#REF!</v>
      </c>
      <c r="Q326" s="5" t="e">
        <f>IF((COUNTIFS(#REF!,$C326,#REF!,Q$1))&gt;=1,"SIM","")</f>
        <v>#REF!</v>
      </c>
      <c r="R326" s="5" t="e">
        <f>IF((COUNTIFS(#REF!,$C326,#REF!,"*CARTA*"))&gt;=1,"SIM","")</f>
        <v>#REF!</v>
      </c>
      <c r="S326" s="5" t="e">
        <f>IF((COUNTIFS(#REF!,$C326,#REF!,"*CARTA NOTIFICAÇÃO/DEVOL*"))&gt;=1,"SIM","")</f>
        <v>#REF!</v>
      </c>
      <c r="T326" s="5" t="e">
        <f>IF((COUNTIFS(#REF!,$C326,#REF!,"*LIGAÇÃO ATIVA DEV PRIN/LOC*"))&gt;=1,"SIM","")</f>
        <v>#REF!</v>
      </c>
    </row>
    <row r="327" spans="1:20">
      <c r="A327" s="24" t="s">
        <v>2153</v>
      </c>
      <c r="B327" s="24" t="s">
        <v>1164</v>
      </c>
      <c r="C327" s="24" t="s">
        <v>1165</v>
      </c>
      <c r="D327" s="5" t="e">
        <f>IF((COUNTIFS(#REF!,$C327,#REF!,"*163*"))&gt;=1,"SIM","")</f>
        <v>#REF!</v>
      </c>
      <c r="E327" s="5" t="e">
        <f>IF((COUNTIFS(#REF!,$C327,#REF!,E$1))&gt;=1,"SIM","")</f>
        <v>#REF!</v>
      </c>
      <c r="F327" s="5" t="e">
        <f>IF((COUNTIFS(#REF!,$C327,#REF!,F$1))&gt;=1,"SIM","")</f>
        <v>#REF!</v>
      </c>
      <c r="G327" s="5" t="e">
        <f>IF((COUNTIFS(#REF!,$C327,#REF!,"*606*"))&gt;=1,"SIM","")</f>
        <v>#REF!</v>
      </c>
      <c r="H327" s="5" t="e">
        <f>IF((COUNTIFS(#REF!,$C327,#REF!,"*605*"))&gt;=1,"SIM","")</f>
        <v>#REF!</v>
      </c>
      <c r="I327" s="5" t="e">
        <f>IF((COUNTIFS(#REF!,$C327,#REF!,I$1))&gt;=1,"SIM","")</f>
        <v>#REF!</v>
      </c>
      <c r="J327" s="5" t="e">
        <f>IF((COUNTIFS(#REF!,$C327,#REF!,J$1))&gt;=1,"SIM","")</f>
        <v>#REF!</v>
      </c>
      <c r="K327" s="5" t="e">
        <f>IF((COUNTIFS(#REF!,$C327,#REF!,K$1))&gt;=1,"SIM","")</f>
        <v>#REF!</v>
      </c>
      <c r="L327" s="5" t="e">
        <f>IF((COUNTIFS(#REF!,$C327,#REF!,L$1))&gt;=1,"SIM","")</f>
        <v>#REF!</v>
      </c>
      <c r="M327" s="5" t="e">
        <f>IF((COUNTIFS(#REF!,$C327,#REF!,M$1))&gt;=1,"SIM","")</f>
        <v>#REF!</v>
      </c>
      <c r="N327" s="5" t="e">
        <f>IF((COUNTIFS(#REF!,$C327,#REF!,N$1))&gt;=1,"SIM","")</f>
        <v>#REF!</v>
      </c>
      <c r="O327" s="5"/>
      <c r="P327" s="5" t="e">
        <f>IF((COUNTIFS(#REF!,$C327,#REF!,P$1))&gt;=1,"SIM","")</f>
        <v>#REF!</v>
      </c>
      <c r="Q327" s="5" t="e">
        <f>IF((COUNTIFS(#REF!,$C327,#REF!,Q$1))&gt;=1,"SIM","")</f>
        <v>#REF!</v>
      </c>
      <c r="R327" s="5" t="e">
        <f>IF((COUNTIFS(#REF!,$C327,#REF!,"*CARTA*"))&gt;=1,"SIM","")</f>
        <v>#REF!</v>
      </c>
      <c r="S327" s="5" t="e">
        <f>IF((COUNTIFS(#REF!,$C327,#REF!,"*CARTA NOTIFICAÇÃO/DEVOL*"))&gt;=1,"SIM","")</f>
        <v>#REF!</v>
      </c>
      <c r="T327" s="5" t="e">
        <f>IF((COUNTIFS(#REF!,$C327,#REF!,"*LIGAÇÃO ATIVA DEV PRIN/LOC*"))&gt;=1,"SIM","")</f>
        <v>#REF!</v>
      </c>
    </row>
    <row r="328" spans="1:20">
      <c r="A328" s="24" t="s">
        <v>2153</v>
      </c>
      <c r="B328" s="24" t="s">
        <v>648</v>
      </c>
      <c r="C328" s="24" t="s">
        <v>649</v>
      </c>
      <c r="D328" s="5" t="e">
        <f>IF((COUNTIFS(#REF!,$C328,#REF!,"*163*"))&gt;=1,"SIM","")</f>
        <v>#REF!</v>
      </c>
      <c r="E328" s="5" t="e">
        <f>IF((COUNTIFS(#REF!,$C328,#REF!,E$1))&gt;=1,"SIM","")</f>
        <v>#REF!</v>
      </c>
      <c r="F328" s="5" t="e">
        <f>IF((COUNTIFS(#REF!,$C328,#REF!,F$1))&gt;=1,"SIM","")</f>
        <v>#REF!</v>
      </c>
      <c r="G328" s="5" t="e">
        <f>IF((COUNTIFS(#REF!,$C328,#REF!,"*606*"))&gt;=1,"SIM","")</f>
        <v>#REF!</v>
      </c>
      <c r="H328" s="5" t="e">
        <f>IF((COUNTIFS(#REF!,$C328,#REF!,"*605*"))&gt;=1,"SIM","")</f>
        <v>#REF!</v>
      </c>
      <c r="I328" s="5" t="e">
        <f>IF((COUNTIFS(#REF!,$C328,#REF!,I$1))&gt;=1,"SIM","")</f>
        <v>#REF!</v>
      </c>
      <c r="J328" s="5" t="e">
        <f>IF((COUNTIFS(#REF!,$C328,#REF!,J$1))&gt;=1,"SIM","")</f>
        <v>#REF!</v>
      </c>
      <c r="K328" s="5" t="e">
        <f>IF((COUNTIFS(#REF!,$C328,#REF!,K$1))&gt;=1,"SIM","")</f>
        <v>#REF!</v>
      </c>
      <c r="L328" s="5" t="e">
        <f>IF((COUNTIFS(#REF!,$C328,#REF!,L$1))&gt;=1,"SIM","")</f>
        <v>#REF!</v>
      </c>
      <c r="M328" s="5" t="e">
        <f>IF((COUNTIFS(#REF!,$C328,#REF!,M$1))&gt;=1,"SIM","")</f>
        <v>#REF!</v>
      </c>
      <c r="N328" s="5" t="e">
        <f>IF((COUNTIFS(#REF!,$C328,#REF!,N$1))&gt;=1,"SIM","")</f>
        <v>#REF!</v>
      </c>
      <c r="O328" s="5"/>
      <c r="P328" s="5" t="e">
        <f>IF((COUNTIFS(#REF!,$C328,#REF!,P$1))&gt;=1,"SIM","")</f>
        <v>#REF!</v>
      </c>
      <c r="Q328" s="5" t="e">
        <f>IF((COUNTIFS(#REF!,$C328,#REF!,Q$1))&gt;=1,"SIM","")</f>
        <v>#REF!</v>
      </c>
      <c r="R328" s="5" t="e">
        <f>IF((COUNTIFS(#REF!,$C328,#REF!,"*CARTA*"))&gt;=1,"SIM","")</f>
        <v>#REF!</v>
      </c>
      <c r="S328" s="5" t="e">
        <f>IF((COUNTIFS(#REF!,$C328,#REF!,"*CARTA NOTIFICAÇÃO/DEVOL*"))&gt;=1,"SIM","")</f>
        <v>#REF!</v>
      </c>
      <c r="T328" s="5" t="e">
        <f>IF((COUNTIFS(#REF!,$C328,#REF!,"*LIGAÇÃO ATIVA DEV PRIN/LOC*"))&gt;=1,"SIM","")</f>
        <v>#REF!</v>
      </c>
    </row>
    <row r="329" spans="1:20">
      <c r="A329" s="24" t="s">
        <v>2153</v>
      </c>
      <c r="B329" s="24" t="s">
        <v>537</v>
      </c>
      <c r="C329" s="24" t="s">
        <v>538</v>
      </c>
      <c r="D329" s="5" t="e">
        <f>IF((COUNTIFS(#REF!,$C329,#REF!,"*163*"))&gt;=1,"SIM","")</f>
        <v>#REF!</v>
      </c>
      <c r="E329" s="5" t="e">
        <f>IF((COUNTIFS(#REF!,$C329,#REF!,E$1))&gt;=1,"SIM","")</f>
        <v>#REF!</v>
      </c>
      <c r="F329" s="5" t="e">
        <f>IF((COUNTIFS(#REF!,$C329,#REF!,F$1))&gt;=1,"SIM","")</f>
        <v>#REF!</v>
      </c>
      <c r="G329" s="5" t="e">
        <f>IF((COUNTIFS(#REF!,$C329,#REF!,"*606*"))&gt;=1,"SIM","")</f>
        <v>#REF!</v>
      </c>
      <c r="H329" s="5" t="e">
        <f>IF((COUNTIFS(#REF!,$C329,#REF!,"*605*"))&gt;=1,"SIM","")</f>
        <v>#REF!</v>
      </c>
      <c r="I329" s="5" t="e">
        <f>IF((COUNTIFS(#REF!,$C329,#REF!,I$1))&gt;=1,"SIM","")</f>
        <v>#REF!</v>
      </c>
      <c r="J329" s="5" t="e">
        <f>IF((COUNTIFS(#REF!,$C329,#REF!,J$1))&gt;=1,"SIM","")</f>
        <v>#REF!</v>
      </c>
      <c r="K329" s="5" t="e">
        <f>IF((COUNTIFS(#REF!,$C329,#REF!,K$1))&gt;=1,"SIM","")</f>
        <v>#REF!</v>
      </c>
      <c r="L329" s="5" t="e">
        <f>IF((COUNTIFS(#REF!,$C329,#REF!,L$1))&gt;=1,"SIM","")</f>
        <v>#REF!</v>
      </c>
      <c r="M329" s="5" t="e">
        <f>IF((COUNTIFS(#REF!,$C329,#REF!,M$1))&gt;=1,"SIM","")</f>
        <v>#REF!</v>
      </c>
      <c r="N329" s="5" t="e">
        <f>IF((COUNTIFS(#REF!,$C329,#REF!,N$1))&gt;=1,"SIM","")</f>
        <v>#REF!</v>
      </c>
      <c r="O329" s="5"/>
      <c r="P329" s="5" t="e">
        <f>IF((COUNTIFS(#REF!,$C329,#REF!,P$1))&gt;=1,"SIM","")</f>
        <v>#REF!</v>
      </c>
      <c r="Q329" s="5" t="e">
        <f>IF((COUNTIFS(#REF!,$C329,#REF!,Q$1))&gt;=1,"SIM","")</f>
        <v>#REF!</v>
      </c>
      <c r="R329" s="5" t="e">
        <f>IF((COUNTIFS(#REF!,$C329,#REF!,"*CARTA*"))&gt;=1,"SIM","")</f>
        <v>#REF!</v>
      </c>
      <c r="S329" s="5" t="e">
        <f>IF((COUNTIFS(#REF!,$C329,#REF!,"*CARTA NOTIFICAÇÃO/DEVOL*"))&gt;=1,"SIM","")</f>
        <v>#REF!</v>
      </c>
      <c r="T329" s="5" t="e">
        <f>IF((COUNTIFS(#REF!,$C329,#REF!,"*LIGAÇÃO ATIVA DEV PRIN/LOC*"))&gt;=1,"SIM","")</f>
        <v>#REF!</v>
      </c>
    </row>
    <row r="330" spans="1:20">
      <c r="A330" s="24" t="s">
        <v>2153</v>
      </c>
      <c r="B330" s="24" t="s">
        <v>922</v>
      </c>
      <c r="C330" s="24" t="s">
        <v>923</v>
      </c>
      <c r="D330" s="5" t="e">
        <f>IF((COUNTIFS(#REF!,$C330,#REF!,"*163*"))&gt;=1,"SIM","")</f>
        <v>#REF!</v>
      </c>
      <c r="E330" s="5" t="e">
        <f>IF((COUNTIFS(#REF!,$C330,#REF!,E$1))&gt;=1,"SIM","")</f>
        <v>#REF!</v>
      </c>
      <c r="F330" s="5" t="e">
        <f>IF((COUNTIFS(#REF!,$C330,#REF!,F$1))&gt;=1,"SIM","")</f>
        <v>#REF!</v>
      </c>
      <c r="G330" s="5" t="e">
        <f>IF((COUNTIFS(#REF!,$C330,#REF!,"*606*"))&gt;=1,"SIM","")</f>
        <v>#REF!</v>
      </c>
      <c r="H330" s="5" t="e">
        <f>IF((COUNTIFS(#REF!,$C330,#REF!,"*605*"))&gt;=1,"SIM","")</f>
        <v>#REF!</v>
      </c>
      <c r="I330" s="5" t="e">
        <f>IF((COUNTIFS(#REF!,$C330,#REF!,I$1))&gt;=1,"SIM","")</f>
        <v>#REF!</v>
      </c>
      <c r="J330" s="5" t="e">
        <f>IF((COUNTIFS(#REF!,$C330,#REF!,J$1))&gt;=1,"SIM","")</f>
        <v>#REF!</v>
      </c>
      <c r="K330" s="5" t="e">
        <f>IF((COUNTIFS(#REF!,$C330,#REF!,K$1))&gt;=1,"SIM","")</f>
        <v>#REF!</v>
      </c>
      <c r="L330" s="5" t="e">
        <f>IF((COUNTIFS(#REF!,$C330,#REF!,L$1))&gt;=1,"SIM","")</f>
        <v>#REF!</v>
      </c>
      <c r="M330" s="5" t="e">
        <f>IF((COUNTIFS(#REF!,$C330,#REF!,M$1))&gt;=1,"SIM","")</f>
        <v>#REF!</v>
      </c>
      <c r="N330" s="5" t="e">
        <f>IF((COUNTIFS(#REF!,$C330,#REF!,N$1))&gt;=1,"SIM","")</f>
        <v>#REF!</v>
      </c>
      <c r="O330" s="5"/>
      <c r="P330" s="5" t="e">
        <f>IF((COUNTIFS(#REF!,$C330,#REF!,P$1))&gt;=1,"SIM","")</f>
        <v>#REF!</v>
      </c>
      <c r="Q330" s="5" t="e">
        <f>IF((COUNTIFS(#REF!,$C330,#REF!,Q$1))&gt;=1,"SIM","")</f>
        <v>#REF!</v>
      </c>
      <c r="R330" s="5" t="e">
        <f>IF((COUNTIFS(#REF!,$C330,#REF!,"*CARTA*"))&gt;=1,"SIM","")</f>
        <v>#REF!</v>
      </c>
      <c r="S330" s="5" t="e">
        <f>IF((COUNTIFS(#REF!,$C330,#REF!,"*CARTA NOTIFICAÇÃO/DEVOL*"))&gt;=1,"SIM","")</f>
        <v>#REF!</v>
      </c>
      <c r="T330" s="5" t="e">
        <f>IF((COUNTIFS(#REF!,$C330,#REF!,"*LIGAÇÃO ATIVA DEV PRIN/LOC*"))&gt;=1,"SIM","")</f>
        <v>#REF!</v>
      </c>
    </row>
    <row r="331" spans="1:20">
      <c r="A331" s="24" t="s">
        <v>2157</v>
      </c>
      <c r="B331" s="24" t="s">
        <v>918</v>
      </c>
      <c r="C331" s="24" t="s">
        <v>919</v>
      </c>
      <c r="D331" s="5" t="e">
        <f>IF((COUNTIFS(#REF!,$C331,#REF!,"*163*"))&gt;=1,"SIM","")</f>
        <v>#REF!</v>
      </c>
      <c r="E331" s="5" t="e">
        <f>IF((COUNTIFS(#REF!,$C331,#REF!,E$1))&gt;=1,"SIM","")</f>
        <v>#REF!</v>
      </c>
      <c r="F331" s="5" t="e">
        <f>IF((COUNTIFS(#REF!,$C331,#REF!,F$1))&gt;=1,"SIM","")</f>
        <v>#REF!</v>
      </c>
      <c r="G331" s="5" t="e">
        <f>IF((COUNTIFS(#REF!,$C331,#REF!,"*606*"))&gt;=1,"SIM","")</f>
        <v>#REF!</v>
      </c>
      <c r="H331" s="5" t="e">
        <f>IF((COUNTIFS(#REF!,$C331,#REF!,"*605*"))&gt;=1,"SIM","")</f>
        <v>#REF!</v>
      </c>
      <c r="I331" s="5" t="e">
        <f>IF((COUNTIFS(#REF!,$C331,#REF!,I$1))&gt;=1,"SIM","")</f>
        <v>#REF!</v>
      </c>
      <c r="J331" s="5" t="e">
        <f>IF((COUNTIFS(#REF!,$C331,#REF!,J$1))&gt;=1,"SIM","")</f>
        <v>#REF!</v>
      </c>
      <c r="K331" s="5" t="e">
        <f>IF((COUNTIFS(#REF!,$C331,#REF!,K$1))&gt;=1,"SIM","")</f>
        <v>#REF!</v>
      </c>
      <c r="L331" s="5" t="e">
        <f>IF((COUNTIFS(#REF!,$C331,#REF!,L$1))&gt;=1,"SIM","")</f>
        <v>#REF!</v>
      </c>
      <c r="M331" s="5" t="e">
        <f>IF((COUNTIFS(#REF!,$C331,#REF!,M$1))&gt;=1,"SIM","")</f>
        <v>#REF!</v>
      </c>
      <c r="N331" s="5" t="e">
        <f>IF((COUNTIFS(#REF!,$C331,#REF!,N$1))&gt;=1,"SIM","")</f>
        <v>#REF!</v>
      </c>
      <c r="O331" s="5"/>
      <c r="P331" s="5" t="e">
        <f>IF((COUNTIFS(#REF!,$C331,#REF!,P$1))&gt;=1,"SIM","")</f>
        <v>#REF!</v>
      </c>
      <c r="Q331" s="5" t="e">
        <f>IF((COUNTIFS(#REF!,$C331,#REF!,Q$1))&gt;=1,"SIM","")</f>
        <v>#REF!</v>
      </c>
      <c r="R331" s="5" t="e">
        <f>IF((COUNTIFS(#REF!,$C331,#REF!,"*CARTA*"))&gt;=1,"SIM","")</f>
        <v>#REF!</v>
      </c>
      <c r="S331" s="5" t="e">
        <f>IF((COUNTIFS(#REF!,$C331,#REF!,"*CARTA NOTIFICAÇÃO/DEVOL*"))&gt;=1,"SIM","")</f>
        <v>#REF!</v>
      </c>
      <c r="T331" s="5" t="e">
        <f>IF((COUNTIFS(#REF!,$C331,#REF!,"*LIGAÇÃO ATIVA DEV PRIN/LOC*"))&gt;=1,"SIM","")</f>
        <v>#REF!</v>
      </c>
    </row>
    <row r="332" spans="1:20">
      <c r="A332" s="24" t="s">
        <v>2159</v>
      </c>
      <c r="B332" s="24" t="s">
        <v>1113</v>
      </c>
      <c r="C332" s="24" t="s">
        <v>1114</v>
      </c>
      <c r="D332" s="5" t="e">
        <f>IF((COUNTIFS(#REF!,$C332,#REF!,"*163*"))&gt;=1,"SIM","")</f>
        <v>#REF!</v>
      </c>
      <c r="E332" s="5" t="e">
        <f>IF((COUNTIFS(#REF!,$C332,#REF!,E$1))&gt;=1,"SIM","")</f>
        <v>#REF!</v>
      </c>
      <c r="F332" s="5" t="e">
        <f>IF((COUNTIFS(#REF!,$C332,#REF!,F$1))&gt;=1,"SIM","")</f>
        <v>#REF!</v>
      </c>
      <c r="G332" s="5" t="e">
        <f>IF((COUNTIFS(#REF!,$C332,#REF!,"*606*"))&gt;=1,"SIM","")</f>
        <v>#REF!</v>
      </c>
      <c r="H332" s="5" t="e">
        <f>IF((COUNTIFS(#REF!,$C332,#REF!,"*605*"))&gt;=1,"SIM","")</f>
        <v>#REF!</v>
      </c>
      <c r="I332" s="5" t="e">
        <f>IF((COUNTIFS(#REF!,$C332,#REF!,I$1))&gt;=1,"SIM","")</f>
        <v>#REF!</v>
      </c>
      <c r="J332" s="5" t="e">
        <f>IF((COUNTIFS(#REF!,$C332,#REF!,J$1))&gt;=1,"SIM","")</f>
        <v>#REF!</v>
      </c>
      <c r="K332" s="5" t="e">
        <f>IF((COUNTIFS(#REF!,$C332,#REF!,K$1))&gt;=1,"SIM","")</f>
        <v>#REF!</v>
      </c>
      <c r="L332" s="5" t="e">
        <f>IF((COUNTIFS(#REF!,$C332,#REF!,L$1))&gt;=1,"SIM","")</f>
        <v>#REF!</v>
      </c>
      <c r="M332" s="5" t="e">
        <f>IF((COUNTIFS(#REF!,$C332,#REF!,M$1))&gt;=1,"SIM","")</f>
        <v>#REF!</v>
      </c>
      <c r="N332" s="5" t="e">
        <f>IF((COUNTIFS(#REF!,$C332,#REF!,N$1))&gt;=1,"SIM","")</f>
        <v>#REF!</v>
      </c>
      <c r="O332" s="5"/>
      <c r="P332" s="5" t="e">
        <f>IF((COUNTIFS(#REF!,$C332,#REF!,P$1))&gt;=1,"SIM","")</f>
        <v>#REF!</v>
      </c>
      <c r="Q332" s="5" t="e">
        <f>IF((COUNTIFS(#REF!,$C332,#REF!,Q$1))&gt;=1,"SIM","")</f>
        <v>#REF!</v>
      </c>
      <c r="R332" s="5" t="e">
        <f>IF((COUNTIFS(#REF!,$C332,#REF!,"*CARTA*"))&gt;=1,"SIM","")</f>
        <v>#REF!</v>
      </c>
      <c r="S332" s="5" t="e">
        <f>IF((COUNTIFS(#REF!,$C332,#REF!,"*CARTA NOTIFICAÇÃO/DEVOL*"))&gt;=1,"SIM","")</f>
        <v>#REF!</v>
      </c>
      <c r="T332" s="5" t="e">
        <f>IF((COUNTIFS(#REF!,$C332,#REF!,"*LIGAÇÃO ATIVA DEV PRIN/LOC*"))&gt;=1,"SIM","")</f>
        <v>#REF!</v>
      </c>
    </row>
    <row r="333" spans="1:20">
      <c r="A333" s="24" t="s">
        <v>2159</v>
      </c>
      <c r="B333" s="24" t="s">
        <v>1037</v>
      </c>
      <c r="C333" s="24" t="s">
        <v>1038</v>
      </c>
      <c r="D333" s="5" t="e">
        <f>IF((COUNTIFS(#REF!,$C333,#REF!,"*163*"))&gt;=1,"SIM","")</f>
        <v>#REF!</v>
      </c>
      <c r="E333" s="5" t="e">
        <f>IF((COUNTIFS(#REF!,$C333,#REF!,E$1))&gt;=1,"SIM","")</f>
        <v>#REF!</v>
      </c>
      <c r="F333" s="5" t="e">
        <f>IF((COUNTIFS(#REF!,$C333,#REF!,F$1))&gt;=1,"SIM","")</f>
        <v>#REF!</v>
      </c>
      <c r="G333" s="5" t="e">
        <f>IF((COUNTIFS(#REF!,$C333,#REF!,"*606*"))&gt;=1,"SIM","")</f>
        <v>#REF!</v>
      </c>
      <c r="H333" s="5" t="e">
        <f>IF((COUNTIFS(#REF!,$C333,#REF!,"*605*"))&gt;=1,"SIM","")</f>
        <v>#REF!</v>
      </c>
      <c r="I333" s="5" t="e">
        <f>IF((COUNTIFS(#REF!,$C333,#REF!,I$1))&gt;=1,"SIM","")</f>
        <v>#REF!</v>
      </c>
      <c r="J333" s="5" t="e">
        <f>IF((COUNTIFS(#REF!,$C333,#REF!,J$1))&gt;=1,"SIM","")</f>
        <v>#REF!</v>
      </c>
      <c r="K333" s="5" t="e">
        <f>IF((COUNTIFS(#REF!,$C333,#REF!,K$1))&gt;=1,"SIM","")</f>
        <v>#REF!</v>
      </c>
      <c r="L333" s="5" t="e">
        <f>IF((COUNTIFS(#REF!,$C333,#REF!,L$1))&gt;=1,"SIM","")</f>
        <v>#REF!</v>
      </c>
      <c r="M333" s="5" t="e">
        <f>IF((COUNTIFS(#REF!,$C333,#REF!,M$1))&gt;=1,"SIM","")</f>
        <v>#REF!</v>
      </c>
      <c r="N333" s="5" t="e">
        <f>IF((COUNTIFS(#REF!,$C333,#REF!,N$1))&gt;=1,"SIM","")</f>
        <v>#REF!</v>
      </c>
      <c r="O333" s="5"/>
      <c r="P333" s="5" t="e">
        <f>IF((COUNTIFS(#REF!,$C333,#REF!,P$1))&gt;=1,"SIM","")</f>
        <v>#REF!</v>
      </c>
      <c r="Q333" s="5" t="e">
        <f>IF((COUNTIFS(#REF!,$C333,#REF!,Q$1))&gt;=1,"SIM","")</f>
        <v>#REF!</v>
      </c>
      <c r="R333" s="5" t="e">
        <f>IF((COUNTIFS(#REF!,$C333,#REF!,"*CARTA*"))&gt;=1,"SIM","")</f>
        <v>#REF!</v>
      </c>
      <c r="S333" s="5" t="e">
        <f>IF((COUNTIFS(#REF!,$C333,#REF!,"*CARTA NOTIFICAÇÃO/DEVOL*"))&gt;=1,"SIM","")</f>
        <v>#REF!</v>
      </c>
      <c r="T333" s="5" t="e">
        <f>IF((COUNTIFS(#REF!,$C333,#REF!,"*LIGAÇÃO ATIVA DEV PRIN/LOC*"))&gt;=1,"SIM","")</f>
        <v>#REF!</v>
      </c>
    </row>
    <row r="334" spans="1:20">
      <c r="A334" s="24" t="s">
        <v>2159</v>
      </c>
      <c r="B334" s="24" t="s">
        <v>2080</v>
      </c>
      <c r="C334" s="24" t="s">
        <v>2081</v>
      </c>
      <c r="D334" s="5" t="e">
        <f>IF((COUNTIFS(#REF!,$C334,#REF!,"*163*"))&gt;=1,"SIM","")</f>
        <v>#REF!</v>
      </c>
      <c r="E334" s="5" t="e">
        <f>IF((COUNTIFS(#REF!,$C334,#REF!,E$1))&gt;=1,"SIM","")</f>
        <v>#REF!</v>
      </c>
      <c r="F334" s="5" t="e">
        <f>IF((COUNTIFS(#REF!,$C334,#REF!,F$1))&gt;=1,"SIM","")</f>
        <v>#REF!</v>
      </c>
      <c r="G334" s="5" t="e">
        <f>IF((COUNTIFS(#REF!,$C334,#REF!,"*606*"))&gt;=1,"SIM","")</f>
        <v>#REF!</v>
      </c>
      <c r="H334" s="5" t="e">
        <f>IF((COUNTIFS(#REF!,$C334,#REF!,"*605*"))&gt;=1,"SIM","")</f>
        <v>#REF!</v>
      </c>
      <c r="I334" s="5" t="e">
        <f>IF((COUNTIFS(#REF!,$C334,#REF!,I$1))&gt;=1,"SIM","")</f>
        <v>#REF!</v>
      </c>
      <c r="J334" s="5" t="e">
        <f>IF((COUNTIFS(#REF!,$C334,#REF!,J$1))&gt;=1,"SIM","")</f>
        <v>#REF!</v>
      </c>
      <c r="K334" s="5" t="e">
        <f>IF((COUNTIFS(#REF!,$C334,#REF!,K$1))&gt;=1,"SIM","")</f>
        <v>#REF!</v>
      </c>
      <c r="L334" s="5" t="e">
        <f>IF((COUNTIFS(#REF!,$C334,#REF!,L$1))&gt;=1,"SIM","")</f>
        <v>#REF!</v>
      </c>
      <c r="M334" s="5" t="e">
        <f>IF((COUNTIFS(#REF!,$C334,#REF!,M$1))&gt;=1,"SIM","")</f>
        <v>#REF!</v>
      </c>
      <c r="N334" s="5" t="e">
        <f>IF((COUNTIFS(#REF!,$C334,#REF!,N$1))&gt;=1,"SIM","")</f>
        <v>#REF!</v>
      </c>
      <c r="O334" s="5"/>
      <c r="P334" s="5" t="e">
        <f>IF((COUNTIFS(#REF!,$C334,#REF!,P$1))&gt;=1,"SIM","")</f>
        <v>#REF!</v>
      </c>
      <c r="Q334" s="5" t="e">
        <f>IF((COUNTIFS(#REF!,$C334,#REF!,Q$1))&gt;=1,"SIM","")</f>
        <v>#REF!</v>
      </c>
      <c r="R334" s="5" t="e">
        <f>IF((COUNTIFS(#REF!,$C334,#REF!,"*CARTA*"))&gt;=1,"SIM","")</f>
        <v>#REF!</v>
      </c>
      <c r="S334" s="5" t="e">
        <f>IF((COUNTIFS(#REF!,$C334,#REF!,"*CARTA NOTIFICAÇÃO/DEVOL*"))&gt;=1,"SIM","")</f>
        <v>#REF!</v>
      </c>
      <c r="T334" s="5" t="e">
        <f>IF((COUNTIFS(#REF!,$C334,#REF!,"*LIGAÇÃO ATIVA DEV PRIN/LOC*"))&gt;=1,"SIM","")</f>
        <v>#REF!</v>
      </c>
    </row>
    <row r="335" spans="1:20">
      <c r="A335" s="24" t="s">
        <v>2159</v>
      </c>
      <c r="B335" s="24" t="s">
        <v>1680</v>
      </c>
      <c r="C335" s="24" t="s">
        <v>1681</v>
      </c>
      <c r="D335" s="5" t="e">
        <f>IF((COUNTIFS(#REF!,$C335,#REF!,"*163*"))&gt;=1,"SIM","")</f>
        <v>#REF!</v>
      </c>
      <c r="E335" s="5" t="e">
        <f>IF((COUNTIFS(#REF!,$C335,#REF!,E$1))&gt;=1,"SIM","")</f>
        <v>#REF!</v>
      </c>
      <c r="F335" s="5" t="e">
        <f>IF((COUNTIFS(#REF!,$C335,#REF!,F$1))&gt;=1,"SIM","")</f>
        <v>#REF!</v>
      </c>
      <c r="G335" s="5" t="e">
        <f>IF((COUNTIFS(#REF!,$C335,#REF!,"*606*"))&gt;=1,"SIM","")</f>
        <v>#REF!</v>
      </c>
      <c r="H335" s="5" t="e">
        <f>IF((COUNTIFS(#REF!,$C335,#REF!,"*605*"))&gt;=1,"SIM","")</f>
        <v>#REF!</v>
      </c>
      <c r="I335" s="5" t="e">
        <f>IF((COUNTIFS(#REF!,$C335,#REF!,I$1))&gt;=1,"SIM","")</f>
        <v>#REF!</v>
      </c>
      <c r="J335" s="5" t="e">
        <f>IF((COUNTIFS(#REF!,$C335,#REF!,J$1))&gt;=1,"SIM","")</f>
        <v>#REF!</v>
      </c>
      <c r="K335" s="5" t="e">
        <f>IF((COUNTIFS(#REF!,$C335,#REF!,K$1))&gt;=1,"SIM","")</f>
        <v>#REF!</v>
      </c>
      <c r="L335" s="5" t="e">
        <f>IF((COUNTIFS(#REF!,$C335,#REF!,L$1))&gt;=1,"SIM","")</f>
        <v>#REF!</v>
      </c>
      <c r="M335" s="5" t="e">
        <f>IF((COUNTIFS(#REF!,$C335,#REF!,M$1))&gt;=1,"SIM","")</f>
        <v>#REF!</v>
      </c>
      <c r="N335" s="5" t="e">
        <f>IF((COUNTIFS(#REF!,$C335,#REF!,N$1))&gt;=1,"SIM","")</f>
        <v>#REF!</v>
      </c>
      <c r="O335" s="5"/>
      <c r="P335" s="5" t="e">
        <f>IF((COUNTIFS(#REF!,$C335,#REF!,P$1))&gt;=1,"SIM","")</f>
        <v>#REF!</v>
      </c>
      <c r="Q335" s="5" t="e">
        <f>IF((COUNTIFS(#REF!,$C335,#REF!,Q$1))&gt;=1,"SIM","")</f>
        <v>#REF!</v>
      </c>
      <c r="R335" s="5" t="e">
        <f>IF((COUNTIFS(#REF!,$C335,#REF!,"*CARTA*"))&gt;=1,"SIM","")</f>
        <v>#REF!</v>
      </c>
      <c r="S335" s="5" t="e">
        <f>IF((COUNTIFS(#REF!,$C335,#REF!,"*CARTA NOTIFICAÇÃO/DEVOL*"))&gt;=1,"SIM","")</f>
        <v>#REF!</v>
      </c>
      <c r="T335" s="5" t="e">
        <f>IF((COUNTIFS(#REF!,$C335,#REF!,"*LIGAÇÃO ATIVA DEV PRIN/LOC*"))&gt;=1,"SIM","")</f>
        <v>#REF!</v>
      </c>
    </row>
    <row r="336" spans="1:20">
      <c r="A336" s="24" t="s">
        <v>2153</v>
      </c>
      <c r="B336" s="24" t="s">
        <v>173</v>
      </c>
      <c r="C336" s="24" t="s">
        <v>174</v>
      </c>
      <c r="D336" s="5" t="e">
        <f>IF((COUNTIFS(#REF!,$C336,#REF!,"*163*"))&gt;=1,"SIM","")</f>
        <v>#REF!</v>
      </c>
      <c r="E336" s="5" t="e">
        <f>IF((COUNTIFS(#REF!,$C336,#REF!,E$1))&gt;=1,"SIM","")</f>
        <v>#REF!</v>
      </c>
      <c r="F336" s="5" t="e">
        <f>IF((COUNTIFS(#REF!,$C336,#REF!,F$1))&gt;=1,"SIM","")</f>
        <v>#REF!</v>
      </c>
      <c r="G336" s="5" t="e">
        <f>IF((COUNTIFS(#REF!,$C336,#REF!,"*606*"))&gt;=1,"SIM","")</f>
        <v>#REF!</v>
      </c>
      <c r="H336" s="5" t="e">
        <f>IF((COUNTIFS(#REF!,$C336,#REF!,"*605*"))&gt;=1,"SIM","")</f>
        <v>#REF!</v>
      </c>
      <c r="I336" s="5" t="e">
        <f>IF((COUNTIFS(#REF!,$C336,#REF!,I$1))&gt;=1,"SIM","")</f>
        <v>#REF!</v>
      </c>
      <c r="J336" s="5" t="e">
        <f>IF((COUNTIFS(#REF!,$C336,#REF!,J$1))&gt;=1,"SIM","")</f>
        <v>#REF!</v>
      </c>
      <c r="K336" s="5" t="e">
        <f>IF((COUNTIFS(#REF!,$C336,#REF!,K$1))&gt;=1,"SIM","")</f>
        <v>#REF!</v>
      </c>
      <c r="L336" s="5" t="e">
        <f>IF((COUNTIFS(#REF!,$C336,#REF!,L$1))&gt;=1,"SIM","")</f>
        <v>#REF!</v>
      </c>
      <c r="M336" s="5" t="e">
        <f>IF((COUNTIFS(#REF!,$C336,#REF!,M$1))&gt;=1,"SIM","")</f>
        <v>#REF!</v>
      </c>
      <c r="N336" s="5" t="e">
        <f>IF((COUNTIFS(#REF!,$C336,#REF!,N$1))&gt;=1,"SIM","")</f>
        <v>#REF!</v>
      </c>
      <c r="O336" s="5"/>
      <c r="P336" s="5" t="e">
        <f>IF((COUNTIFS(#REF!,$C336,#REF!,P$1))&gt;=1,"SIM","")</f>
        <v>#REF!</v>
      </c>
      <c r="Q336" s="5" t="e">
        <f>IF((COUNTIFS(#REF!,$C336,#REF!,Q$1))&gt;=1,"SIM","")</f>
        <v>#REF!</v>
      </c>
      <c r="R336" s="5" t="e">
        <f>IF((COUNTIFS(#REF!,$C336,#REF!,"*CARTA*"))&gt;=1,"SIM","")</f>
        <v>#REF!</v>
      </c>
      <c r="S336" s="5" t="e">
        <f>IF((COUNTIFS(#REF!,$C336,#REF!,"*CARTA NOTIFICAÇÃO/DEVOL*"))&gt;=1,"SIM","")</f>
        <v>#REF!</v>
      </c>
      <c r="T336" s="5" t="e">
        <f>IF((COUNTIFS(#REF!,$C336,#REF!,"*LIGAÇÃO ATIVA DEV PRIN/LOC*"))&gt;=1,"SIM","")</f>
        <v>#REF!</v>
      </c>
    </row>
    <row r="337" spans="1:20">
      <c r="A337" s="24" t="s">
        <v>2159</v>
      </c>
      <c r="B337" s="24" t="s">
        <v>2078</v>
      </c>
      <c r="C337" s="24" t="s">
        <v>2079</v>
      </c>
      <c r="D337" s="5" t="e">
        <f>IF((COUNTIFS(#REF!,$C337,#REF!,"*163*"))&gt;=1,"SIM","")</f>
        <v>#REF!</v>
      </c>
      <c r="E337" s="5" t="e">
        <f>IF((COUNTIFS(#REF!,$C337,#REF!,E$1))&gt;=1,"SIM","")</f>
        <v>#REF!</v>
      </c>
      <c r="F337" s="5" t="e">
        <f>IF((COUNTIFS(#REF!,$C337,#REF!,F$1))&gt;=1,"SIM","")</f>
        <v>#REF!</v>
      </c>
      <c r="G337" s="5" t="e">
        <f>IF((COUNTIFS(#REF!,$C337,#REF!,"*606*"))&gt;=1,"SIM","")</f>
        <v>#REF!</v>
      </c>
      <c r="H337" s="5" t="e">
        <f>IF((COUNTIFS(#REF!,$C337,#REF!,"*605*"))&gt;=1,"SIM","")</f>
        <v>#REF!</v>
      </c>
      <c r="I337" s="5" t="e">
        <f>IF((COUNTIFS(#REF!,$C337,#REF!,I$1))&gt;=1,"SIM","")</f>
        <v>#REF!</v>
      </c>
      <c r="J337" s="5" t="e">
        <f>IF((COUNTIFS(#REF!,$C337,#REF!,J$1))&gt;=1,"SIM","")</f>
        <v>#REF!</v>
      </c>
      <c r="K337" s="5" t="e">
        <f>IF((COUNTIFS(#REF!,$C337,#REF!,K$1))&gt;=1,"SIM","")</f>
        <v>#REF!</v>
      </c>
      <c r="L337" s="5" t="e">
        <f>IF((COUNTIFS(#REF!,$C337,#REF!,L$1))&gt;=1,"SIM","")</f>
        <v>#REF!</v>
      </c>
      <c r="M337" s="5" t="e">
        <f>IF((COUNTIFS(#REF!,$C337,#REF!,M$1))&gt;=1,"SIM","")</f>
        <v>#REF!</v>
      </c>
      <c r="N337" s="5" t="e">
        <f>IF((COUNTIFS(#REF!,$C337,#REF!,N$1))&gt;=1,"SIM","")</f>
        <v>#REF!</v>
      </c>
      <c r="O337" s="5"/>
      <c r="P337" s="5" t="e">
        <f>IF((COUNTIFS(#REF!,$C337,#REF!,P$1))&gt;=1,"SIM","")</f>
        <v>#REF!</v>
      </c>
      <c r="Q337" s="5" t="e">
        <f>IF((COUNTIFS(#REF!,$C337,#REF!,Q$1))&gt;=1,"SIM","")</f>
        <v>#REF!</v>
      </c>
      <c r="R337" s="5" t="e">
        <f>IF((COUNTIFS(#REF!,$C337,#REF!,"*CARTA*"))&gt;=1,"SIM","")</f>
        <v>#REF!</v>
      </c>
      <c r="S337" s="5" t="e">
        <f>IF((COUNTIFS(#REF!,$C337,#REF!,"*CARTA NOTIFICAÇÃO/DEVOL*"))&gt;=1,"SIM","")</f>
        <v>#REF!</v>
      </c>
      <c r="T337" s="5" t="e">
        <f>IF((COUNTIFS(#REF!,$C337,#REF!,"*LIGAÇÃO ATIVA DEV PRIN/LOC*"))&gt;=1,"SIM","")</f>
        <v>#REF!</v>
      </c>
    </row>
    <row r="338" spans="1:20">
      <c r="A338" s="24" t="s">
        <v>2157</v>
      </c>
      <c r="B338" s="24" t="s">
        <v>789</v>
      </c>
      <c r="C338" s="24" t="s">
        <v>790</v>
      </c>
      <c r="D338" s="5" t="e">
        <f>IF((COUNTIFS(#REF!,$C338,#REF!,"*163*"))&gt;=1,"SIM","")</f>
        <v>#REF!</v>
      </c>
      <c r="E338" s="5" t="e">
        <f>IF((COUNTIFS(#REF!,$C338,#REF!,E$1))&gt;=1,"SIM","")</f>
        <v>#REF!</v>
      </c>
      <c r="F338" s="5" t="e">
        <f>IF((COUNTIFS(#REF!,$C338,#REF!,F$1))&gt;=1,"SIM","")</f>
        <v>#REF!</v>
      </c>
      <c r="G338" s="5" t="e">
        <f>IF((COUNTIFS(#REF!,$C338,#REF!,"*606*"))&gt;=1,"SIM","")</f>
        <v>#REF!</v>
      </c>
      <c r="H338" s="5" t="e">
        <f>IF((COUNTIFS(#REF!,$C338,#REF!,"*605*"))&gt;=1,"SIM","")</f>
        <v>#REF!</v>
      </c>
      <c r="I338" s="5" t="e">
        <f>IF((COUNTIFS(#REF!,$C338,#REF!,I$1))&gt;=1,"SIM","")</f>
        <v>#REF!</v>
      </c>
      <c r="J338" s="5" t="e">
        <f>IF((COUNTIFS(#REF!,$C338,#REF!,J$1))&gt;=1,"SIM","")</f>
        <v>#REF!</v>
      </c>
      <c r="K338" s="5" t="e">
        <f>IF((COUNTIFS(#REF!,$C338,#REF!,K$1))&gt;=1,"SIM","")</f>
        <v>#REF!</v>
      </c>
      <c r="L338" s="5" t="e">
        <f>IF((COUNTIFS(#REF!,$C338,#REF!,L$1))&gt;=1,"SIM","")</f>
        <v>#REF!</v>
      </c>
      <c r="M338" s="5" t="e">
        <f>IF((COUNTIFS(#REF!,$C338,#REF!,M$1))&gt;=1,"SIM","")</f>
        <v>#REF!</v>
      </c>
      <c r="N338" s="5" t="e">
        <f>IF((COUNTIFS(#REF!,$C338,#REF!,N$1))&gt;=1,"SIM","")</f>
        <v>#REF!</v>
      </c>
      <c r="O338" s="5"/>
      <c r="P338" s="5" t="e">
        <f>IF((COUNTIFS(#REF!,$C338,#REF!,P$1))&gt;=1,"SIM","")</f>
        <v>#REF!</v>
      </c>
      <c r="Q338" s="5" t="e">
        <f>IF((COUNTIFS(#REF!,$C338,#REF!,Q$1))&gt;=1,"SIM","")</f>
        <v>#REF!</v>
      </c>
      <c r="R338" s="5" t="e">
        <f>IF((COUNTIFS(#REF!,$C338,#REF!,"*CARTA*"))&gt;=1,"SIM","")</f>
        <v>#REF!</v>
      </c>
      <c r="S338" s="5" t="e">
        <f>IF((COUNTIFS(#REF!,$C338,#REF!,"*CARTA NOTIFICAÇÃO/DEVOL*"))&gt;=1,"SIM","")</f>
        <v>#REF!</v>
      </c>
      <c r="T338" s="5" t="e">
        <f>IF((COUNTIFS(#REF!,$C338,#REF!,"*LIGAÇÃO ATIVA DEV PRIN/LOC*"))&gt;=1,"SIM","")</f>
        <v>#REF!</v>
      </c>
    </row>
    <row r="339" spans="1:20">
      <c r="A339" s="24" t="s">
        <v>2153</v>
      </c>
      <c r="B339" s="24" t="s">
        <v>564</v>
      </c>
      <c r="C339" s="24" t="s">
        <v>565</v>
      </c>
      <c r="D339" s="5" t="e">
        <f>IF((COUNTIFS(#REF!,$C339,#REF!,"*163*"))&gt;=1,"SIM","")</f>
        <v>#REF!</v>
      </c>
      <c r="E339" s="5" t="e">
        <f>IF((COUNTIFS(#REF!,$C339,#REF!,E$1))&gt;=1,"SIM","")</f>
        <v>#REF!</v>
      </c>
      <c r="F339" s="5" t="e">
        <f>IF((COUNTIFS(#REF!,$C339,#REF!,F$1))&gt;=1,"SIM","")</f>
        <v>#REF!</v>
      </c>
      <c r="G339" s="5" t="e">
        <f>IF((COUNTIFS(#REF!,$C339,#REF!,"*606*"))&gt;=1,"SIM","")</f>
        <v>#REF!</v>
      </c>
      <c r="H339" s="5" t="e">
        <f>IF((COUNTIFS(#REF!,$C339,#REF!,"*605*"))&gt;=1,"SIM","")</f>
        <v>#REF!</v>
      </c>
      <c r="I339" s="5" t="e">
        <f>IF((COUNTIFS(#REF!,$C339,#REF!,I$1))&gt;=1,"SIM","")</f>
        <v>#REF!</v>
      </c>
      <c r="J339" s="5" t="e">
        <f>IF((COUNTIFS(#REF!,$C339,#REF!,J$1))&gt;=1,"SIM","")</f>
        <v>#REF!</v>
      </c>
      <c r="K339" s="5" t="e">
        <f>IF((COUNTIFS(#REF!,$C339,#REF!,K$1))&gt;=1,"SIM","")</f>
        <v>#REF!</v>
      </c>
      <c r="L339" s="5" t="e">
        <f>IF((COUNTIFS(#REF!,$C339,#REF!,L$1))&gt;=1,"SIM","")</f>
        <v>#REF!</v>
      </c>
      <c r="M339" s="5" t="e">
        <f>IF((COUNTIFS(#REF!,$C339,#REF!,M$1))&gt;=1,"SIM","")</f>
        <v>#REF!</v>
      </c>
      <c r="N339" s="5" t="e">
        <f>IF((COUNTIFS(#REF!,$C339,#REF!,N$1))&gt;=1,"SIM","")</f>
        <v>#REF!</v>
      </c>
      <c r="O339" s="5"/>
      <c r="P339" s="5" t="e">
        <f>IF((COUNTIFS(#REF!,$C339,#REF!,P$1))&gt;=1,"SIM","")</f>
        <v>#REF!</v>
      </c>
      <c r="Q339" s="5" t="e">
        <f>IF((COUNTIFS(#REF!,$C339,#REF!,Q$1))&gt;=1,"SIM","")</f>
        <v>#REF!</v>
      </c>
      <c r="R339" s="5" t="e">
        <f>IF((COUNTIFS(#REF!,$C339,#REF!,"*CARTA*"))&gt;=1,"SIM","")</f>
        <v>#REF!</v>
      </c>
      <c r="S339" s="5" t="e">
        <f>IF((COUNTIFS(#REF!,$C339,#REF!,"*CARTA NOTIFICAÇÃO/DEVOL*"))&gt;=1,"SIM","")</f>
        <v>#REF!</v>
      </c>
      <c r="T339" s="5" t="e">
        <f>IF((COUNTIFS(#REF!,$C339,#REF!,"*LIGAÇÃO ATIVA DEV PRIN/LOC*"))&gt;=1,"SIM","")</f>
        <v>#REF!</v>
      </c>
    </row>
    <row r="340" spans="1:20">
      <c r="A340" s="24" t="s">
        <v>2153</v>
      </c>
      <c r="B340" s="24" t="s">
        <v>1152</v>
      </c>
      <c r="C340" s="24" t="s">
        <v>1153</v>
      </c>
      <c r="D340" s="5" t="e">
        <f>IF((COUNTIFS(#REF!,$C340,#REF!,"*163*"))&gt;=1,"SIM","")</f>
        <v>#REF!</v>
      </c>
      <c r="E340" s="5" t="e">
        <f>IF((COUNTIFS(#REF!,$C340,#REF!,E$1))&gt;=1,"SIM","")</f>
        <v>#REF!</v>
      </c>
      <c r="F340" s="5" t="e">
        <f>IF((COUNTIFS(#REF!,$C340,#REF!,F$1))&gt;=1,"SIM","")</f>
        <v>#REF!</v>
      </c>
      <c r="G340" s="5" t="e">
        <f>IF((COUNTIFS(#REF!,$C340,#REF!,"*606*"))&gt;=1,"SIM","")</f>
        <v>#REF!</v>
      </c>
      <c r="H340" s="5" t="e">
        <f>IF((COUNTIFS(#REF!,$C340,#REF!,"*605*"))&gt;=1,"SIM","")</f>
        <v>#REF!</v>
      </c>
      <c r="I340" s="5" t="e">
        <f>IF((COUNTIFS(#REF!,$C340,#REF!,I$1))&gt;=1,"SIM","")</f>
        <v>#REF!</v>
      </c>
      <c r="J340" s="5" t="e">
        <f>IF((COUNTIFS(#REF!,$C340,#REF!,J$1))&gt;=1,"SIM","")</f>
        <v>#REF!</v>
      </c>
      <c r="K340" s="5" t="e">
        <f>IF((COUNTIFS(#REF!,$C340,#REF!,K$1))&gt;=1,"SIM","")</f>
        <v>#REF!</v>
      </c>
      <c r="L340" s="5" t="e">
        <f>IF((COUNTIFS(#REF!,$C340,#REF!,L$1))&gt;=1,"SIM","")</f>
        <v>#REF!</v>
      </c>
      <c r="M340" s="5" t="e">
        <f>IF((COUNTIFS(#REF!,$C340,#REF!,M$1))&gt;=1,"SIM","")</f>
        <v>#REF!</v>
      </c>
      <c r="N340" s="5" t="e">
        <f>IF((COUNTIFS(#REF!,$C340,#REF!,N$1))&gt;=1,"SIM","")</f>
        <v>#REF!</v>
      </c>
      <c r="O340" s="5"/>
      <c r="P340" s="5" t="e">
        <f>IF((COUNTIFS(#REF!,$C340,#REF!,P$1))&gt;=1,"SIM","")</f>
        <v>#REF!</v>
      </c>
      <c r="Q340" s="5" t="e">
        <f>IF((COUNTIFS(#REF!,$C340,#REF!,Q$1))&gt;=1,"SIM","")</f>
        <v>#REF!</v>
      </c>
      <c r="R340" s="5" t="e">
        <f>IF((COUNTIFS(#REF!,$C340,#REF!,"*CARTA*"))&gt;=1,"SIM","")</f>
        <v>#REF!</v>
      </c>
      <c r="S340" s="5" t="e">
        <f>IF((COUNTIFS(#REF!,$C340,#REF!,"*CARTA NOTIFICAÇÃO/DEVOL*"))&gt;=1,"SIM","")</f>
        <v>#REF!</v>
      </c>
      <c r="T340" s="5" t="e">
        <f>IF((COUNTIFS(#REF!,$C340,#REF!,"*LIGAÇÃO ATIVA DEV PRIN/LOC*"))&gt;=1,"SIM","")</f>
        <v>#REF!</v>
      </c>
    </row>
    <row r="341" spans="1:20">
      <c r="A341" s="24" t="s">
        <v>2155</v>
      </c>
      <c r="B341" s="24" t="s">
        <v>171</v>
      </c>
      <c r="C341" s="24" t="s">
        <v>172</v>
      </c>
      <c r="D341" s="5" t="e">
        <f>IF((COUNTIFS(#REF!,$C341,#REF!,"*163*"))&gt;=1,"SIM","")</f>
        <v>#REF!</v>
      </c>
      <c r="E341" s="5" t="e">
        <f>IF((COUNTIFS(#REF!,$C341,#REF!,E$1))&gt;=1,"SIM","")</f>
        <v>#REF!</v>
      </c>
      <c r="F341" s="5" t="e">
        <f>IF((COUNTIFS(#REF!,$C341,#REF!,F$1))&gt;=1,"SIM","")</f>
        <v>#REF!</v>
      </c>
      <c r="G341" s="5" t="e">
        <f>IF((COUNTIFS(#REF!,$C341,#REF!,"*606*"))&gt;=1,"SIM","")</f>
        <v>#REF!</v>
      </c>
      <c r="H341" s="5" t="e">
        <f>IF((COUNTIFS(#REF!,$C341,#REF!,"*605*"))&gt;=1,"SIM","")</f>
        <v>#REF!</v>
      </c>
      <c r="I341" s="5" t="e">
        <f>IF((COUNTIFS(#REF!,$C341,#REF!,I$1))&gt;=1,"SIM","")</f>
        <v>#REF!</v>
      </c>
      <c r="J341" s="5" t="e">
        <f>IF((COUNTIFS(#REF!,$C341,#REF!,J$1))&gt;=1,"SIM","")</f>
        <v>#REF!</v>
      </c>
      <c r="K341" s="5" t="e">
        <f>IF((COUNTIFS(#REF!,$C341,#REF!,K$1))&gt;=1,"SIM","")</f>
        <v>#REF!</v>
      </c>
      <c r="L341" s="5" t="e">
        <f>IF((COUNTIFS(#REF!,$C341,#REF!,L$1))&gt;=1,"SIM","")</f>
        <v>#REF!</v>
      </c>
      <c r="M341" s="5" t="e">
        <f>IF((COUNTIFS(#REF!,$C341,#REF!,M$1))&gt;=1,"SIM","")</f>
        <v>#REF!</v>
      </c>
      <c r="N341" s="5" t="e">
        <f>IF((COUNTIFS(#REF!,$C341,#REF!,N$1))&gt;=1,"SIM","")</f>
        <v>#REF!</v>
      </c>
      <c r="O341" s="5"/>
      <c r="P341" s="5" t="e">
        <f>IF((COUNTIFS(#REF!,$C341,#REF!,P$1))&gt;=1,"SIM","")</f>
        <v>#REF!</v>
      </c>
      <c r="Q341" s="5" t="e">
        <f>IF((COUNTIFS(#REF!,$C341,#REF!,Q$1))&gt;=1,"SIM","")</f>
        <v>#REF!</v>
      </c>
      <c r="R341" s="5" t="e">
        <f>IF((COUNTIFS(#REF!,$C341,#REF!,"*CARTA*"))&gt;=1,"SIM","")</f>
        <v>#REF!</v>
      </c>
      <c r="S341" s="5" t="e">
        <f>IF((COUNTIFS(#REF!,$C341,#REF!,"*CARTA NOTIFICAÇÃO/DEVOL*"))&gt;=1,"SIM","")</f>
        <v>#REF!</v>
      </c>
      <c r="T341" s="5" t="e">
        <f>IF((COUNTIFS(#REF!,$C341,#REF!,"*LIGAÇÃO ATIVA DEV PRIN/LOC*"))&gt;=1,"SIM","")</f>
        <v>#REF!</v>
      </c>
    </row>
    <row r="342" spans="1:20">
      <c r="A342" s="24" t="s">
        <v>2153</v>
      </c>
      <c r="B342" s="24" t="s">
        <v>726</v>
      </c>
      <c r="C342" s="24" t="s">
        <v>727</v>
      </c>
      <c r="D342" s="5" t="e">
        <f>IF((COUNTIFS(#REF!,$C342,#REF!,"*163*"))&gt;=1,"SIM","")</f>
        <v>#REF!</v>
      </c>
      <c r="E342" s="5" t="e">
        <f>IF((COUNTIFS(#REF!,$C342,#REF!,E$1))&gt;=1,"SIM","")</f>
        <v>#REF!</v>
      </c>
      <c r="F342" s="5" t="e">
        <f>IF((COUNTIFS(#REF!,$C342,#REF!,F$1))&gt;=1,"SIM","")</f>
        <v>#REF!</v>
      </c>
      <c r="G342" s="5" t="e">
        <f>IF((COUNTIFS(#REF!,$C342,#REF!,"*606*"))&gt;=1,"SIM","")</f>
        <v>#REF!</v>
      </c>
      <c r="H342" s="5" t="e">
        <f>IF((COUNTIFS(#REF!,$C342,#REF!,"*605*"))&gt;=1,"SIM","")</f>
        <v>#REF!</v>
      </c>
      <c r="I342" s="5" t="e">
        <f>IF((COUNTIFS(#REF!,$C342,#REF!,I$1))&gt;=1,"SIM","")</f>
        <v>#REF!</v>
      </c>
      <c r="J342" s="5" t="e">
        <f>IF((COUNTIFS(#REF!,$C342,#REF!,J$1))&gt;=1,"SIM","")</f>
        <v>#REF!</v>
      </c>
      <c r="K342" s="5" t="e">
        <f>IF((COUNTIFS(#REF!,$C342,#REF!,K$1))&gt;=1,"SIM","")</f>
        <v>#REF!</v>
      </c>
      <c r="L342" s="5" t="e">
        <f>IF((COUNTIFS(#REF!,$C342,#REF!,L$1))&gt;=1,"SIM","")</f>
        <v>#REF!</v>
      </c>
      <c r="M342" s="5" t="e">
        <f>IF((COUNTIFS(#REF!,$C342,#REF!,M$1))&gt;=1,"SIM","")</f>
        <v>#REF!</v>
      </c>
      <c r="N342" s="5" t="e">
        <f>IF((COUNTIFS(#REF!,$C342,#REF!,N$1))&gt;=1,"SIM","")</f>
        <v>#REF!</v>
      </c>
      <c r="O342" s="5"/>
      <c r="P342" s="5" t="e">
        <f>IF((COUNTIFS(#REF!,$C342,#REF!,P$1))&gt;=1,"SIM","")</f>
        <v>#REF!</v>
      </c>
      <c r="Q342" s="5" t="e">
        <f>IF((COUNTIFS(#REF!,$C342,#REF!,Q$1))&gt;=1,"SIM","")</f>
        <v>#REF!</v>
      </c>
      <c r="R342" s="5" t="e">
        <f>IF((COUNTIFS(#REF!,$C342,#REF!,"*CARTA*"))&gt;=1,"SIM","")</f>
        <v>#REF!</v>
      </c>
      <c r="S342" s="5" t="e">
        <f>IF((COUNTIFS(#REF!,$C342,#REF!,"*CARTA NOTIFICAÇÃO/DEVOL*"))&gt;=1,"SIM","")</f>
        <v>#REF!</v>
      </c>
      <c r="T342" s="5" t="e">
        <f>IF((COUNTIFS(#REF!,$C342,#REF!,"*LIGAÇÃO ATIVA DEV PRIN/LOC*"))&gt;=1,"SIM","")</f>
        <v>#REF!</v>
      </c>
    </row>
    <row r="343" spans="1:20">
      <c r="A343" s="24" t="s">
        <v>2159</v>
      </c>
      <c r="B343" s="24" t="s">
        <v>2112</v>
      </c>
      <c r="C343" s="24" t="s">
        <v>2113</v>
      </c>
      <c r="D343" s="5" t="e">
        <f>IF((COUNTIFS(#REF!,$C343,#REF!,"*163*"))&gt;=1,"SIM","")</f>
        <v>#REF!</v>
      </c>
      <c r="E343" s="5" t="e">
        <f>IF((COUNTIFS(#REF!,$C343,#REF!,E$1))&gt;=1,"SIM","")</f>
        <v>#REF!</v>
      </c>
      <c r="F343" s="5" t="e">
        <f>IF((COUNTIFS(#REF!,$C343,#REF!,F$1))&gt;=1,"SIM","")</f>
        <v>#REF!</v>
      </c>
      <c r="G343" s="5" t="e">
        <f>IF((COUNTIFS(#REF!,$C343,#REF!,"*606*"))&gt;=1,"SIM","")</f>
        <v>#REF!</v>
      </c>
      <c r="H343" s="5" t="e">
        <f>IF((COUNTIFS(#REF!,$C343,#REF!,"*605*"))&gt;=1,"SIM","")</f>
        <v>#REF!</v>
      </c>
      <c r="I343" s="5" t="e">
        <f>IF((COUNTIFS(#REF!,$C343,#REF!,I$1))&gt;=1,"SIM","")</f>
        <v>#REF!</v>
      </c>
      <c r="J343" s="5" t="e">
        <f>IF((COUNTIFS(#REF!,$C343,#REF!,J$1))&gt;=1,"SIM","")</f>
        <v>#REF!</v>
      </c>
      <c r="K343" s="5" t="e">
        <f>IF((COUNTIFS(#REF!,$C343,#REF!,K$1))&gt;=1,"SIM","")</f>
        <v>#REF!</v>
      </c>
      <c r="L343" s="5" t="e">
        <f>IF((COUNTIFS(#REF!,$C343,#REF!,L$1))&gt;=1,"SIM","")</f>
        <v>#REF!</v>
      </c>
      <c r="M343" s="5" t="e">
        <f>IF((COUNTIFS(#REF!,$C343,#REF!,M$1))&gt;=1,"SIM","")</f>
        <v>#REF!</v>
      </c>
      <c r="N343" s="5" t="e">
        <f>IF((COUNTIFS(#REF!,$C343,#REF!,N$1))&gt;=1,"SIM","")</f>
        <v>#REF!</v>
      </c>
      <c r="O343" s="5"/>
      <c r="P343" s="5" t="e">
        <f>IF((COUNTIFS(#REF!,$C343,#REF!,P$1))&gt;=1,"SIM","")</f>
        <v>#REF!</v>
      </c>
      <c r="Q343" s="5" t="e">
        <f>IF((COUNTIFS(#REF!,$C343,#REF!,Q$1))&gt;=1,"SIM","")</f>
        <v>#REF!</v>
      </c>
      <c r="R343" s="5" t="e">
        <f>IF((COUNTIFS(#REF!,$C343,#REF!,"*CARTA*"))&gt;=1,"SIM","")</f>
        <v>#REF!</v>
      </c>
      <c r="S343" s="5" t="e">
        <f>IF((COUNTIFS(#REF!,$C343,#REF!,"*CARTA NOTIFICAÇÃO/DEVOL*"))&gt;=1,"SIM","")</f>
        <v>#REF!</v>
      </c>
      <c r="T343" s="5" t="e">
        <f>IF((COUNTIFS(#REF!,$C343,#REF!,"*LIGAÇÃO ATIVA DEV PRIN/LOC*"))&gt;=1,"SIM","")</f>
        <v>#REF!</v>
      </c>
    </row>
    <row r="344" spans="1:20">
      <c r="A344" s="24" t="s">
        <v>2153</v>
      </c>
      <c r="B344" s="24" t="s">
        <v>738</v>
      </c>
      <c r="C344" s="24" t="s">
        <v>739</v>
      </c>
      <c r="D344" s="5" t="e">
        <f>IF((COUNTIFS(#REF!,$C344,#REF!,"*163*"))&gt;=1,"SIM","")</f>
        <v>#REF!</v>
      </c>
      <c r="E344" s="5" t="e">
        <f>IF((COUNTIFS(#REF!,$C344,#REF!,E$1))&gt;=1,"SIM","")</f>
        <v>#REF!</v>
      </c>
      <c r="F344" s="5" t="e">
        <f>IF((COUNTIFS(#REF!,$C344,#REF!,F$1))&gt;=1,"SIM","")</f>
        <v>#REF!</v>
      </c>
      <c r="G344" s="5" t="e">
        <f>IF((COUNTIFS(#REF!,$C344,#REF!,"*606*"))&gt;=1,"SIM","")</f>
        <v>#REF!</v>
      </c>
      <c r="H344" s="5" t="e">
        <f>IF((COUNTIFS(#REF!,$C344,#REF!,"*605*"))&gt;=1,"SIM","")</f>
        <v>#REF!</v>
      </c>
      <c r="I344" s="5" t="e">
        <f>IF((COUNTIFS(#REF!,$C344,#REF!,I$1))&gt;=1,"SIM","")</f>
        <v>#REF!</v>
      </c>
      <c r="J344" s="5" t="e">
        <f>IF((COUNTIFS(#REF!,$C344,#REF!,J$1))&gt;=1,"SIM","")</f>
        <v>#REF!</v>
      </c>
      <c r="K344" s="5" t="e">
        <f>IF((COUNTIFS(#REF!,$C344,#REF!,K$1))&gt;=1,"SIM","")</f>
        <v>#REF!</v>
      </c>
      <c r="L344" s="5" t="e">
        <f>IF((COUNTIFS(#REF!,$C344,#REF!,L$1))&gt;=1,"SIM","")</f>
        <v>#REF!</v>
      </c>
      <c r="M344" s="5" t="e">
        <f>IF((COUNTIFS(#REF!,$C344,#REF!,M$1))&gt;=1,"SIM","")</f>
        <v>#REF!</v>
      </c>
      <c r="N344" s="5" t="e">
        <f>IF((COUNTIFS(#REF!,$C344,#REF!,N$1))&gt;=1,"SIM","")</f>
        <v>#REF!</v>
      </c>
      <c r="O344" s="5"/>
      <c r="P344" s="5" t="e">
        <f>IF((COUNTIFS(#REF!,$C344,#REF!,P$1))&gt;=1,"SIM","")</f>
        <v>#REF!</v>
      </c>
      <c r="Q344" s="5" t="e">
        <f>IF((COUNTIFS(#REF!,$C344,#REF!,Q$1))&gt;=1,"SIM","")</f>
        <v>#REF!</v>
      </c>
      <c r="R344" s="5" t="e">
        <f>IF((COUNTIFS(#REF!,$C344,#REF!,"*CARTA*"))&gt;=1,"SIM","")</f>
        <v>#REF!</v>
      </c>
      <c r="S344" s="5" t="e">
        <f>IF((COUNTIFS(#REF!,$C344,#REF!,"*CARTA NOTIFICAÇÃO/DEVOL*"))&gt;=1,"SIM","")</f>
        <v>#REF!</v>
      </c>
      <c r="T344" s="5" t="e">
        <f>IF((COUNTIFS(#REF!,$C344,#REF!,"*LIGAÇÃO ATIVA DEV PRIN/LOC*"))&gt;=1,"SIM","")</f>
        <v>#REF!</v>
      </c>
    </row>
    <row r="345" spans="1:20">
      <c r="A345" s="24" t="s">
        <v>2153</v>
      </c>
      <c r="B345" s="24" t="s">
        <v>1209</v>
      </c>
      <c r="C345" s="24" t="s">
        <v>215</v>
      </c>
      <c r="D345" s="5" t="e">
        <f>IF((COUNTIFS(#REF!,$C345,#REF!,"*163*"))&gt;=1,"SIM","")</f>
        <v>#REF!</v>
      </c>
      <c r="E345" s="5" t="e">
        <f>IF((COUNTIFS(#REF!,$C345,#REF!,E$1))&gt;=1,"SIM","")</f>
        <v>#REF!</v>
      </c>
      <c r="F345" s="5" t="e">
        <f>IF((COUNTIFS(#REF!,$C345,#REF!,F$1))&gt;=1,"SIM","")</f>
        <v>#REF!</v>
      </c>
      <c r="G345" s="5" t="e">
        <f>IF((COUNTIFS(#REF!,$C345,#REF!,"*606*"))&gt;=1,"SIM","")</f>
        <v>#REF!</v>
      </c>
      <c r="H345" s="5" t="e">
        <f>IF((COUNTIFS(#REF!,$C345,#REF!,"*605*"))&gt;=1,"SIM","")</f>
        <v>#REF!</v>
      </c>
      <c r="I345" s="5" t="e">
        <f>IF((COUNTIFS(#REF!,$C345,#REF!,I$1))&gt;=1,"SIM","")</f>
        <v>#REF!</v>
      </c>
      <c r="J345" s="5" t="e">
        <f>IF((COUNTIFS(#REF!,$C345,#REF!,J$1))&gt;=1,"SIM","")</f>
        <v>#REF!</v>
      </c>
      <c r="K345" s="5" t="e">
        <f>IF((COUNTIFS(#REF!,$C345,#REF!,K$1))&gt;=1,"SIM","")</f>
        <v>#REF!</v>
      </c>
      <c r="L345" s="5" t="e">
        <f>IF((COUNTIFS(#REF!,$C345,#REF!,L$1))&gt;=1,"SIM","")</f>
        <v>#REF!</v>
      </c>
      <c r="M345" s="5" t="e">
        <f>IF((COUNTIFS(#REF!,$C345,#REF!,M$1))&gt;=1,"SIM","")</f>
        <v>#REF!</v>
      </c>
      <c r="N345" s="5" t="e">
        <f>IF((COUNTIFS(#REF!,$C345,#REF!,N$1))&gt;=1,"SIM","")</f>
        <v>#REF!</v>
      </c>
      <c r="O345" s="5"/>
      <c r="P345" s="5" t="e">
        <f>IF((COUNTIFS(#REF!,$C345,#REF!,P$1))&gt;=1,"SIM","")</f>
        <v>#REF!</v>
      </c>
      <c r="Q345" s="5" t="e">
        <f>IF((COUNTIFS(#REF!,$C345,#REF!,Q$1))&gt;=1,"SIM","")</f>
        <v>#REF!</v>
      </c>
      <c r="R345" s="5" t="e">
        <f>IF((COUNTIFS(#REF!,$C345,#REF!,"*CARTA*"))&gt;=1,"SIM","")</f>
        <v>#REF!</v>
      </c>
      <c r="S345" s="5" t="e">
        <f>IF((COUNTIFS(#REF!,$C345,#REF!,"*CARTA NOTIFICAÇÃO/DEVOL*"))&gt;=1,"SIM","")</f>
        <v>#REF!</v>
      </c>
      <c r="T345" s="5" t="e">
        <f>IF((COUNTIFS(#REF!,$C345,#REF!,"*LIGAÇÃO ATIVA DEV PRIN/LOC*"))&gt;=1,"SIM","")</f>
        <v>#REF!</v>
      </c>
    </row>
    <row r="346" spans="1:20">
      <c r="A346" s="24" t="s">
        <v>2153</v>
      </c>
      <c r="B346" s="24" t="s">
        <v>1168</v>
      </c>
      <c r="C346" s="24" t="s">
        <v>1169</v>
      </c>
      <c r="D346" s="5" t="e">
        <f>IF((COUNTIFS(#REF!,$C346,#REF!,"*163*"))&gt;=1,"SIM","")</f>
        <v>#REF!</v>
      </c>
      <c r="E346" s="5" t="e">
        <f>IF((COUNTIFS(#REF!,$C346,#REF!,E$1))&gt;=1,"SIM","")</f>
        <v>#REF!</v>
      </c>
      <c r="F346" s="5" t="e">
        <f>IF((COUNTIFS(#REF!,$C346,#REF!,F$1))&gt;=1,"SIM","")</f>
        <v>#REF!</v>
      </c>
      <c r="G346" s="5" t="e">
        <f>IF((COUNTIFS(#REF!,$C346,#REF!,"*606*"))&gt;=1,"SIM","")</f>
        <v>#REF!</v>
      </c>
      <c r="H346" s="5" t="e">
        <f>IF((COUNTIFS(#REF!,$C346,#REF!,"*605*"))&gt;=1,"SIM","")</f>
        <v>#REF!</v>
      </c>
      <c r="I346" s="5" t="e">
        <f>IF((COUNTIFS(#REF!,$C346,#REF!,I$1))&gt;=1,"SIM","")</f>
        <v>#REF!</v>
      </c>
      <c r="J346" s="5" t="e">
        <f>IF((COUNTIFS(#REF!,$C346,#REF!,J$1))&gt;=1,"SIM","")</f>
        <v>#REF!</v>
      </c>
      <c r="K346" s="5" t="e">
        <f>IF((COUNTIFS(#REF!,$C346,#REF!,K$1))&gt;=1,"SIM","")</f>
        <v>#REF!</v>
      </c>
      <c r="L346" s="5" t="e">
        <f>IF((COUNTIFS(#REF!,$C346,#REF!,L$1))&gt;=1,"SIM","")</f>
        <v>#REF!</v>
      </c>
      <c r="M346" s="5" t="e">
        <f>IF((COUNTIFS(#REF!,$C346,#REF!,M$1))&gt;=1,"SIM","")</f>
        <v>#REF!</v>
      </c>
      <c r="N346" s="5" t="e">
        <f>IF((COUNTIFS(#REF!,$C346,#REF!,N$1))&gt;=1,"SIM","")</f>
        <v>#REF!</v>
      </c>
      <c r="O346" s="5"/>
      <c r="P346" s="5" t="e">
        <f>IF((COUNTIFS(#REF!,$C346,#REF!,P$1))&gt;=1,"SIM","")</f>
        <v>#REF!</v>
      </c>
      <c r="Q346" s="5" t="e">
        <f>IF((COUNTIFS(#REF!,$C346,#REF!,Q$1))&gt;=1,"SIM","")</f>
        <v>#REF!</v>
      </c>
      <c r="R346" s="5" t="e">
        <f>IF((COUNTIFS(#REF!,$C346,#REF!,"*CARTA*"))&gt;=1,"SIM","")</f>
        <v>#REF!</v>
      </c>
      <c r="S346" s="5" t="e">
        <f>IF((COUNTIFS(#REF!,$C346,#REF!,"*CARTA NOTIFICAÇÃO/DEVOL*"))&gt;=1,"SIM","")</f>
        <v>#REF!</v>
      </c>
      <c r="T346" s="5" t="e">
        <f>IF((COUNTIFS(#REF!,$C346,#REF!,"*LIGAÇÃO ATIVA DEV PRIN/LOC*"))&gt;=1,"SIM","")</f>
        <v>#REF!</v>
      </c>
    </row>
    <row r="347" spans="1:20">
      <c r="A347" s="24" t="s">
        <v>2153</v>
      </c>
      <c r="B347" s="24" t="s">
        <v>621</v>
      </c>
      <c r="C347" s="24" t="s">
        <v>622</v>
      </c>
      <c r="D347" s="5" t="e">
        <f>IF((COUNTIFS(#REF!,$C347,#REF!,"*163*"))&gt;=1,"SIM","")</f>
        <v>#REF!</v>
      </c>
      <c r="E347" s="5" t="e">
        <f>IF((COUNTIFS(#REF!,$C347,#REF!,E$1))&gt;=1,"SIM","")</f>
        <v>#REF!</v>
      </c>
      <c r="F347" s="5" t="e">
        <f>IF((COUNTIFS(#REF!,$C347,#REF!,F$1))&gt;=1,"SIM","")</f>
        <v>#REF!</v>
      </c>
      <c r="G347" s="5" t="e">
        <f>IF((COUNTIFS(#REF!,$C347,#REF!,"*606*"))&gt;=1,"SIM","")</f>
        <v>#REF!</v>
      </c>
      <c r="H347" s="5" t="e">
        <f>IF((COUNTIFS(#REF!,$C347,#REF!,"*605*"))&gt;=1,"SIM","")</f>
        <v>#REF!</v>
      </c>
      <c r="I347" s="5" t="e">
        <f>IF((COUNTIFS(#REF!,$C347,#REF!,I$1))&gt;=1,"SIM","")</f>
        <v>#REF!</v>
      </c>
      <c r="J347" s="5" t="e">
        <f>IF((COUNTIFS(#REF!,$C347,#REF!,J$1))&gt;=1,"SIM","")</f>
        <v>#REF!</v>
      </c>
      <c r="K347" s="5" t="e">
        <f>IF((COUNTIFS(#REF!,$C347,#REF!,K$1))&gt;=1,"SIM","")</f>
        <v>#REF!</v>
      </c>
      <c r="L347" s="5" t="e">
        <f>IF((COUNTIFS(#REF!,$C347,#REF!,L$1))&gt;=1,"SIM","")</f>
        <v>#REF!</v>
      </c>
      <c r="M347" s="5" t="e">
        <f>IF((COUNTIFS(#REF!,$C347,#REF!,M$1))&gt;=1,"SIM","")</f>
        <v>#REF!</v>
      </c>
      <c r="N347" s="5" t="e">
        <f>IF((COUNTIFS(#REF!,$C347,#REF!,N$1))&gt;=1,"SIM","")</f>
        <v>#REF!</v>
      </c>
      <c r="O347" s="5"/>
      <c r="P347" s="5" t="e">
        <f>IF((COUNTIFS(#REF!,$C347,#REF!,P$1))&gt;=1,"SIM","")</f>
        <v>#REF!</v>
      </c>
      <c r="Q347" s="5" t="e">
        <f>IF((COUNTIFS(#REF!,$C347,#REF!,Q$1))&gt;=1,"SIM","")</f>
        <v>#REF!</v>
      </c>
      <c r="R347" s="5" t="e">
        <f>IF((COUNTIFS(#REF!,$C347,#REF!,"*CARTA*"))&gt;=1,"SIM","")</f>
        <v>#REF!</v>
      </c>
      <c r="S347" s="5" t="e">
        <f>IF((COUNTIFS(#REF!,$C347,#REF!,"*CARTA NOTIFICAÇÃO/DEVOL*"))&gt;=1,"SIM","")</f>
        <v>#REF!</v>
      </c>
      <c r="T347" s="5" t="e">
        <f>IF((COUNTIFS(#REF!,$C347,#REF!,"*LIGAÇÃO ATIVA DEV PRIN/LOC*"))&gt;=1,"SIM","")</f>
        <v>#REF!</v>
      </c>
    </row>
    <row r="348" spans="1:20">
      <c r="A348" s="24" t="s">
        <v>2153</v>
      </c>
      <c r="B348" s="24" t="s">
        <v>441</v>
      </c>
      <c r="C348" s="24" t="s">
        <v>442</v>
      </c>
      <c r="D348" s="5" t="e">
        <f>IF((COUNTIFS(#REF!,$C348,#REF!,"*163*"))&gt;=1,"SIM","")</f>
        <v>#REF!</v>
      </c>
      <c r="E348" s="5" t="e">
        <f>IF((COUNTIFS(#REF!,$C348,#REF!,E$1))&gt;=1,"SIM","")</f>
        <v>#REF!</v>
      </c>
      <c r="F348" s="5" t="e">
        <f>IF((COUNTIFS(#REF!,$C348,#REF!,F$1))&gt;=1,"SIM","")</f>
        <v>#REF!</v>
      </c>
      <c r="G348" s="5" t="e">
        <f>IF((COUNTIFS(#REF!,$C348,#REF!,"*606*"))&gt;=1,"SIM","")</f>
        <v>#REF!</v>
      </c>
      <c r="H348" s="5" t="e">
        <f>IF((COUNTIFS(#REF!,$C348,#REF!,"*605*"))&gt;=1,"SIM","")</f>
        <v>#REF!</v>
      </c>
      <c r="I348" s="5" t="e">
        <f>IF((COUNTIFS(#REF!,$C348,#REF!,I$1))&gt;=1,"SIM","")</f>
        <v>#REF!</v>
      </c>
      <c r="J348" s="5" t="e">
        <f>IF((COUNTIFS(#REF!,$C348,#REF!,J$1))&gt;=1,"SIM","")</f>
        <v>#REF!</v>
      </c>
      <c r="K348" s="5" t="e">
        <f>IF((COUNTIFS(#REF!,$C348,#REF!,K$1))&gt;=1,"SIM","")</f>
        <v>#REF!</v>
      </c>
      <c r="L348" s="5" t="e">
        <f>IF((COUNTIFS(#REF!,$C348,#REF!,L$1))&gt;=1,"SIM","")</f>
        <v>#REF!</v>
      </c>
      <c r="M348" s="5" t="e">
        <f>IF((COUNTIFS(#REF!,$C348,#REF!,M$1))&gt;=1,"SIM","")</f>
        <v>#REF!</v>
      </c>
      <c r="N348" s="5" t="e">
        <f>IF((COUNTIFS(#REF!,$C348,#REF!,N$1))&gt;=1,"SIM","")</f>
        <v>#REF!</v>
      </c>
      <c r="O348" s="5"/>
      <c r="P348" s="5" t="e">
        <f>IF((COUNTIFS(#REF!,$C348,#REF!,P$1))&gt;=1,"SIM","")</f>
        <v>#REF!</v>
      </c>
      <c r="Q348" s="5" t="e">
        <f>IF((COUNTIFS(#REF!,$C348,#REF!,Q$1))&gt;=1,"SIM","")</f>
        <v>#REF!</v>
      </c>
      <c r="R348" s="5" t="e">
        <f>IF((COUNTIFS(#REF!,$C348,#REF!,"*CARTA*"))&gt;=1,"SIM","")</f>
        <v>#REF!</v>
      </c>
      <c r="S348" s="5" t="e">
        <f>IF((COUNTIFS(#REF!,$C348,#REF!,"*CARTA NOTIFICAÇÃO/DEVOL*"))&gt;=1,"SIM","")</f>
        <v>#REF!</v>
      </c>
      <c r="T348" s="5" t="e">
        <f>IF((COUNTIFS(#REF!,$C348,#REF!,"*LIGAÇÃO ATIVA DEV PRIN/LOC*"))&gt;=1,"SIM","")</f>
        <v>#REF!</v>
      </c>
    </row>
    <row r="349" spans="1:20">
      <c r="A349" s="24" t="s">
        <v>2153</v>
      </c>
      <c r="B349" s="24" t="s">
        <v>1142</v>
      </c>
      <c r="C349" s="24" t="s">
        <v>1143</v>
      </c>
      <c r="D349" s="5" t="e">
        <f>IF((COUNTIFS(#REF!,$C349,#REF!,"*163*"))&gt;=1,"SIM","")</f>
        <v>#REF!</v>
      </c>
      <c r="E349" s="5" t="e">
        <f>IF((COUNTIFS(#REF!,$C349,#REF!,E$1))&gt;=1,"SIM","")</f>
        <v>#REF!</v>
      </c>
      <c r="F349" s="5" t="e">
        <f>IF((COUNTIFS(#REF!,$C349,#REF!,F$1))&gt;=1,"SIM","")</f>
        <v>#REF!</v>
      </c>
      <c r="G349" s="5" t="e">
        <f>IF((COUNTIFS(#REF!,$C349,#REF!,"*606*"))&gt;=1,"SIM","")</f>
        <v>#REF!</v>
      </c>
      <c r="H349" s="5" t="e">
        <f>IF((COUNTIFS(#REF!,$C349,#REF!,"*605*"))&gt;=1,"SIM","")</f>
        <v>#REF!</v>
      </c>
      <c r="I349" s="5" t="e">
        <f>IF((COUNTIFS(#REF!,$C349,#REF!,I$1))&gt;=1,"SIM","")</f>
        <v>#REF!</v>
      </c>
      <c r="J349" s="5" t="e">
        <f>IF((COUNTIFS(#REF!,$C349,#REF!,J$1))&gt;=1,"SIM","")</f>
        <v>#REF!</v>
      </c>
      <c r="K349" s="5" t="e">
        <f>IF((COUNTIFS(#REF!,$C349,#REF!,K$1))&gt;=1,"SIM","")</f>
        <v>#REF!</v>
      </c>
      <c r="L349" s="5" t="e">
        <f>IF((COUNTIFS(#REF!,$C349,#REF!,L$1))&gt;=1,"SIM","")</f>
        <v>#REF!</v>
      </c>
      <c r="M349" s="5" t="e">
        <f>IF((COUNTIFS(#REF!,$C349,#REF!,M$1))&gt;=1,"SIM","")</f>
        <v>#REF!</v>
      </c>
      <c r="N349" s="5" t="e">
        <f>IF((COUNTIFS(#REF!,$C349,#REF!,N$1))&gt;=1,"SIM","")</f>
        <v>#REF!</v>
      </c>
      <c r="O349" s="5"/>
      <c r="P349" s="5" t="e">
        <f>IF((COUNTIFS(#REF!,$C349,#REF!,P$1))&gt;=1,"SIM","")</f>
        <v>#REF!</v>
      </c>
      <c r="Q349" s="5" t="e">
        <f>IF((COUNTIFS(#REF!,$C349,#REF!,Q$1))&gt;=1,"SIM","")</f>
        <v>#REF!</v>
      </c>
      <c r="R349" s="5" t="e">
        <f>IF((COUNTIFS(#REF!,$C349,#REF!,"*CARTA*"))&gt;=1,"SIM","")</f>
        <v>#REF!</v>
      </c>
      <c r="S349" s="5" t="e">
        <f>IF((COUNTIFS(#REF!,$C349,#REF!,"*CARTA NOTIFICAÇÃO/DEVOL*"))&gt;=1,"SIM","")</f>
        <v>#REF!</v>
      </c>
      <c r="T349" s="5" t="e">
        <f>IF((COUNTIFS(#REF!,$C349,#REF!,"*LIGAÇÃO ATIVA DEV PRIN/LOC*"))&gt;=1,"SIM","")</f>
        <v>#REF!</v>
      </c>
    </row>
    <row r="350" spans="1:20">
      <c r="A350" s="24" t="s">
        <v>2159</v>
      </c>
      <c r="B350" s="24" t="s">
        <v>1979</v>
      </c>
      <c r="C350" s="24" t="s">
        <v>1980</v>
      </c>
      <c r="D350" s="5" t="e">
        <f>IF((COUNTIFS(#REF!,$C350,#REF!,"*163*"))&gt;=1,"SIM","")</f>
        <v>#REF!</v>
      </c>
      <c r="E350" s="5" t="e">
        <f>IF((COUNTIFS(#REF!,$C350,#REF!,E$1))&gt;=1,"SIM","")</f>
        <v>#REF!</v>
      </c>
      <c r="F350" s="5" t="e">
        <f>IF((COUNTIFS(#REF!,$C350,#REF!,F$1))&gt;=1,"SIM","")</f>
        <v>#REF!</v>
      </c>
      <c r="G350" s="5" t="e">
        <f>IF((COUNTIFS(#REF!,$C350,#REF!,"*606*"))&gt;=1,"SIM","")</f>
        <v>#REF!</v>
      </c>
      <c r="H350" s="5" t="e">
        <f>IF((COUNTIFS(#REF!,$C350,#REF!,"*605*"))&gt;=1,"SIM","")</f>
        <v>#REF!</v>
      </c>
      <c r="I350" s="5" t="e">
        <f>IF((COUNTIFS(#REF!,$C350,#REF!,I$1))&gt;=1,"SIM","")</f>
        <v>#REF!</v>
      </c>
      <c r="J350" s="5" t="e">
        <f>IF((COUNTIFS(#REF!,$C350,#REF!,J$1))&gt;=1,"SIM","")</f>
        <v>#REF!</v>
      </c>
      <c r="K350" s="5" t="e">
        <f>IF((COUNTIFS(#REF!,$C350,#REF!,K$1))&gt;=1,"SIM","")</f>
        <v>#REF!</v>
      </c>
      <c r="L350" s="5" t="e">
        <f>IF((COUNTIFS(#REF!,$C350,#REF!,L$1))&gt;=1,"SIM","")</f>
        <v>#REF!</v>
      </c>
      <c r="M350" s="5" t="e">
        <f>IF((COUNTIFS(#REF!,$C350,#REF!,M$1))&gt;=1,"SIM","")</f>
        <v>#REF!</v>
      </c>
      <c r="N350" s="5" t="e">
        <f>IF((COUNTIFS(#REF!,$C350,#REF!,N$1))&gt;=1,"SIM","")</f>
        <v>#REF!</v>
      </c>
      <c r="O350" s="5"/>
      <c r="P350" s="5" t="e">
        <f>IF((COUNTIFS(#REF!,$C350,#REF!,P$1))&gt;=1,"SIM","")</f>
        <v>#REF!</v>
      </c>
      <c r="Q350" s="5" t="e">
        <f>IF((COUNTIFS(#REF!,$C350,#REF!,Q$1))&gt;=1,"SIM","")</f>
        <v>#REF!</v>
      </c>
      <c r="R350" s="5" t="e">
        <f>IF((COUNTIFS(#REF!,$C350,#REF!,"*CARTA*"))&gt;=1,"SIM","")</f>
        <v>#REF!</v>
      </c>
      <c r="S350" s="5" t="e">
        <f>IF((COUNTIFS(#REF!,$C350,#REF!,"*CARTA NOTIFICAÇÃO/DEVOL*"))&gt;=1,"SIM","")</f>
        <v>#REF!</v>
      </c>
      <c r="T350" s="5" t="e">
        <f>IF((COUNTIFS(#REF!,$C350,#REF!,"*LIGAÇÃO ATIVA DEV PRIN/LOC*"))&gt;=1,"SIM","")</f>
        <v>#REF!</v>
      </c>
    </row>
    <row r="351" spans="1:20">
      <c r="A351" s="24" t="s">
        <v>2153</v>
      </c>
      <c r="B351" s="24" t="s">
        <v>477</v>
      </c>
      <c r="C351" s="24" t="s">
        <v>478</v>
      </c>
      <c r="D351" s="5" t="e">
        <f>IF((COUNTIFS(#REF!,$C351,#REF!,"*163*"))&gt;=1,"SIM","")</f>
        <v>#REF!</v>
      </c>
      <c r="E351" s="5" t="e">
        <f>IF((COUNTIFS(#REF!,$C351,#REF!,E$1))&gt;=1,"SIM","")</f>
        <v>#REF!</v>
      </c>
      <c r="F351" s="5" t="e">
        <f>IF((COUNTIFS(#REF!,$C351,#REF!,F$1))&gt;=1,"SIM","")</f>
        <v>#REF!</v>
      </c>
      <c r="G351" s="5" t="e">
        <f>IF((COUNTIFS(#REF!,$C351,#REF!,"*606*"))&gt;=1,"SIM","")</f>
        <v>#REF!</v>
      </c>
      <c r="H351" s="5" t="e">
        <f>IF((COUNTIFS(#REF!,$C351,#REF!,"*605*"))&gt;=1,"SIM","")</f>
        <v>#REF!</v>
      </c>
      <c r="I351" s="5" t="e">
        <f>IF((COUNTIFS(#REF!,$C351,#REF!,I$1))&gt;=1,"SIM","")</f>
        <v>#REF!</v>
      </c>
      <c r="J351" s="5" t="e">
        <f>IF((COUNTIFS(#REF!,$C351,#REF!,J$1))&gt;=1,"SIM","")</f>
        <v>#REF!</v>
      </c>
      <c r="K351" s="5" t="e">
        <f>IF((COUNTIFS(#REF!,$C351,#REF!,K$1))&gt;=1,"SIM","")</f>
        <v>#REF!</v>
      </c>
      <c r="L351" s="5" t="e">
        <f>IF((COUNTIFS(#REF!,$C351,#REF!,L$1))&gt;=1,"SIM","")</f>
        <v>#REF!</v>
      </c>
      <c r="M351" s="5" t="e">
        <f>IF((COUNTIFS(#REF!,$C351,#REF!,M$1))&gt;=1,"SIM","")</f>
        <v>#REF!</v>
      </c>
      <c r="N351" s="5" t="e">
        <f>IF((COUNTIFS(#REF!,$C351,#REF!,N$1))&gt;=1,"SIM","")</f>
        <v>#REF!</v>
      </c>
      <c r="O351" s="5"/>
      <c r="P351" s="5" t="e">
        <f>IF((COUNTIFS(#REF!,$C351,#REF!,P$1))&gt;=1,"SIM","")</f>
        <v>#REF!</v>
      </c>
      <c r="Q351" s="5" t="e">
        <f>IF((COUNTIFS(#REF!,$C351,#REF!,Q$1))&gt;=1,"SIM","")</f>
        <v>#REF!</v>
      </c>
      <c r="R351" s="5" t="e">
        <f>IF((COUNTIFS(#REF!,$C351,#REF!,"*CARTA*"))&gt;=1,"SIM","")</f>
        <v>#REF!</v>
      </c>
      <c r="S351" s="5" t="e">
        <f>IF((COUNTIFS(#REF!,$C351,#REF!,"*CARTA NOTIFICAÇÃO/DEVOL*"))&gt;=1,"SIM","")</f>
        <v>#REF!</v>
      </c>
      <c r="T351" s="5" t="e">
        <f>IF((COUNTIFS(#REF!,$C351,#REF!,"*LIGAÇÃO ATIVA DEV PRIN/LOC*"))&gt;=1,"SIM","")</f>
        <v>#REF!</v>
      </c>
    </row>
    <row r="352" spans="1:20">
      <c r="A352" s="24" t="s">
        <v>2158</v>
      </c>
      <c r="B352" s="24" t="s">
        <v>1386</v>
      </c>
      <c r="C352" s="24" t="s">
        <v>1387</v>
      </c>
      <c r="D352" s="5" t="e">
        <f>IF((COUNTIFS(#REF!,$C352,#REF!,"*163*"))&gt;=1,"SIM","")</f>
        <v>#REF!</v>
      </c>
      <c r="E352" s="5" t="e">
        <f>IF((COUNTIFS(#REF!,$C352,#REF!,E$1))&gt;=1,"SIM","")</f>
        <v>#REF!</v>
      </c>
      <c r="F352" s="5" t="e">
        <f>IF((COUNTIFS(#REF!,$C352,#REF!,F$1))&gt;=1,"SIM","")</f>
        <v>#REF!</v>
      </c>
      <c r="G352" s="5" t="e">
        <f>IF((COUNTIFS(#REF!,$C352,#REF!,"*606*"))&gt;=1,"SIM","")</f>
        <v>#REF!</v>
      </c>
      <c r="H352" s="5" t="e">
        <f>IF((COUNTIFS(#REF!,$C352,#REF!,"*605*"))&gt;=1,"SIM","")</f>
        <v>#REF!</v>
      </c>
      <c r="I352" s="5" t="e">
        <f>IF((COUNTIFS(#REF!,$C352,#REF!,I$1))&gt;=1,"SIM","")</f>
        <v>#REF!</v>
      </c>
      <c r="J352" s="5" t="e">
        <f>IF((COUNTIFS(#REF!,$C352,#REF!,J$1))&gt;=1,"SIM","")</f>
        <v>#REF!</v>
      </c>
      <c r="K352" s="5" t="e">
        <f>IF((COUNTIFS(#REF!,$C352,#REF!,K$1))&gt;=1,"SIM","")</f>
        <v>#REF!</v>
      </c>
      <c r="L352" s="5" t="e">
        <f>IF((COUNTIFS(#REF!,$C352,#REF!,L$1))&gt;=1,"SIM","")</f>
        <v>#REF!</v>
      </c>
      <c r="M352" s="5" t="e">
        <f>IF((COUNTIFS(#REF!,$C352,#REF!,M$1))&gt;=1,"SIM","")</f>
        <v>#REF!</v>
      </c>
      <c r="N352" s="5" t="e">
        <f>IF((COUNTIFS(#REF!,$C352,#REF!,N$1))&gt;=1,"SIM","")</f>
        <v>#REF!</v>
      </c>
      <c r="O352" s="5"/>
      <c r="P352" s="5" t="e">
        <f>IF((COUNTIFS(#REF!,$C352,#REF!,P$1))&gt;=1,"SIM","")</f>
        <v>#REF!</v>
      </c>
      <c r="Q352" s="5" t="e">
        <f>IF((COUNTIFS(#REF!,$C352,#REF!,Q$1))&gt;=1,"SIM","")</f>
        <v>#REF!</v>
      </c>
      <c r="R352" s="5" t="e">
        <f>IF((COUNTIFS(#REF!,$C352,#REF!,"*CARTA*"))&gt;=1,"SIM","")</f>
        <v>#REF!</v>
      </c>
      <c r="S352" s="5" t="e">
        <f>IF((COUNTIFS(#REF!,$C352,#REF!,"*CARTA NOTIFICAÇÃO/DEVOL*"))&gt;=1,"SIM","")</f>
        <v>#REF!</v>
      </c>
      <c r="T352" s="5" t="e">
        <f>IF((COUNTIFS(#REF!,$C352,#REF!,"*LIGAÇÃO ATIVA DEV PRIN/LOC*"))&gt;=1,"SIM","")</f>
        <v>#REF!</v>
      </c>
    </row>
    <row r="353" spans="1:20">
      <c r="A353" s="24" t="s">
        <v>2159</v>
      </c>
      <c r="B353" s="24" t="s">
        <v>1127</v>
      </c>
      <c r="C353" s="24" t="s">
        <v>1128</v>
      </c>
      <c r="D353" s="5" t="e">
        <f>IF((COUNTIFS(#REF!,$C353,#REF!,"*163*"))&gt;=1,"SIM","")</f>
        <v>#REF!</v>
      </c>
      <c r="E353" s="5" t="e">
        <f>IF((COUNTIFS(#REF!,$C353,#REF!,E$1))&gt;=1,"SIM","")</f>
        <v>#REF!</v>
      </c>
      <c r="F353" s="5" t="e">
        <f>IF((COUNTIFS(#REF!,$C353,#REF!,F$1))&gt;=1,"SIM","")</f>
        <v>#REF!</v>
      </c>
      <c r="G353" s="5" t="e">
        <f>IF((COUNTIFS(#REF!,$C353,#REF!,"*606*"))&gt;=1,"SIM","")</f>
        <v>#REF!</v>
      </c>
      <c r="H353" s="5" t="e">
        <f>IF((COUNTIFS(#REF!,$C353,#REF!,"*605*"))&gt;=1,"SIM","")</f>
        <v>#REF!</v>
      </c>
      <c r="I353" s="5" t="e">
        <f>IF((COUNTIFS(#REF!,$C353,#REF!,I$1))&gt;=1,"SIM","")</f>
        <v>#REF!</v>
      </c>
      <c r="J353" s="5" t="e">
        <f>IF((COUNTIFS(#REF!,$C353,#REF!,J$1))&gt;=1,"SIM","")</f>
        <v>#REF!</v>
      </c>
      <c r="K353" s="5" t="e">
        <f>IF((COUNTIFS(#REF!,$C353,#REF!,K$1))&gt;=1,"SIM","")</f>
        <v>#REF!</v>
      </c>
      <c r="L353" s="5" t="e">
        <f>IF((COUNTIFS(#REF!,$C353,#REF!,L$1))&gt;=1,"SIM","")</f>
        <v>#REF!</v>
      </c>
      <c r="M353" s="5" t="e">
        <f>IF((COUNTIFS(#REF!,$C353,#REF!,M$1))&gt;=1,"SIM","")</f>
        <v>#REF!</v>
      </c>
      <c r="N353" s="5" t="e">
        <f>IF((COUNTIFS(#REF!,$C353,#REF!,N$1))&gt;=1,"SIM","")</f>
        <v>#REF!</v>
      </c>
      <c r="O353" s="5"/>
      <c r="P353" s="5" t="e">
        <f>IF((COUNTIFS(#REF!,$C353,#REF!,P$1))&gt;=1,"SIM","")</f>
        <v>#REF!</v>
      </c>
      <c r="Q353" s="5" t="e">
        <f>IF((COUNTIFS(#REF!,$C353,#REF!,Q$1))&gt;=1,"SIM","")</f>
        <v>#REF!</v>
      </c>
      <c r="R353" s="5" t="e">
        <f>IF((COUNTIFS(#REF!,$C353,#REF!,"*CARTA*"))&gt;=1,"SIM","")</f>
        <v>#REF!</v>
      </c>
      <c r="S353" s="5" t="e">
        <f>IF((COUNTIFS(#REF!,$C353,#REF!,"*CARTA NOTIFICAÇÃO/DEVOL*"))&gt;=1,"SIM","")</f>
        <v>#REF!</v>
      </c>
      <c r="T353" s="5" t="e">
        <f>IF((COUNTIFS(#REF!,$C353,#REF!,"*LIGAÇÃO ATIVA DEV PRIN/LOC*"))&gt;=1,"SIM","")</f>
        <v>#REF!</v>
      </c>
    </row>
    <row r="354" spans="1:20">
      <c r="A354" s="24" t="s">
        <v>2159</v>
      </c>
      <c r="B354" s="24" t="s">
        <v>1747</v>
      </c>
      <c r="C354" s="24" t="s">
        <v>2442</v>
      </c>
      <c r="D354" s="5" t="e">
        <f>IF((COUNTIFS(#REF!,$C354,#REF!,"*163*"))&gt;=1,"SIM","")</f>
        <v>#REF!</v>
      </c>
      <c r="E354" s="5" t="e">
        <f>IF((COUNTIFS(#REF!,$C354,#REF!,E$1))&gt;=1,"SIM","")</f>
        <v>#REF!</v>
      </c>
      <c r="F354" s="5" t="e">
        <f>IF((COUNTIFS(#REF!,$C354,#REF!,F$1))&gt;=1,"SIM","")</f>
        <v>#REF!</v>
      </c>
      <c r="G354" s="5" t="e">
        <f>IF((COUNTIFS(#REF!,$C354,#REF!,"*606*"))&gt;=1,"SIM","")</f>
        <v>#REF!</v>
      </c>
      <c r="H354" s="5" t="e">
        <f>IF((COUNTIFS(#REF!,$C354,#REF!,"*605*"))&gt;=1,"SIM","")</f>
        <v>#REF!</v>
      </c>
      <c r="I354" s="5" t="e">
        <f>IF((COUNTIFS(#REF!,$C354,#REF!,I$1))&gt;=1,"SIM","")</f>
        <v>#REF!</v>
      </c>
      <c r="J354" s="5" t="e">
        <f>IF((COUNTIFS(#REF!,$C354,#REF!,J$1))&gt;=1,"SIM","")</f>
        <v>#REF!</v>
      </c>
      <c r="K354" s="5" t="e">
        <f>IF((COUNTIFS(#REF!,$C354,#REF!,K$1))&gt;=1,"SIM","")</f>
        <v>#REF!</v>
      </c>
      <c r="L354" s="5" t="e">
        <f>IF((COUNTIFS(#REF!,$C354,#REF!,L$1))&gt;=1,"SIM","")</f>
        <v>#REF!</v>
      </c>
      <c r="M354" s="5" t="e">
        <f>IF((COUNTIFS(#REF!,$C354,#REF!,M$1))&gt;=1,"SIM","")</f>
        <v>#REF!</v>
      </c>
      <c r="N354" s="5" t="e">
        <f>IF((COUNTIFS(#REF!,$C354,#REF!,N$1))&gt;=1,"SIM","")</f>
        <v>#REF!</v>
      </c>
      <c r="O354" s="5"/>
      <c r="P354" s="5" t="e">
        <f>IF((COUNTIFS(#REF!,$C354,#REF!,P$1))&gt;=1,"SIM","")</f>
        <v>#REF!</v>
      </c>
      <c r="Q354" s="5" t="e">
        <f>IF((COUNTIFS(#REF!,$C354,#REF!,Q$1))&gt;=1,"SIM","")</f>
        <v>#REF!</v>
      </c>
      <c r="R354" s="5" t="e">
        <f>IF((COUNTIFS(#REF!,$C354,#REF!,"*CARTA*"))&gt;=1,"SIM","")</f>
        <v>#REF!</v>
      </c>
      <c r="S354" s="5" t="e">
        <f>IF((COUNTIFS(#REF!,$C354,#REF!,"*CARTA NOTIFICAÇÃO/DEVOL*"))&gt;=1,"SIM","")</f>
        <v>#REF!</v>
      </c>
      <c r="T354" s="5" t="e">
        <f>IF((COUNTIFS(#REF!,$C354,#REF!,"*LIGAÇÃO ATIVA DEV PRIN/LOC*"))&gt;=1,"SIM","")</f>
        <v>#REF!</v>
      </c>
    </row>
    <row r="355" spans="1:20">
      <c r="A355" s="24" t="s">
        <v>2159</v>
      </c>
      <c r="B355" s="24" t="s">
        <v>1749</v>
      </c>
      <c r="C355" s="24" t="s">
        <v>1748</v>
      </c>
      <c r="D355" s="5" t="e">
        <f>IF((COUNTIFS(#REF!,$C355,#REF!,"*163*"))&gt;=1,"SIM","")</f>
        <v>#REF!</v>
      </c>
      <c r="E355" s="5" t="e">
        <f>IF((COUNTIFS(#REF!,$C355,#REF!,E$1))&gt;=1,"SIM","")</f>
        <v>#REF!</v>
      </c>
      <c r="F355" s="5" t="e">
        <f>IF((COUNTIFS(#REF!,$C355,#REF!,F$1))&gt;=1,"SIM","")</f>
        <v>#REF!</v>
      </c>
      <c r="G355" s="5" t="e">
        <f>IF((COUNTIFS(#REF!,$C355,#REF!,"*606*"))&gt;=1,"SIM","")</f>
        <v>#REF!</v>
      </c>
      <c r="H355" s="5" t="e">
        <f>IF((COUNTIFS(#REF!,$C355,#REF!,"*605*"))&gt;=1,"SIM","")</f>
        <v>#REF!</v>
      </c>
      <c r="I355" s="5" t="e">
        <f>IF((COUNTIFS(#REF!,$C355,#REF!,I$1))&gt;=1,"SIM","")</f>
        <v>#REF!</v>
      </c>
      <c r="J355" s="5" t="e">
        <f>IF((COUNTIFS(#REF!,$C355,#REF!,J$1))&gt;=1,"SIM","")</f>
        <v>#REF!</v>
      </c>
      <c r="K355" s="5" t="e">
        <f>IF((COUNTIFS(#REF!,$C355,#REF!,K$1))&gt;=1,"SIM","")</f>
        <v>#REF!</v>
      </c>
      <c r="L355" s="5" t="e">
        <f>IF((COUNTIFS(#REF!,$C355,#REF!,L$1))&gt;=1,"SIM","")</f>
        <v>#REF!</v>
      </c>
      <c r="M355" s="5" t="e">
        <f>IF((COUNTIFS(#REF!,$C355,#REF!,M$1))&gt;=1,"SIM","")</f>
        <v>#REF!</v>
      </c>
      <c r="N355" s="5" t="e">
        <f>IF((COUNTIFS(#REF!,$C355,#REF!,N$1))&gt;=1,"SIM","")</f>
        <v>#REF!</v>
      </c>
      <c r="O355" s="5"/>
      <c r="P355" s="5" t="e">
        <f>IF((COUNTIFS(#REF!,$C355,#REF!,P$1))&gt;=1,"SIM","")</f>
        <v>#REF!</v>
      </c>
      <c r="Q355" s="5" t="e">
        <f>IF((COUNTIFS(#REF!,$C355,#REF!,Q$1))&gt;=1,"SIM","")</f>
        <v>#REF!</v>
      </c>
      <c r="R355" s="5" t="e">
        <f>IF((COUNTIFS(#REF!,$C355,#REF!,"*CARTA*"))&gt;=1,"SIM","")</f>
        <v>#REF!</v>
      </c>
      <c r="S355" s="5" t="e">
        <f>IF((COUNTIFS(#REF!,$C355,#REF!,"*CARTA NOTIFICAÇÃO/DEVOL*"))&gt;=1,"SIM","")</f>
        <v>#REF!</v>
      </c>
      <c r="T355" s="5" t="e">
        <f>IF((COUNTIFS(#REF!,$C355,#REF!,"*LIGAÇÃO ATIVA DEV PRIN/LOC*"))&gt;=1,"SIM","")</f>
        <v>#REF!</v>
      </c>
    </row>
    <row r="356" spans="1:20">
      <c r="A356" s="24" t="s">
        <v>2159</v>
      </c>
      <c r="B356" s="24" t="s">
        <v>2056</v>
      </c>
      <c r="C356" s="24" t="s">
        <v>1748</v>
      </c>
      <c r="D356" s="5" t="e">
        <f>IF((COUNTIFS(#REF!,$C356,#REF!,"*163*"))&gt;=1,"SIM","")</f>
        <v>#REF!</v>
      </c>
      <c r="E356" s="5" t="e">
        <f>IF((COUNTIFS(#REF!,$C356,#REF!,E$1))&gt;=1,"SIM","")</f>
        <v>#REF!</v>
      </c>
      <c r="F356" s="5" t="e">
        <f>IF((COUNTIFS(#REF!,$C356,#REF!,F$1))&gt;=1,"SIM","")</f>
        <v>#REF!</v>
      </c>
      <c r="G356" s="5" t="e">
        <f>IF((COUNTIFS(#REF!,$C356,#REF!,"*606*"))&gt;=1,"SIM","")</f>
        <v>#REF!</v>
      </c>
      <c r="H356" s="5" t="e">
        <f>IF((COUNTIFS(#REF!,$C356,#REF!,"*605*"))&gt;=1,"SIM","")</f>
        <v>#REF!</v>
      </c>
      <c r="I356" s="5" t="e">
        <f>IF((COUNTIFS(#REF!,$C356,#REF!,I$1))&gt;=1,"SIM","")</f>
        <v>#REF!</v>
      </c>
      <c r="J356" s="5" t="e">
        <f>IF((COUNTIFS(#REF!,$C356,#REF!,J$1))&gt;=1,"SIM","")</f>
        <v>#REF!</v>
      </c>
      <c r="K356" s="5" t="e">
        <f>IF((COUNTIFS(#REF!,$C356,#REF!,K$1))&gt;=1,"SIM","")</f>
        <v>#REF!</v>
      </c>
      <c r="L356" s="5" t="e">
        <f>IF((COUNTIFS(#REF!,$C356,#REF!,L$1))&gt;=1,"SIM","")</f>
        <v>#REF!</v>
      </c>
      <c r="M356" s="5" t="e">
        <f>IF((COUNTIFS(#REF!,$C356,#REF!,M$1))&gt;=1,"SIM","")</f>
        <v>#REF!</v>
      </c>
      <c r="N356" s="5" t="e">
        <f>IF((COUNTIFS(#REF!,$C356,#REF!,N$1))&gt;=1,"SIM","")</f>
        <v>#REF!</v>
      </c>
      <c r="O356" s="5"/>
      <c r="P356" s="5" t="e">
        <f>IF((COUNTIFS(#REF!,$C356,#REF!,P$1))&gt;=1,"SIM","")</f>
        <v>#REF!</v>
      </c>
      <c r="Q356" s="5" t="e">
        <f>IF((COUNTIFS(#REF!,$C356,#REF!,Q$1))&gt;=1,"SIM","")</f>
        <v>#REF!</v>
      </c>
      <c r="R356" s="5" t="e">
        <f>IF((COUNTIFS(#REF!,$C356,#REF!,"*CARTA*"))&gt;=1,"SIM","")</f>
        <v>#REF!</v>
      </c>
      <c r="S356" s="5" t="e">
        <f>IF((COUNTIFS(#REF!,$C356,#REF!,"*CARTA NOTIFICAÇÃO/DEVOL*"))&gt;=1,"SIM","")</f>
        <v>#REF!</v>
      </c>
      <c r="T356" s="5" t="e">
        <f>IF((COUNTIFS(#REF!,$C356,#REF!,"*LIGAÇÃO ATIVA DEV PRIN/LOC*"))&gt;=1,"SIM","")</f>
        <v>#REF!</v>
      </c>
    </row>
    <row r="357" spans="1:20">
      <c r="A357" s="24" t="s">
        <v>2153</v>
      </c>
      <c r="B357" s="24" t="s">
        <v>216</v>
      </c>
      <c r="C357" s="24" t="s">
        <v>217</v>
      </c>
      <c r="D357" s="5" t="e">
        <f>IF((COUNTIFS(#REF!,$C357,#REF!,"*163*"))&gt;=1,"SIM","")</f>
        <v>#REF!</v>
      </c>
      <c r="E357" s="5" t="e">
        <f>IF((COUNTIFS(#REF!,$C357,#REF!,E$1))&gt;=1,"SIM","")</f>
        <v>#REF!</v>
      </c>
      <c r="F357" s="5" t="e">
        <f>IF((COUNTIFS(#REF!,$C357,#REF!,F$1))&gt;=1,"SIM","")</f>
        <v>#REF!</v>
      </c>
      <c r="G357" s="5" t="e">
        <f>IF((COUNTIFS(#REF!,$C357,#REF!,"*606*"))&gt;=1,"SIM","")</f>
        <v>#REF!</v>
      </c>
      <c r="H357" s="5" t="e">
        <f>IF((COUNTIFS(#REF!,$C357,#REF!,"*605*"))&gt;=1,"SIM","")</f>
        <v>#REF!</v>
      </c>
      <c r="I357" s="5" t="e">
        <f>IF((COUNTIFS(#REF!,$C357,#REF!,I$1))&gt;=1,"SIM","")</f>
        <v>#REF!</v>
      </c>
      <c r="J357" s="5" t="e">
        <f>IF((COUNTIFS(#REF!,$C357,#REF!,J$1))&gt;=1,"SIM","")</f>
        <v>#REF!</v>
      </c>
      <c r="K357" s="5" t="e">
        <f>IF((COUNTIFS(#REF!,$C357,#REF!,K$1))&gt;=1,"SIM","")</f>
        <v>#REF!</v>
      </c>
      <c r="L357" s="5" t="e">
        <f>IF((COUNTIFS(#REF!,$C357,#REF!,L$1))&gt;=1,"SIM","")</f>
        <v>#REF!</v>
      </c>
      <c r="M357" s="5" t="e">
        <f>IF((COUNTIFS(#REF!,$C357,#REF!,M$1))&gt;=1,"SIM","")</f>
        <v>#REF!</v>
      </c>
      <c r="N357" s="5" t="e">
        <f>IF((COUNTIFS(#REF!,$C357,#REF!,N$1))&gt;=1,"SIM","")</f>
        <v>#REF!</v>
      </c>
      <c r="O357" s="5"/>
      <c r="P357" s="5" t="e">
        <f>IF((COUNTIFS(#REF!,$C357,#REF!,P$1))&gt;=1,"SIM","")</f>
        <v>#REF!</v>
      </c>
      <c r="Q357" s="5" t="e">
        <f>IF((COUNTIFS(#REF!,$C357,#REF!,Q$1))&gt;=1,"SIM","")</f>
        <v>#REF!</v>
      </c>
      <c r="R357" s="5" t="e">
        <f>IF((COUNTIFS(#REF!,$C357,#REF!,"*CARTA*"))&gt;=1,"SIM","")</f>
        <v>#REF!</v>
      </c>
      <c r="S357" s="5" t="e">
        <f>IF((COUNTIFS(#REF!,$C357,#REF!,"*CARTA NOTIFICAÇÃO/DEVOL*"))&gt;=1,"SIM","")</f>
        <v>#REF!</v>
      </c>
      <c r="T357" s="5" t="e">
        <f>IF((COUNTIFS(#REF!,$C357,#REF!,"*LIGAÇÃO ATIVA DEV PRIN/LOC*"))&gt;=1,"SIM","")</f>
        <v>#REF!</v>
      </c>
    </row>
    <row r="358" spans="1:20">
      <c r="A358" s="24" t="s">
        <v>2159</v>
      </c>
      <c r="B358" s="24" t="s">
        <v>1801</v>
      </c>
      <c r="C358" s="24" t="s">
        <v>1802</v>
      </c>
      <c r="D358" s="5" t="e">
        <f>IF((COUNTIFS(#REF!,$C358,#REF!,"*163*"))&gt;=1,"SIM","")</f>
        <v>#REF!</v>
      </c>
      <c r="E358" s="5" t="e">
        <f>IF((COUNTIFS(#REF!,$C358,#REF!,E$1))&gt;=1,"SIM","")</f>
        <v>#REF!</v>
      </c>
      <c r="F358" s="5" t="e">
        <f>IF((COUNTIFS(#REF!,$C358,#REF!,F$1))&gt;=1,"SIM","")</f>
        <v>#REF!</v>
      </c>
      <c r="G358" s="5" t="e">
        <f>IF((COUNTIFS(#REF!,$C358,#REF!,"*606*"))&gt;=1,"SIM","")</f>
        <v>#REF!</v>
      </c>
      <c r="H358" s="5" t="e">
        <f>IF((COUNTIFS(#REF!,$C358,#REF!,"*605*"))&gt;=1,"SIM","")</f>
        <v>#REF!</v>
      </c>
      <c r="I358" s="5" t="e">
        <f>IF((COUNTIFS(#REF!,$C358,#REF!,I$1))&gt;=1,"SIM","")</f>
        <v>#REF!</v>
      </c>
      <c r="J358" s="5" t="e">
        <f>IF((COUNTIFS(#REF!,$C358,#REF!,J$1))&gt;=1,"SIM","")</f>
        <v>#REF!</v>
      </c>
      <c r="K358" s="5" t="e">
        <f>IF((COUNTIFS(#REF!,$C358,#REF!,K$1))&gt;=1,"SIM","")</f>
        <v>#REF!</v>
      </c>
      <c r="L358" s="5" t="e">
        <f>IF((COUNTIFS(#REF!,$C358,#REF!,L$1))&gt;=1,"SIM","")</f>
        <v>#REF!</v>
      </c>
      <c r="M358" s="5" t="e">
        <f>IF((COUNTIFS(#REF!,$C358,#REF!,M$1))&gt;=1,"SIM","")</f>
        <v>#REF!</v>
      </c>
      <c r="N358" s="5" t="e">
        <f>IF((COUNTIFS(#REF!,$C358,#REF!,N$1))&gt;=1,"SIM","")</f>
        <v>#REF!</v>
      </c>
      <c r="O358" s="5"/>
      <c r="P358" s="5" t="e">
        <f>IF((COUNTIFS(#REF!,$C358,#REF!,P$1))&gt;=1,"SIM","")</f>
        <v>#REF!</v>
      </c>
      <c r="Q358" s="5" t="e">
        <f>IF((COUNTIFS(#REF!,$C358,#REF!,Q$1))&gt;=1,"SIM","")</f>
        <v>#REF!</v>
      </c>
      <c r="R358" s="5" t="e">
        <f>IF((COUNTIFS(#REF!,$C358,#REF!,"*CARTA*"))&gt;=1,"SIM","")</f>
        <v>#REF!</v>
      </c>
      <c r="S358" s="5" t="e">
        <f>IF((COUNTIFS(#REF!,$C358,#REF!,"*CARTA NOTIFICAÇÃO/DEVOL*"))&gt;=1,"SIM","")</f>
        <v>#REF!</v>
      </c>
      <c r="T358" s="5" t="e">
        <f>IF((COUNTIFS(#REF!,$C358,#REF!,"*LIGAÇÃO ATIVA DEV PRIN/LOC*"))&gt;=1,"SIM","")</f>
        <v>#REF!</v>
      </c>
    </row>
    <row r="359" spans="1:20">
      <c r="A359" s="24" t="s">
        <v>2153</v>
      </c>
      <c r="B359" s="24" t="s">
        <v>1223</v>
      </c>
      <c r="C359" s="24" t="s">
        <v>1224</v>
      </c>
      <c r="D359" s="5" t="e">
        <f>IF((COUNTIFS(#REF!,$C359,#REF!,"*163*"))&gt;=1,"SIM","")</f>
        <v>#REF!</v>
      </c>
      <c r="E359" s="5" t="e">
        <f>IF((COUNTIFS(#REF!,$C359,#REF!,E$1))&gt;=1,"SIM","")</f>
        <v>#REF!</v>
      </c>
      <c r="F359" s="5" t="e">
        <f>IF((COUNTIFS(#REF!,$C359,#REF!,F$1))&gt;=1,"SIM","")</f>
        <v>#REF!</v>
      </c>
      <c r="G359" s="5" t="e">
        <f>IF((COUNTIFS(#REF!,$C359,#REF!,"*606*"))&gt;=1,"SIM","")</f>
        <v>#REF!</v>
      </c>
      <c r="H359" s="5" t="e">
        <f>IF((COUNTIFS(#REF!,$C359,#REF!,"*605*"))&gt;=1,"SIM","")</f>
        <v>#REF!</v>
      </c>
      <c r="I359" s="5" t="e">
        <f>IF((COUNTIFS(#REF!,$C359,#REF!,I$1))&gt;=1,"SIM","")</f>
        <v>#REF!</v>
      </c>
      <c r="J359" s="5" t="e">
        <f>IF((COUNTIFS(#REF!,$C359,#REF!,J$1))&gt;=1,"SIM","")</f>
        <v>#REF!</v>
      </c>
      <c r="K359" s="5" t="e">
        <f>IF((COUNTIFS(#REF!,$C359,#REF!,K$1))&gt;=1,"SIM","")</f>
        <v>#REF!</v>
      </c>
      <c r="L359" s="5" t="e">
        <f>IF((COUNTIFS(#REF!,$C359,#REF!,L$1))&gt;=1,"SIM","")</f>
        <v>#REF!</v>
      </c>
      <c r="M359" s="5" t="e">
        <f>IF((COUNTIFS(#REF!,$C359,#REF!,M$1))&gt;=1,"SIM","")</f>
        <v>#REF!</v>
      </c>
      <c r="N359" s="5" t="e">
        <f>IF((COUNTIFS(#REF!,$C359,#REF!,N$1))&gt;=1,"SIM","")</f>
        <v>#REF!</v>
      </c>
      <c r="O359" s="5"/>
      <c r="P359" s="5" t="e">
        <f>IF((COUNTIFS(#REF!,$C359,#REF!,P$1))&gt;=1,"SIM","")</f>
        <v>#REF!</v>
      </c>
      <c r="Q359" s="5" t="e">
        <f>IF((COUNTIFS(#REF!,$C359,#REF!,Q$1))&gt;=1,"SIM","")</f>
        <v>#REF!</v>
      </c>
      <c r="R359" s="5" t="e">
        <f>IF((COUNTIFS(#REF!,$C359,#REF!,"*CARTA*"))&gt;=1,"SIM","")</f>
        <v>#REF!</v>
      </c>
      <c r="S359" s="5" t="e">
        <f>IF((COUNTIFS(#REF!,$C359,#REF!,"*CARTA NOTIFICAÇÃO/DEVOL*"))&gt;=1,"SIM","")</f>
        <v>#REF!</v>
      </c>
      <c r="T359" s="5" t="e">
        <f>IF((COUNTIFS(#REF!,$C359,#REF!,"*LIGAÇÃO ATIVA DEV PRIN/LOC*"))&gt;=1,"SIM","")</f>
        <v>#REF!</v>
      </c>
    </row>
    <row r="360" spans="1:20">
      <c r="A360" s="24" t="s">
        <v>2153</v>
      </c>
      <c r="B360" s="24" t="s">
        <v>2150</v>
      </c>
      <c r="C360" s="24" t="s">
        <v>2151</v>
      </c>
      <c r="D360" s="5" t="e">
        <f>IF((COUNTIFS(#REF!,$C360,#REF!,"*163*"))&gt;=1,"SIM","")</f>
        <v>#REF!</v>
      </c>
      <c r="E360" s="5" t="e">
        <f>IF((COUNTIFS(#REF!,$C360,#REF!,E$1))&gt;=1,"SIM","")</f>
        <v>#REF!</v>
      </c>
      <c r="F360" s="5" t="e">
        <f>IF((COUNTIFS(#REF!,$C360,#REF!,F$1))&gt;=1,"SIM","")</f>
        <v>#REF!</v>
      </c>
      <c r="G360" s="5" t="e">
        <f>IF((COUNTIFS(#REF!,$C360,#REF!,"*606*"))&gt;=1,"SIM","")</f>
        <v>#REF!</v>
      </c>
      <c r="H360" s="5" t="e">
        <f>IF((COUNTIFS(#REF!,$C360,#REF!,"*605*"))&gt;=1,"SIM","")</f>
        <v>#REF!</v>
      </c>
      <c r="I360" s="5" t="e">
        <f>IF((COUNTIFS(#REF!,$C360,#REF!,I$1))&gt;=1,"SIM","")</f>
        <v>#REF!</v>
      </c>
      <c r="J360" s="5" t="e">
        <f>IF((COUNTIFS(#REF!,$C360,#REF!,J$1))&gt;=1,"SIM","")</f>
        <v>#REF!</v>
      </c>
      <c r="K360" s="5" t="e">
        <f>IF((COUNTIFS(#REF!,$C360,#REF!,K$1))&gt;=1,"SIM","")</f>
        <v>#REF!</v>
      </c>
      <c r="L360" s="5" t="e">
        <f>IF((COUNTIFS(#REF!,$C360,#REF!,L$1))&gt;=1,"SIM","")</f>
        <v>#REF!</v>
      </c>
      <c r="M360" s="5" t="e">
        <f>IF((COUNTIFS(#REF!,$C360,#REF!,M$1))&gt;=1,"SIM","")</f>
        <v>#REF!</v>
      </c>
      <c r="N360" s="5" t="e">
        <f>IF((COUNTIFS(#REF!,$C360,#REF!,N$1))&gt;=1,"SIM","")</f>
        <v>#REF!</v>
      </c>
      <c r="O360" s="5"/>
      <c r="P360" s="5" t="e">
        <f>IF((COUNTIFS(#REF!,$C360,#REF!,P$1))&gt;=1,"SIM","")</f>
        <v>#REF!</v>
      </c>
      <c r="Q360" s="5" t="e">
        <f>IF((COUNTIFS(#REF!,$C360,#REF!,Q$1))&gt;=1,"SIM","")</f>
        <v>#REF!</v>
      </c>
      <c r="R360" s="5" t="e">
        <f>IF((COUNTIFS(#REF!,$C360,#REF!,"*CARTA*"))&gt;=1,"SIM","")</f>
        <v>#REF!</v>
      </c>
      <c r="S360" s="5" t="e">
        <f>IF((COUNTIFS(#REF!,$C360,#REF!,"*CARTA NOTIFICAÇÃO/DEVOL*"))&gt;=1,"SIM","")</f>
        <v>#REF!</v>
      </c>
      <c r="T360" s="5" t="e">
        <f>IF((COUNTIFS(#REF!,$C360,#REF!,"*LIGAÇÃO ATIVA DEV PRIN/LOC*"))&gt;=1,"SIM","")</f>
        <v>#REF!</v>
      </c>
    </row>
    <row r="361" spans="1:20">
      <c r="A361" s="24" t="s">
        <v>2153</v>
      </c>
      <c r="B361" s="24" t="s">
        <v>771</v>
      </c>
      <c r="C361" s="24" t="s">
        <v>772</v>
      </c>
      <c r="D361" s="5" t="e">
        <f>IF((COUNTIFS(#REF!,$C361,#REF!,"*163*"))&gt;=1,"SIM","")</f>
        <v>#REF!</v>
      </c>
      <c r="E361" s="5" t="e">
        <f>IF((COUNTIFS(#REF!,$C361,#REF!,E$1))&gt;=1,"SIM","")</f>
        <v>#REF!</v>
      </c>
      <c r="F361" s="5" t="e">
        <f>IF((COUNTIFS(#REF!,$C361,#REF!,F$1))&gt;=1,"SIM","")</f>
        <v>#REF!</v>
      </c>
      <c r="G361" s="5" t="e">
        <f>IF((COUNTIFS(#REF!,$C361,#REF!,"*606*"))&gt;=1,"SIM","")</f>
        <v>#REF!</v>
      </c>
      <c r="H361" s="5" t="e">
        <f>IF((COUNTIFS(#REF!,$C361,#REF!,"*605*"))&gt;=1,"SIM","")</f>
        <v>#REF!</v>
      </c>
      <c r="I361" s="5" t="e">
        <f>IF((COUNTIFS(#REF!,$C361,#REF!,I$1))&gt;=1,"SIM","")</f>
        <v>#REF!</v>
      </c>
      <c r="J361" s="5" t="e">
        <f>IF((COUNTIFS(#REF!,$C361,#REF!,J$1))&gt;=1,"SIM","")</f>
        <v>#REF!</v>
      </c>
      <c r="K361" s="5" t="e">
        <f>IF((COUNTIFS(#REF!,$C361,#REF!,K$1))&gt;=1,"SIM","")</f>
        <v>#REF!</v>
      </c>
      <c r="L361" s="5" t="e">
        <f>IF((COUNTIFS(#REF!,$C361,#REF!,L$1))&gt;=1,"SIM","")</f>
        <v>#REF!</v>
      </c>
      <c r="M361" s="5" t="e">
        <f>IF((COUNTIFS(#REF!,$C361,#REF!,M$1))&gt;=1,"SIM","")</f>
        <v>#REF!</v>
      </c>
      <c r="N361" s="5" t="e">
        <f>IF((COUNTIFS(#REF!,$C361,#REF!,N$1))&gt;=1,"SIM","")</f>
        <v>#REF!</v>
      </c>
      <c r="O361" s="5"/>
      <c r="P361" s="5" t="e">
        <f>IF((COUNTIFS(#REF!,$C361,#REF!,P$1))&gt;=1,"SIM","")</f>
        <v>#REF!</v>
      </c>
      <c r="Q361" s="5" t="e">
        <f>IF((COUNTIFS(#REF!,$C361,#REF!,Q$1))&gt;=1,"SIM","")</f>
        <v>#REF!</v>
      </c>
      <c r="R361" s="5" t="e">
        <f>IF((COUNTIFS(#REF!,$C361,#REF!,"*CARTA*"))&gt;=1,"SIM","")</f>
        <v>#REF!</v>
      </c>
      <c r="S361" s="5" t="e">
        <f>IF((COUNTIFS(#REF!,$C361,#REF!,"*CARTA NOTIFICAÇÃO/DEVOL*"))&gt;=1,"SIM","")</f>
        <v>#REF!</v>
      </c>
      <c r="T361" s="5" t="e">
        <f>IF((COUNTIFS(#REF!,$C361,#REF!,"*LIGAÇÃO ATIVA DEV PRIN/LOC*"))&gt;=1,"SIM","")</f>
        <v>#REF!</v>
      </c>
    </row>
    <row r="362" spans="1:20">
      <c r="A362" s="24" t="s">
        <v>2159</v>
      </c>
      <c r="B362" s="24" t="s">
        <v>958</v>
      </c>
      <c r="C362" s="24" t="s">
        <v>959</v>
      </c>
      <c r="D362" s="5" t="e">
        <f>IF((COUNTIFS(#REF!,$C362,#REF!,"*163*"))&gt;=1,"SIM","")</f>
        <v>#REF!</v>
      </c>
      <c r="E362" s="5" t="e">
        <f>IF((COUNTIFS(#REF!,$C362,#REF!,E$1))&gt;=1,"SIM","")</f>
        <v>#REF!</v>
      </c>
      <c r="F362" s="5" t="e">
        <f>IF((COUNTIFS(#REF!,$C362,#REF!,F$1))&gt;=1,"SIM","")</f>
        <v>#REF!</v>
      </c>
      <c r="G362" s="5" t="e">
        <f>IF((COUNTIFS(#REF!,$C362,#REF!,"*606*"))&gt;=1,"SIM","")</f>
        <v>#REF!</v>
      </c>
      <c r="H362" s="5" t="e">
        <f>IF((COUNTIFS(#REF!,$C362,#REF!,"*605*"))&gt;=1,"SIM","")</f>
        <v>#REF!</v>
      </c>
      <c r="I362" s="5" t="e">
        <f>IF((COUNTIFS(#REF!,$C362,#REF!,I$1))&gt;=1,"SIM","")</f>
        <v>#REF!</v>
      </c>
      <c r="J362" s="5" t="e">
        <f>IF((COUNTIFS(#REF!,$C362,#REF!,J$1))&gt;=1,"SIM","")</f>
        <v>#REF!</v>
      </c>
      <c r="K362" s="5" t="e">
        <f>IF((COUNTIFS(#REF!,$C362,#REF!,K$1))&gt;=1,"SIM","")</f>
        <v>#REF!</v>
      </c>
      <c r="L362" s="5" t="e">
        <f>IF((COUNTIFS(#REF!,$C362,#REF!,L$1))&gt;=1,"SIM","")</f>
        <v>#REF!</v>
      </c>
      <c r="M362" s="5" t="e">
        <f>IF((COUNTIFS(#REF!,$C362,#REF!,M$1))&gt;=1,"SIM","")</f>
        <v>#REF!</v>
      </c>
      <c r="N362" s="5" t="e">
        <f>IF((COUNTIFS(#REF!,$C362,#REF!,N$1))&gt;=1,"SIM","")</f>
        <v>#REF!</v>
      </c>
      <c r="O362" s="5"/>
      <c r="P362" s="5" t="e">
        <f>IF((COUNTIFS(#REF!,$C362,#REF!,P$1))&gt;=1,"SIM","")</f>
        <v>#REF!</v>
      </c>
      <c r="Q362" s="5" t="e">
        <f>IF((COUNTIFS(#REF!,$C362,#REF!,Q$1))&gt;=1,"SIM","")</f>
        <v>#REF!</v>
      </c>
      <c r="R362" s="5" t="e">
        <f>IF((COUNTIFS(#REF!,$C362,#REF!,"*CARTA*"))&gt;=1,"SIM","")</f>
        <v>#REF!</v>
      </c>
      <c r="S362" s="5" t="e">
        <f>IF((COUNTIFS(#REF!,$C362,#REF!,"*CARTA NOTIFICAÇÃO/DEVOL*"))&gt;=1,"SIM","")</f>
        <v>#REF!</v>
      </c>
      <c r="T362" s="5" t="e">
        <f>IF((COUNTIFS(#REF!,$C362,#REF!,"*LIGAÇÃO ATIVA DEV PRIN/LOC*"))&gt;=1,"SIM","")</f>
        <v>#REF!</v>
      </c>
    </row>
    <row r="363" spans="1:20">
      <c r="A363" s="24" t="s">
        <v>2158</v>
      </c>
      <c r="B363" s="24" t="s">
        <v>1512</v>
      </c>
      <c r="C363" s="24" t="s">
        <v>1513</v>
      </c>
      <c r="D363" s="5" t="e">
        <f>IF((COUNTIFS(#REF!,$C363,#REF!,"*163*"))&gt;=1,"SIM","")</f>
        <v>#REF!</v>
      </c>
      <c r="E363" s="5" t="e">
        <f>IF((COUNTIFS(#REF!,$C363,#REF!,E$1))&gt;=1,"SIM","")</f>
        <v>#REF!</v>
      </c>
      <c r="F363" s="5" t="e">
        <f>IF((COUNTIFS(#REF!,$C363,#REF!,F$1))&gt;=1,"SIM","")</f>
        <v>#REF!</v>
      </c>
      <c r="G363" s="5" t="e">
        <f>IF((COUNTIFS(#REF!,$C363,#REF!,"*606*"))&gt;=1,"SIM","")</f>
        <v>#REF!</v>
      </c>
      <c r="H363" s="5" t="e">
        <f>IF((COUNTIFS(#REF!,$C363,#REF!,"*605*"))&gt;=1,"SIM","")</f>
        <v>#REF!</v>
      </c>
      <c r="I363" s="5" t="e">
        <f>IF((COUNTIFS(#REF!,$C363,#REF!,I$1))&gt;=1,"SIM","")</f>
        <v>#REF!</v>
      </c>
      <c r="J363" s="5" t="e">
        <f>IF((COUNTIFS(#REF!,$C363,#REF!,J$1))&gt;=1,"SIM","")</f>
        <v>#REF!</v>
      </c>
      <c r="K363" s="5" t="e">
        <f>IF((COUNTIFS(#REF!,$C363,#REF!,K$1))&gt;=1,"SIM","")</f>
        <v>#REF!</v>
      </c>
      <c r="L363" s="5" t="e">
        <f>IF((COUNTIFS(#REF!,$C363,#REF!,L$1))&gt;=1,"SIM","")</f>
        <v>#REF!</v>
      </c>
      <c r="M363" s="5" t="e">
        <f>IF((COUNTIFS(#REF!,$C363,#REF!,M$1))&gt;=1,"SIM","")</f>
        <v>#REF!</v>
      </c>
      <c r="N363" s="5" t="e">
        <f>IF((COUNTIFS(#REF!,$C363,#REF!,N$1))&gt;=1,"SIM","")</f>
        <v>#REF!</v>
      </c>
      <c r="O363" s="5"/>
      <c r="P363" s="5" t="e">
        <f>IF((COUNTIFS(#REF!,$C363,#REF!,P$1))&gt;=1,"SIM","")</f>
        <v>#REF!</v>
      </c>
      <c r="Q363" s="5" t="e">
        <f>IF((COUNTIFS(#REF!,$C363,#REF!,Q$1))&gt;=1,"SIM","")</f>
        <v>#REF!</v>
      </c>
      <c r="R363" s="5" t="e">
        <f>IF((COUNTIFS(#REF!,$C363,#REF!,"*CARTA*"))&gt;=1,"SIM","")</f>
        <v>#REF!</v>
      </c>
      <c r="S363" s="5" t="e">
        <f>IF((COUNTIFS(#REF!,$C363,#REF!,"*CARTA NOTIFICAÇÃO/DEVOL*"))&gt;=1,"SIM","")</f>
        <v>#REF!</v>
      </c>
      <c r="T363" s="5" t="e">
        <f>IF((COUNTIFS(#REF!,$C363,#REF!,"*LIGAÇÃO ATIVA DEV PRIN/LOC*"))&gt;=1,"SIM","")</f>
        <v>#REF!</v>
      </c>
    </row>
    <row r="364" spans="1:20">
      <c r="A364" s="24" t="s">
        <v>2159</v>
      </c>
      <c r="B364" s="24" t="s">
        <v>1016</v>
      </c>
      <c r="C364" s="24" t="s">
        <v>1017</v>
      </c>
      <c r="D364" s="5" t="e">
        <f>IF((COUNTIFS(#REF!,$C364,#REF!,"*163*"))&gt;=1,"SIM","")</f>
        <v>#REF!</v>
      </c>
      <c r="E364" s="5" t="e">
        <f>IF((COUNTIFS(#REF!,$C364,#REF!,E$1))&gt;=1,"SIM","")</f>
        <v>#REF!</v>
      </c>
      <c r="F364" s="5" t="e">
        <f>IF((COUNTIFS(#REF!,$C364,#REF!,F$1))&gt;=1,"SIM","")</f>
        <v>#REF!</v>
      </c>
      <c r="G364" s="5" t="e">
        <f>IF((COUNTIFS(#REF!,$C364,#REF!,"*606*"))&gt;=1,"SIM","")</f>
        <v>#REF!</v>
      </c>
      <c r="H364" s="5" t="e">
        <f>IF((COUNTIFS(#REF!,$C364,#REF!,"*605*"))&gt;=1,"SIM","")</f>
        <v>#REF!</v>
      </c>
      <c r="I364" s="5" t="e">
        <f>IF((COUNTIFS(#REF!,$C364,#REF!,I$1))&gt;=1,"SIM","")</f>
        <v>#REF!</v>
      </c>
      <c r="J364" s="5" t="e">
        <f>IF((COUNTIFS(#REF!,$C364,#REF!,J$1))&gt;=1,"SIM","")</f>
        <v>#REF!</v>
      </c>
      <c r="K364" s="5" t="e">
        <f>IF((COUNTIFS(#REF!,$C364,#REF!,K$1))&gt;=1,"SIM","")</f>
        <v>#REF!</v>
      </c>
      <c r="L364" s="5" t="e">
        <f>IF((COUNTIFS(#REF!,$C364,#REF!,L$1))&gt;=1,"SIM","")</f>
        <v>#REF!</v>
      </c>
      <c r="M364" s="5" t="e">
        <f>IF((COUNTIFS(#REF!,$C364,#REF!,M$1))&gt;=1,"SIM","")</f>
        <v>#REF!</v>
      </c>
      <c r="N364" s="5" t="e">
        <f>IF((COUNTIFS(#REF!,$C364,#REF!,N$1))&gt;=1,"SIM","")</f>
        <v>#REF!</v>
      </c>
      <c r="O364" s="5"/>
      <c r="P364" s="5" t="e">
        <f>IF((COUNTIFS(#REF!,$C364,#REF!,P$1))&gt;=1,"SIM","")</f>
        <v>#REF!</v>
      </c>
      <c r="Q364" s="5" t="e">
        <f>IF((COUNTIFS(#REF!,$C364,#REF!,Q$1))&gt;=1,"SIM","")</f>
        <v>#REF!</v>
      </c>
      <c r="R364" s="5" t="e">
        <f>IF((COUNTIFS(#REF!,$C364,#REF!,"*CARTA*"))&gt;=1,"SIM","")</f>
        <v>#REF!</v>
      </c>
      <c r="S364" s="5" t="e">
        <f>IF((COUNTIFS(#REF!,$C364,#REF!,"*CARTA NOTIFICAÇÃO/DEVOL*"))&gt;=1,"SIM","")</f>
        <v>#REF!</v>
      </c>
      <c r="T364" s="5" t="e">
        <f>IF((COUNTIFS(#REF!,$C364,#REF!,"*LIGAÇÃO ATIVA DEV PRIN/LOC*"))&gt;=1,"SIM","")</f>
        <v>#REF!</v>
      </c>
    </row>
    <row r="365" spans="1:20">
      <c r="A365" s="24" t="s">
        <v>2159</v>
      </c>
      <c r="B365" s="24" t="s">
        <v>892</v>
      </c>
      <c r="C365" s="24" t="s">
        <v>893</v>
      </c>
      <c r="D365" s="5" t="e">
        <f>IF((COUNTIFS(#REF!,$C365,#REF!,"*163*"))&gt;=1,"SIM","")</f>
        <v>#REF!</v>
      </c>
      <c r="E365" s="5" t="e">
        <f>IF((COUNTIFS(#REF!,$C365,#REF!,E$1))&gt;=1,"SIM","")</f>
        <v>#REF!</v>
      </c>
      <c r="F365" s="5" t="e">
        <f>IF((COUNTIFS(#REF!,$C365,#REF!,F$1))&gt;=1,"SIM","")</f>
        <v>#REF!</v>
      </c>
      <c r="G365" s="5" t="e">
        <f>IF((COUNTIFS(#REF!,$C365,#REF!,"*606*"))&gt;=1,"SIM","")</f>
        <v>#REF!</v>
      </c>
      <c r="H365" s="5" t="e">
        <f>IF((COUNTIFS(#REF!,$C365,#REF!,"*605*"))&gt;=1,"SIM","")</f>
        <v>#REF!</v>
      </c>
      <c r="I365" s="5" t="e">
        <f>IF((COUNTIFS(#REF!,$C365,#REF!,I$1))&gt;=1,"SIM","")</f>
        <v>#REF!</v>
      </c>
      <c r="J365" s="5" t="e">
        <f>IF((COUNTIFS(#REF!,$C365,#REF!,J$1))&gt;=1,"SIM","")</f>
        <v>#REF!</v>
      </c>
      <c r="K365" s="5" t="e">
        <f>IF((COUNTIFS(#REF!,$C365,#REF!,K$1))&gt;=1,"SIM","")</f>
        <v>#REF!</v>
      </c>
      <c r="L365" s="5" t="e">
        <f>IF((COUNTIFS(#REF!,$C365,#REF!,L$1))&gt;=1,"SIM","")</f>
        <v>#REF!</v>
      </c>
      <c r="M365" s="5" t="e">
        <f>IF((COUNTIFS(#REF!,$C365,#REF!,M$1))&gt;=1,"SIM","")</f>
        <v>#REF!</v>
      </c>
      <c r="N365" s="5" t="e">
        <f>IF((COUNTIFS(#REF!,$C365,#REF!,N$1))&gt;=1,"SIM","")</f>
        <v>#REF!</v>
      </c>
      <c r="O365" s="5"/>
      <c r="P365" s="5" t="e">
        <f>IF((COUNTIFS(#REF!,$C365,#REF!,P$1))&gt;=1,"SIM","")</f>
        <v>#REF!</v>
      </c>
      <c r="Q365" s="5" t="e">
        <f>IF((COUNTIFS(#REF!,$C365,#REF!,Q$1))&gt;=1,"SIM","")</f>
        <v>#REF!</v>
      </c>
      <c r="R365" s="5" t="e">
        <f>IF((COUNTIFS(#REF!,$C365,#REF!,"*CARTA*"))&gt;=1,"SIM","")</f>
        <v>#REF!</v>
      </c>
      <c r="S365" s="5" t="e">
        <f>IF((COUNTIFS(#REF!,$C365,#REF!,"*CARTA NOTIFICAÇÃO/DEVOL*"))&gt;=1,"SIM","")</f>
        <v>#REF!</v>
      </c>
      <c r="T365" s="5" t="e">
        <f>IF((COUNTIFS(#REF!,$C365,#REF!,"*LIGAÇÃO ATIVA DEV PRIN/LOC*"))&gt;=1,"SIM","")</f>
        <v>#REF!</v>
      </c>
    </row>
    <row r="366" spans="1:20">
      <c r="A366" s="24" t="s">
        <v>2159</v>
      </c>
      <c r="B366" s="24" t="s">
        <v>1862</v>
      </c>
      <c r="C366" s="24" t="s">
        <v>1863</v>
      </c>
      <c r="D366" s="5" t="e">
        <f>IF((COUNTIFS(#REF!,$C366,#REF!,"*163*"))&gt;=1,"SIM","")</f>
        <v>#REF!</v>
      </c>
      <c r="E366" s="5" t="e">
        <f>IF((COUNTIFS(#REF!,$C366,#REF!,E$1))&gt;=1,"SIM","")</f>
        <v>#REF!</v>
      </c>
      <c r="F366" s="5" t="e">
        <f>IF((COUNTIFS(#REF!,$C366,#REF!,F$1))&gt;=1,"SIM","")</f>
        <v>#REF!</v>
      </c>
      <c r="G366" s="5" t="e">
        <f>IF((COUNTIFS(#REF!,$C366,#REF!,"*606*"))&gt;=1,"SIM","")</f>
        <v>#REF!</v>
      </c>
      <c r="H366" s="5" t="e">
        <f>IF((COUNTIFS(#REF!,$C366,#REF!,"*605*"))&gt;=1,"SIM","")</f>
        <v>#REF!</v>
      </c>
      <c r="I366" s="5" t="e">
        <f>IF((COUNTIFS(#REF!,$C366,#REF!,I$1))&gt;=1,"SIM","")</f>
        <v>#REF!</v>
      </c>
      <c r="J366" s="5" t="e">
        <f>IF((COUNTIFS(#REF!,$C366,#REF!,J$1))&gt;=1,"SIM","")</f>
        <v>#REF!</v>
      </c>
      <c r="K366" s="5" t="e">
        <f>IF((COUNTIFS(#REF!,$C366,#REF!,K$1))&gt;=1,"SIM","")</f>
        <v>#REF!</v>
      </c>
      <c r="L366" s="5" t="e">
        <f>IF((COUNTIFS(#REF!,$C366,#REF!,L$1))&gt;=1,"SIM","")</f>
        <v>#REF!</v>
      </c>
      <c r="M366" s="5" t="e">
        <f>IF((COUNTIFS(#REF!,$C366,#REF!,M$1))&gt;=1,"SIM","")</f>
        <v>#REF!</v>
      </c>
      <c r="N366" s="5" t="e">
        <f>IF((COUNTIFS(#REF!,$C366,#REF!,N$1))&gt;=1,"SIM","")</f>
        <v>#REF!</v>
      </c>
      <c r="O366" s="5"/>
      <c r="P366" s="5" t="e">
        <f>IF((COUNTIFS(#REF!,$C366,#REF!,P$1))&gt;=1,"SIM","")</f>
        <v>#REF!</v>
      </c>
      <c r="Q366" s="5" t="e">
        <f>IF((COUNTIFS(#REF!,$C366,#REF!,Q$1))&gt;=1,"SIM","")</f>
        <v>#REF!</v>
      </c>
      <c r="R366" s="5" t="e">
        <f>IF((COUNTIFS(#REF!,$C366,#REF!,"*CARTA*"))&gt;=1,"SIM","")</f>
        <v>#REF!</v>
      </c>
      <c r="S366" s="5" t="e">
        <f>IF((COUNTIFS(#REF!,$C366,#REF!,"*CARTA NOTIFICAÇÃO/DEVOL*"))&gt;=1,"SIM","")</f>
        <v>#REF!</v>
      </c>
      <c r="T366" s="5" t="e">
        <f>IF((COUNTIFS(#REF!,$C366,#REF!,"*LIGAÇÃO ATIVA DEV PRIN/LOC*"))&gt;=1,"SIM","")</f>
        <v>#REF!</v>
      </c>
    </row>
    <row r="367" spans="1:20">
      <c r="A367" s="24" t="s">
        <v>2159</v>
      </c>
      <c r="B367" s="24" t="s">
        <v>1651</v>
      </c>
      <c r="C367" s="24" t="s">
        <v>1652</v>
      </c>
      <c r="D367" s="5" t="e">
        <f>IF((COUNTIFS(#REF!,$C367,#REF!,"*163*"))&gt;=1,"SIM","")</f>
        <v>#REF!</v>
      </c>
      <c r="E367" s="5" t="e">
        <f>IF((COUNTIFS(#REF!,$C367,#REF!,E$1))&gt;=1,"SIM","")</f>
        <v>#REF!</v>
      </c>
      <c r="F367" s="5" t="e">
        <f>IF((COUNTIFS(#REF!,$C367,#REF!,F$1))&gt;=1,"SIM","")</f>
        <v>#REF!</v>
      </c>
      <c r="G367" s="5" t="e">
        <f>IF((COUNTIFS(#REF!,$C367,#REF!,"*606*"))&gt;=1,"SIM","")</f>
        <v>#REF!</v>
      </c>
      <c r="H367" s="5" t="e">
        <f>IF((COUNTIFS(#REF!,$C367,#REF!,"*605*"))&gt;=1,"SIM","")</f>
        <v>#REF!</v>
      </c>
      <c r="I367" s="5" t="e">
        <f>IF((COUNTIFS(#REF!,$C367,#REF!,I$1))&gt;=1,"SIM","")</f>
        <v>#REF!</v>
      </c>
      <c r="J367" s="5" t="e">
        <f>IF((COUNTIFS(#REF!,$C367,#REF!,J$1))&gt;=1,"SIM","")</f>
        <v>#REF!</v>
      </c>
      <c r="K367" s="5" t="e">
        <f>IF((COUNTIFS(#REF!,$C367,#REF!,K$1))&gt;=1,"SIM","")</f>
        <v>#REF!</v>
      </c>
      <c r="L367" s="5" t="e">
        <f>IF((COUNTIFS(#REF!,$C367,#REF!,L$1))&gt;=1,"SIM","")</f>
        <v>#REF!</v>
      </c>
      <c r="M367" s="5" t="e">
        <f>IF((COUNTIFS(#REF!,$C367,#REF!,M$1))&gt;=1,"SIM","")</f>
        <v>#REF!</v>
      </c>
      <c r="N367" s="5" t="e">
        <f>IF((COUNTIFS(#REF!,$C367,#REF!,N$1))&gt;=1,"SIM","")</f>
        <v>#REF!</v>
      </c>
      <c r="O367" s="5"/>
      <c r="P367" s="5" t="e">
        <f>IF((COUNTIFS(#REF!,$C367,#REF!,P$1))&gt;=1,"SIM","")</f>
        <v>#REF!</v>
      </c>
      <c r="Q367" s="5" t="e">
        <f>IF((COUNTIFS(#REF!,$C367,#REF!,Q$1))&gt;=1,"SIM","")</f>
        <v>#REF!</v>
      </c>
      <c r="R367" s="5" t="e">
        <f>IF((COUNTIFS(#REF!,$C367,#REF!,"*CARTA*"))&gt;=1,"SIM","")</f>
        <v>#REF!</v>
      </c>
      <c r="S367" s="5" t="e">
        <f>IF((COUNTIFS(#REF!,$C367,#REF!,"*CARTA NOTIFICAÇÃO/DEVOL*"))&gt;=1,"SIM","")</f>
        <v>#REF!</v>
      </c>
      <c r="T367" s="5" t="e">
        <f>IF((COUNTIFS(#REF!,$C367,#REF!,"*LIGAÇÃO ATIVA DEV PRIN/LOC*"))&gt;=1,"SIM","")</f>
        <v>#REF!</v>
      </c>
    </row>
    <row r="368" spans="1:20">
      <c r="A368" s="24" t="s">
        <v>2153</v>
      </c>
      <c r="B368" s="24" t="s">
        <v>904</v>
      </c>
      <c r="C368" s="24" t="s">
        <v>905</v>
      </c>
      <c r="D368" s="5" t="e">
        <f>IF((COUNTIFS(#REF!,$C368,#REF!,"*163*"))&gt;=1,"SIM","")</f>
        <v>#REF!</v>
      </c>
      <c r="E368" s="5" t="e">
        <f>IF((COUNTIFS(#REF!,$C368,#REF!,E$1))&gt;=1,"SIM","")</f>
        <v>#REF!</v>
      </c>
      <c r="F368" s="5" t="e">
        <f>IF((COUNTIFS(#REF!,$C368,#REF!,F$1))&gt;=1,"SIM","")</f>
        <v>#REF!</v>
      </c>
      <c r="G368" s="5" t="e">
        <f>IF((COUNTIFS(#REF!,$C368,#REF!,"*606*"))&gt;=1,"SIM","")</f>
        <v>#REF!</v>
      </c>
      <c r="H368" s="5" t="e">
        <f>IF((COUNTIFS(#REF!,$C368,#REF!,"*605*"))&gt;=1,"SIM","")</f>
        <v>#REF!</v>
      </c>
      <c r="I368" s="5" t="e">
        <f>IF((COUNTIFS(#REF!,$C368,#REF!,I$1))&gt;=1,"SIM","")</f>
        <v>#REF!</v>
      </c>
      <c r="J368" s="5" t="e">
        <f>IF((COUNTIFS(#REF!,$C368,#REF!,J$1))&gt;=1,"SIM","")</f>
        <v>#REF!</v>
      </c>
      <c r="K368" s="5" t="e">
        <f>IF((COUNTIFS(#REF!,$C368,#REF!,K$1))&gt;=1,"SIM","")</f>
        <v>#REF!</v>
      </c>
      <c r="L368" s="5" t="e">
        <f>IF((COUNTIFS(#REF!,$C368,#REF!,L$1))&gt;=1,"SIM","")</f>
        <v>#REF!</v>
      </c>
      <c r="M368" s="5" t="e">
        <f>IF((COUNTIFS(#REF!,$C368,#REF!,M$1))&gt;=1,"SIM","")</f>
        <v>#REF!</v>
      </c>
      <c r="N368" s="5" t="e">
        <f>IF((COUNTIFS(#REF!,$C368,#REF!,N$1))&gt;=1,"SIM","")</f>
        <v>#REF!</v>
      </c>
      <c r="O368" s="5"/>
      <c r="P368" s="5" t="e">
        <f>IF((COUNTIFS(#REF!,$C368,#REF!,P$1))&gt;=1,"SIM","")</f>
        <v>#REF!</v>
      </c>
      <c r="Q368" s="5" t="e">
        <f>IF((COUNTIFS(#REF!,$C368,#REF!,Q$1))&gt;=1,"SIM","")</f>
        <v>#REF!</v>
      </c>
      <c r="R368" s="5" t="e">
        <f>IF((COUNTIFS(#REF!,$C368,#REF!,"*CARTA*"))&gt;=1,"SIM","")</f>
        <v>#REF!</v>
      </c>
      <c r="S368" s="5" t="e">
        <f>IF((COUNTIFS(#REF!,$C368,#REF!,"*CARTA NOTIFICAÇÃO/DEVOL*"))&gt;=1,"SIM","")</f>
        <v>#REF!</v>
      </c>
      <c r="T368" s="5" t="e">
        <f>IF((COUNTIFS(#REF!,$C368,#REF!,"*LIGAÇÃO ATIVA DEV PRIN/LOC*"))&gt;=1,"SIM","")</f>
        <v>#REF!</v>
      </c>
    </row>
    <row r="369" spans="1:20">
      <c r="A369" s="24" t="s">
        <v>2159</v>
      </c>
      <c r="B369" s="24" t="s">
        <v>830</v>
      </c>
      <c r="C369" s="24" t="s">
        <v>831</v>
      </c>
      <c r="D369" s="5" t="e">
        <f>IF((COUNTIFS(#REF!,$C369,#REF!,"*163*"))&gt;=1,"SIM","")</f>
        <v>#REF!</v>
      </c>
      <c r="E369" s="5" t="e">
        <f>IF((COUNTIFS(#REF!,$C369,#REF!,E$1))&gt;=1,"SIM","")</f>
        <v>#REF!</v>
      </c>
      <c r="F369" s="5" t="e">
        <f>IF((COUNTIFS(#REF!,$C369,#REF!,F$1))&gt;=1,"SIM","")</f>
        <v>#REF!</v>
      </c>
      <c r="G369" s="5" t="e">
        <f>IF((COUNTIFS(#REF!,$C369,#REF!,"*606*"))&gt;=1,"SIM","")</f>
        <v>#REF!</v>
      </c>
      <c r="H369" s="5" t="e">
        <f>IF((COUNTIFS(#REF!,$C369,#REF!,"*605*"))&gt;=1,"SIM","")</f>
        <v>#REF!</v>
      </c>
      <c r="I369" s="5" t="e">
        <f>IF((COUNTIFS(#REF!,$C369,#REF!,I$1))&gt;=1,"SIM","")</f>
        <v>#REF!</v>
      </c>
      <c r="J369" s="5" t="e">
        <f>IF((COUNTIFS(#REF!,$C369,#REF!,J$1))&gt;=1,"SIM","")</f>
        <v>#REF!</v>
      </c>
      <c r="K369" s="5" t="e">
        <f>IF((COUNTIFS(#REF!,$C369,#REF!,K$1))&gt;=1,"SIM","")</f>
        <v>#REF!</v>
      </c>
      <c r="L369" s="5" t="e">
        <f>IF((COUNTIFS(#REF!,$C369,#REF!,L$1))&gt;=1,"SIM","")</f>
        <v>#REF!</v>
      </c>
      <c r="M369" s="5" t="e">
        <f>IF((COUNTIFS(#REF!,$C369,#REF!,M$1))&gt;=1,"SIM","")</f>
        <v>#REF!</v>
      </c>
      <c r="N369" s="5" t="e">
        <f>IF((COUNTIFS(#REF!,$C369,#REF!,N$1))&gt;=1,"SIM","")</f>
        <v>#REF!</v>
      </c>
      <c r="O369" s="5"/>
      <c r="P369" s="5" t="e">
        <f>IF((COUNTIFS(#REF!,$C369,#REF!,P$1))&gt;=1,"SIM","")</f>
        <v>#REF!</v>
      </c>
      <c r="Q369" s="5" t="e">
        <f>IF((COUNTIFS(#REF!,$C369,#REF!,Q$1))&gt;=1,"SIM","")</f>
        <v>#REF!</v>
      </c>
      <c r="R369" s="5" t="e">
        <f>IF((COUNTIFS(#REF!,$C369,#REF!,"*CARTA*"))&gt;=1,"SIM","")</f>
        <v>#REF!</v>
      </c>
      <c r="S369" s="5" t="e">
        <f>IF((COUNTIFS(#REF!,$C369,#REF!,"*CARTA NOTIFICAÇÃO/DEVOL*"))&gt;=1,"SIM","")</f>
        <v>#REF!</v>
      </c>
      <c r="T369" s="5" t="e">
        <f>IF((COUNTIFS(#REF!,$C369,#REF!,"*LIGAÇÃO ATIVA DEV PRIN/LOC*"))&gt;=1,"SIM","")</f>
        <v>#REF!</v>
      </c>
    </row>
    <row r="370" spans="1:20">
      <c r="A370" s="24" t="s">
        <v>2158</v>
      </c>
      <c r="B370" s="24" t="s">
        <v>1514</v>
      </c>
      <c r="C370" s="24" t="s">
        <v>1515</v>
      </c>
      <c r="D370" s="5" t="e">
        <f>IF((COUNTIFS(#REF!,$C370,#REF!,"*163*"))&gt;=1,"SIM","")</f>
        <v>#REF!</v>
      </c>
      <c r="E370" s="5" t="e">
        <f>IF((COUNTIFS(#REF!,$C370,#REF!,E$1))&gt;=1,"SIM","")</f>
        <v>#REF!</v>
      </c>
      <c r="F370" s="5" t="e">
        <f>IF((COUNTIFS(#REF!,$C370,#REF!,F$1))&gt;=1,"SIM","")</f>
        <v>#REF!</v>
      </c>
      <c r="G370" s="5" t="e">
        <f>IF((COUNTIFS(#REF!,$C370,#REF!,"*606*"))&gt;=1,"SIM","")</f>
        <v>#REF!</v>
      </c>
      <c r="H370" s="5" t="e">
        <f>IF((COUNTIFS(#REF!,$C370,#REF!,"*605*"))&gt;=1,"SIM","")</f>
        <v>#REF!</v>
      </c>
      <c r="I370" s="5" t="e">
        <f>IF((COUNTIFS(#REF!,$C370,#REF!,I$1))&gt;=1,"SIM","")</f>
        <v>#REF!</v>
      </c>
      <c r="J370" s="5" t="e">
        <f>IF((COUNTIFS(#REF!,$C370,#REF!,J$1))&gt;=1,"SIM","")</f>
        <v>#REF!</v>
      </c>
      <c r="K370" s="5" t="e">
        <f>IF((COUNTIFS(#REF!,$C370,#REF!,K$1))&gt;=1,"SIM","")</f>
        <v>#REF!</v>
      </c>
      <c r="L370" s="5" t="e">
        <f>IF((COUNTIFS(#REF!,$C370,#REF!,L$1))&gt;=1,"SIM","")</f>
        <v>#REF!</v>
      </c>
      <c r="M370" s="5" t="e">
        <f>IF((COUNTIFS(#REF!,$C370,#REF!,M$1))&gt;=1,"SIM","")</f>
        <v>#REF!</v>
      </c>
      <c r="N370" s="5" t="e">
        <f>IF((COUNTIFS(#REF!,$C370,#REF!,N$1))&gt;=1,"SIM","")</f>
        <v>#REF!</v>
      </c>
      <c r="O370" s="5"/>
      <c r="P370" s="5" t="e">
        <f>IF((COUNTIFS(#REF!,$C370,#REF!,P$1))&gt;=1,"SIM","")</f>
        <v>#REF!</v>
      </c>
      <c r="Q370" s="5" t="e">
        <f>IF((COUNTIFS(#REF!,$C370,#REF!,Q$1))&gt;=1,"SIM","")</f>
        <v>#REF!</v>
      </c>
      <c r="R370" s="5" t="e">
        <f>IF((COUNTIFS(#REF!,$C370,#REF!,"*CARTA*"))&gt;=1,"SIM","")</f>
        <v>#REF!</v>
      </c>
      <c r="S370" s="5" t="e">
        <f>IF((COUNTIFS(#REF!,$C370,#REF!,"*CARTA NOTIFICAÇÃO/DEVOL*"))&gt;=1,"SIM","")</f>
        <v>#REF!</v>
      </c>
      <c r="T370" s="5" t="e">
        <f>IF((COUNTIFS(#REF!,$C370,#REF!,"*LIGAÇÃO ATIVA DEV PRIN/LOC*"))&gt;=1,"SIM","")</f>
        <v>#REF!</v>
      </c>
    </row>
    <row r="371" spans="1:20">
      <c r="A371" s="24" t="s">
        <v>2158</v>
      </c>
      <c r="B371" s="24" t="s">
        <v>1292</v>
      </c>
      <c r="C371" s="24" t="s">
        <v>1293</v>
      </c>
      <c r="D371" s="5" t="e">
        <f>IF((COUNTIFS(#REF!,$C371,#REF!,"*163*"))&gt;=1,"SIM","")</f>
        <v>#REF!</v>
      </c>
      <c r="E371" s="5" t="e">
        <f>IF((COUNTIFS(#REF!,$C371,#REF!,E$1))&gt;=1,"SIM","")</f>
        <v>#REF!</v>
      </c>
      <c r="F371" s="5" t="e">
        <f>IF((COUNTIFS(#REF!,$C371,#REF!,F$1))&gt;=1,"SIM","")</f>
        <v>#REF!</v>
      </c>
      <c r="G371" s="5" t="e">
        <f>IF((COUNTIFS(#REF!,$C371,#REF!,"*606*"))&gt;=1,"SIM","")</f>
        <v>#REF!</v>
      </c>
      <c r="H371" s="5" t="e">
        <f>IF((COUNTIFS(#REF!,$C371,#REF!,"*605*"))&gt;=1,"SIM","")</f>
        <v>#REF!</v>
      </c>
      <c r="I371" s="5" t="e">
        <f>IF((COUNTIFS(#REF!,$C371,#REF!,I$1))&gt;=1,"SIM","")</f>
        <v>#REF!</v>
      </c>
      <c r="J371" s="5" t="e">
        <f>IF((COUNTIFS(#REF!,$C371,#REF!,J$1))&gt;=1,"SIM","")</f>
        <v>#REF!</v>
      </c>
      <c r="K371" s="5" t="e">
        <f>IF((COUNTIFS(#REF!,$C371,#REF!,K$1))&gt;=1,"SIM","")</f>
        <v>#REF!</v>
      </c>
      <c r="L371" s="5" t="e">
        <f>IF((COUNTIFS(#REF!,$C371,#REF!,L$1))&gt;=1,"SIM","")</f>
        <v>#REF!</v>
      </c>
      <c r="M371" s="5" t="e">
        <f>IF((COUNTIFS(#REF!,$C371,#REF!,M$1))&gt;=1,"SIM","")</f>
        <v>#REF!</v>
      </c>
      <c r="N371" s="5" t="e">
        <f>IF((COUNTIFS(#REF!,$C371,#REF!,N$1))&gt;=1,"SIM","")</f>
        <v>#REF!</v>
      </c>
      <c r="O371" s="5"/>
      <c r="P371" s="5" t="e">
        <f>IF((COUNTIFS(#REF!,$C371,#REF!,P$1))&gt;=1,"SIM","")</f>
        <v>#REF!</v>
      </c>
      <c r="Q371" s="5" t="e">
        <f>IF((COUNTIFS(#REF!,$C371,#REF!,Q$1))&gt;=1,"SIM","")</f>
        <v>#REF!</v>
      </c>
      <c r="R371" s="5" t="e">
        <f>IF((COUNTIFS(#REF!,$C371,#REF!,"*CARTA*"))&gt;=1,"SIM","")</f>
        <v>#REF!</v>
      </c>
      <c r="S371" s="5" t="e">
        <f>IF((COUNTIFS(#REF!,$C371,#REF!,"*CARTA NOTIFICAÇÃO/DEVOL*"))&gt;=1,"SIM","")</f>
        <v>#REF!</v>
      </c>
      <c r="T371" s="5" t="e">
        <f>IF((COUNTIFS(#REF!,$C371,#REF!,"*LIGAÇÃO ATIVA DEV PRIN/LOC*"))&gt;=1,"SIM","")</f>
        <v>#REF!</v>
      </c>
    </row>
    <row r="372" spans="1:20">
      <c r="A372" s="24" t="s">
        <v>2154</v>
      </c>
      <c r="B372" s="24" t="s">
        <v>98</v>
      </c>
      <c r="C372" s="24" t="s">
        <v>99</v>
      </c>
      <c r="D372" s="5" t="e">
        <f>IF((COUNTIFS(#REF!,$C372,#REF!,"*163*"))&gt;=1,"SIM","")</f>
        <v>#REF!</v>
      </c>
      <c r="E372" s="5" t="e">
        <f>IF((COUNTIFS(#REF!,$C372,#REF!,E$1))&gt;=1,"SIM","")</f>
        <v>#REF!</v>
      </c>
      <c r="F372" s="5" t="e">
        <f>IF((COUNTIFS(#REF!,$C372,#REF!,F$1))&gt;=1,"SIM","")</f>
        <v>#REF!</v>
      </c>
      <c r="G372" s="5" t="e">
        <f>IF((COUNTIFS(#REF!,$C372,#REF!,"*606*"))&gt;=1,"SIM","")</f>
        <v>#REF!</v>
      </c>
      <c r="H372" s="5" t="e">
        <f>IF((COUNTIFS(#REF!,$C372,#REF!,"*605*"))&gt;=1,"SIM","")</f>
        <v>#REF!</v>
      </c>
      <c r="I372" s="5" t="e">
        <f>IF((COUNTIFS(#REF!,$C372,#REF!,I$1))&gt;=1,"SIM","")</f>
        <v>#REF!</v>
      </c>
      <c r="J372" s="5" t="e">
        <f>IF((COUNTIFS(#REF!,$C372,#REF!,J$1))&gt;=1,"SIM","")</f>
        <v>#REF!</v>
      </c>
      <c r="K372" s="5" t="e">
        <f>IF((COUNTIFS(#REF!,$C372,#REF!,K$1))&gt;=1,"SIM","")</f>
        <v>#REF!</v>
      </c>
      <c r="L372" s="5" t="e">
        <f>IF((COUNTIFS(#REF!,$C372,#REF!,L$1))&gt;=1,"SIM","")</f>
        <v>#REF!</v>
      </c>
      <c r="M372" s="5" t="e">
        <f>IF((COUNTIFS(#REF!,$C372,#REF!,M$1))&gt;=1,"SIM","")</f>
        <v>#REF!</v>
      </c>
      <c r="N372" s="5" t="e">
        <f>IF((COUNTIFS(#REF!,$C372,#REF!,N$1))&gt;=1,"SIM","")</f>
        <v>#REF!</v>
      </c>
      <c r="O372" s="5"/>
      <c r="P372" s="5" t="e">
        <f>IF((COUNTIFS(#REF!,$C372,#REF!,P$1))&gt;=1,"SIM","")</f>
        <v>#REF!</v>
      </c>
      <c r="Q372" s="5" t="e">
        <f>IF((COUNTIFS(#REF!,$C372,#REF!,Q$1))&gt;=1,"SIM","")</f>
        <v>#REF!</v>
      </c>
      <c r="R372" s="5" t="e">
        <f>IF((COUNTIFS(#REF!,$C372,#REF!,"*CARTA*"))&gt;=1,"SIM","")</f>
        <v>#REF!</v>
      </c>
      <c r="S372" s="5" t="e">
        <f>IF((COUNTIFS(#REF!,$C372,#REF!,"*CARTA NOTIFICAÇÃO/DEVOL*"))&gt;=1,"SIM","")</f>
        <v>#REF!</v>
      </c>
      <c r="T372" s="5" t="e">
        <f>IF((COUNTIFS(#REF!,$C372,#REF!,"*LIGAÇÃO ATIVA DEV PRIN/LOC*"))&gt;=1,"SIM","")</f>
        <v>#REF!</v>
      </c>
    </row>
    <row r="373" spans="1:20">
      <c r="A373" s="24" t="s">
        <v>2153</v>
      </c>
      <c r="B373" s="24" t="s">
        <v>432</v>
      </c>
      <c r="C373" s="24" t="s">
        <v>2220</v>
      </c>
      <c r="D373" s="5" t="e">
        <f>IF((COUNTIFS(#REF!,$C373,#REF!,"*163*"))&gt;=1,"SIM","")</f>
        <v>#REF!</v>
      </c>
      <c r="E373" s="5" t="e">
        <f>IF((COUNTIFS(#REF!,$C373,#REF!,E$1))&gt;=1,"SIM","")</f>
        <v>#REF!</v>
      </c>
      <c r="F373" s="5" t="e">
        <f>IF((COUNTIFS(#REF!,$C373,#REF!,F$1))&gt;=1,"SIM","")</f>
        <v>#REF!</v>
      </c>
      <c r="G373" s="5" t="e">
        <f>IF((COUNTIFS(#REF!,$C373,#REF!,"*606*"))&gt;=1,"SIM","")</f>
        <v>#REF!</v>
      </c>
      <c r="H373" s="5" t="e">
        <f>IF((COUNTIFS(#REF!,$C373,#REF!,"*605*"))&gt;=1,"SIM","")</f>
        <v>#REF!</v>
      </c>
      <c r="I373" s="5" t="e">
        <f>IF((COUNTIFS(#REF!,$C373,#REF!,I$1))&gt;=1,"SIM","")</f>
        <v>#REF!</v>
      </c>
      <c r="J373" s="5" t="e">
        <f>IF((COUNTIFS(#REF!,$C373,#REF!,J$1))&gt;=1,"SIM","")</f>
        <v>#REF!</v>
      </c>
      <c r="K373" s="5" t="e">
        <f>IF((COUNTIFS(#REF!,$C373,#REF!,K$1))&gt;=1,"SIM","")</f>
        <v>#REF!</v>
      </c>
      <c r="L373" s="5" t="e">
        <f>IF((COUNTIFS(#REF!,$C373,#REF!,L$1))&gt;=1,"SIM","")</f>
        <v>#REF!</v>
      </c>
      <c r="M373" s="5" t="e">
        <f>IF((COUNTIFS(#REF!,$C373,#REF!,M$1))&gt;=1,"SIM","")</f>
        <v>#REF!</v>
      </c>
      <c r="N373" s="5" t="e">
        <f>IF((COUNTIFS(#REF!,$C373,#REF!,N$1))&gt;=1,"SIM","")</f>
        <v>#REF!</v>
      </c>
      <c r="O373" s="5"/>
      <c r="P373" s="5" t="e">
        <f>IF((COUNTIFS(#REF!,$C373,#REF!,P$1))&gt;=1,"SIM","")</f>
        <v>#REF!</v>
      </c>
      <c r="Q373" s="5" t="e">
        <f>IF((COUNTIFS(#REF!,$C373,#REF!,Q$1))&gt;=1,"SIM","")</f>
        <v>#REF!</v>
      </c>
      <c r="R373" s="5" t="e">
        <f>IF((COUNTIFS(#REF!,$C373,#REF!,"*CARTA*"))&gt;=1,"SIM","")</f>
        <v>#REF!</v>
      </c>
      <c r="S373" s="5" t="e">
        <f>IF((COUNTIFS(#REF!,$C373,#REF!,"*CARTA NOTIFICAÇÃO/DEVOL*"))&gt;=1,"SIM","")</f>
        <v>#REF!</v>
      </c>
      <c r="T373" s="5" t="e">
        <f>IF((COUNTIFS(#REF!,$C373,#REF!,"*LIGAÇÃO ATIVA DEV PRIN/LOC*"))&gt;=1,"SIM","")</f>
        <v>#REF!</v>
      </c>
    </row>
    <row r="374" spans="1:20">
      <c r="A374" s="24" t="s">
        <v>2159</v>
      </c>
      <c r="B374" s="24" t="s">
        <v>1822</v>
      </c>
      <c r="C374" s="24" t="s">
        <v>1823</v>
      </c>
      <c r="D374" s="5" t="e">
        <f>IF((COUNTIFS(#REF!,$C374,#REF!,"*163*"))&gt;=1,"SIM","")</f>
        <v>#REF!</v>
      </c>
      <c r="E374" s="5" t="e">
        <f>IF((COUNTIFS(#REF!,$C374,#REF!,E$1))&gt;=1,"SIM","")</f>
        <v>#REF!</v>
      </c>
      <c r="F374" s="5" t="e">
        <f>IF((COUNTIFS(#REF!,$C374,#REF!,F$1))&gt;=1,"SIM","")</f>
        <v>#REF!</v>
      </c>
      <c r="G374" s="5" t="e">
        <f>IF((COUNTIFS(#REF!,$C374,#REF!,"*606*"))&gt;=1,"SIM","")</f>
        <v>#REF!</v>
      </c>
      <c r="H374" s="5" t="e">
        <f>IF((COUNTIFS(#REF!,$C374,#REF!,"*605*"))&gt;=1,"SIM","")</f>
        <v>#REF!</v>
      </c>
      <c r="I374" s="5" t="e">
        <f>IF((COUNTIFS(#REF!,$C374,#REF!,I$1))&gt;=1,"SIM","")</f>
        <v>#REF!</v>
      </c>
      <c r="J374" s="5" t="e">
        <f>IF((COUNTIFS(#REF!,$C374,#REF!,J$1))&gt;=1,"SIM","")</f>
        <v>#REF!</v>
      </c>
      <c r="K374" s="5" t="e">
        <f>IF((COUNTIFS(#REF!,$C374,#REF!,K$1))&gt;=1,"SIM","")</f>
        <v>#REF!</v>
      </c>
      <c r="L374" s="5" t="e">
        <f>IF((COUNTIFS(#REF!,$C374,#REF!,L$1))&gt;=1,"SIM","")</f>
        <v>#REF!</v>
      </c>
      <c r="M374" s="5" t="e">
        <f>IF((COUNTIFS(#REF!,$C374,#REF!,M$1))&gt;=1,"SIM","")</f>
        <v>#REF!</v>
      </c>
      <c r="N374" s="5" t="e">
        <f>IF((COUNTIFS(#REF!,$C374,#REF!,N$1))&gt;=1,"SIM","")</f>
        <v>#REF!</v>
      </c>
      <c r="O374" s="5"/>
      <c r="P374" s="5" t="e">
        <f>IF((COUNTIFS(#REF!,$C374,#REF!,P$1))&gt;=1,"SIM","")</f>
        <v>#REF!</v>
      </c>
      <c r="Q374" s="5" t="e">
        <f>IF((COUNTIFS(#REF!,$C374,#REF!,Q$1))&gt;=1,"SIM","")</f>
        <v>#REF!</v>
      </c>
      <c r="R374" s="5" t="e">
        <f>IF((COUNTIFS(#REF!,$C374,#REF!,"*CARTA*"))&gt;=1,"SIM","")</f>
        <v>#REF!</v>
      </c>
      <c r="S374" s="5" t="e">
        <f>IF((COUNTIFS(#REF!,$C374,#REF!,"*CARTA NOTIFICAÇÃO/DEVOL*"))&gt;=1,"SIM","")</f>
        <v>#REF!</v>
      </c>
      <c r="T374" s="5" t="e">
        <f>IF((COUNTIFS(#REF!,$C374,#REF!,"*LIGAÇÃO ATIVA DEV PRIN/LOC*"))&gt;=1,"SIM","")</f>
        <v>#REF!</v>
      </c>
    </row>
    <row r="375" spans="1:20">
      <c r="A375" s="24" t="s">
        <v>2159</v>
      </c>
      <c r="B375" s="24" t="s">
        <v>1532</v>
      </c>
      <c r="C375" s="24" t="s">
        <v>1533</v>
      </c>
      <c r="D375" s="5" t="e">
        <f>IF((COUNTIFS(#REF!,$C375,#REF!,"*163*"))&gt;=1,"SIM","")</f>
        <v>#REF!</v>
      </c>
      <c r="E375" s="5" t="e">
        <f>IF((COUNTIFS(#REF!,$C375,#REF!,E$1))&gt;=1,"SIM","")</f>
        <v>#REF!</v>
      </c>
      <c r="F375" s="5" t="e">
        <f>IF((COUNTIFS(#REF!,$C375,#REF!,F$1))&gt;=1,"SIM","")</f>
        <v>#REF!</v>
      </c>
      <c r="G375" s="5" t="e">
        <f>IF((COUNTIFS(#REF!,$C375,#REF!,"*606*"))&gt;=1,"SIM","")</f>
        <v>#REF!</v>
      </c>
      <c r="H375" s="5" t="e">
        <f>IF((COUNTIFS(#REF!,$C375,#REF!,"*605*"))&gt;=1,"SIM","")</f>
        <v>#REF!</v>
      </c>
      <c r="I375" s="5" t="e">
        <f>IF((COUNTIFS(#REF!,$C375,#REF!,I$1))&gt;=1,"SIM","")</f>
        <v>#REF!</v>
      </c>
      <c r="J375" s="5" t="e">
        <f>IF((COUNTIFS(#REF!,$C375,#REF!,J$1))&gt;=1,"SIM","")</f>
        <v>#REF!</v>
      </c>
      <c r="K375" s="5" t="e">
        <f>IF((COUNTIFS(#REF!,$C375,#REF!,K$1))&gt;=1,"SIM","")</f>
        <v>#REF!</v>
      </c>
      <c r="L375" s="5" t="e">
        <f>IF((COUNTIFS(#REF!,$C375,#REF!,L$1))&gt;=1,"SIM","")</f>
        <v>#REF!</v>
      </c>
      <c r="M375" s="5" t="e">
        <f>IF((COUNTIFS(#REF!,$C375,#REF!,M$1))&gt;=1,"SIM","")</f>
        <v>#REF!</v>
      </c>
      <c r="N375" s="5" t="e">
        <f>IF((COUNTIFS(#REF!,$C375,#REF!,N$1))&gt;=1,"SIM","")</f>
        <v>#REF!</v>
      </c>
      <c r="O375" s="5"/>
      <c r="P375" s="5" t="e">
        <f>IF((COUNTIFS(#REF!,$C375,#REF!,P$1))&gt;=1,"SIM","")</f>
        <v>#REF!</v>
      </c>
      <c r="Q375" s="5" t="e">
        <f>IF((COUNTIFS(#REF!,$C375,#REF!,Q$1))&gt;=1,"SIM","")</f>
        <v>#REF!</v>
      </c>
      <c r="R375" s="5" t="e">
        <f>IF((COUNTIFS(#REF!,$C375,#REF!,"*CARTA*"))&gt;=1,"SIM","")</f>
        <v>#REF!</v>
      </c>
      <c r="S375" s="5" t="e">
        <f>IF((COUNTIFS(#REF!,$C375,#REF!,"*CARTA NOTIFICAÇÃO/DEVOL*"))&gt;=1,"SIM","")</f>
        <v>#REF!</v>
      </c>
      <c r="T375" s="5" t="e">
        <f>IF((COUNTIFS(#REF!,$C375,#REF!,"*LIGAÇÃO ATIVA DEV PRIN/LOC*"))&gt;=1,"SIM","")</f>
        <v>#REF!</v>
      </c>
    </row>
    <row r="376" spans="1:20">
      <c r="A376" s="24" t="s">
        <v>2159</v>
      </c>
      <c r="B376" s="24" t="s">
        <v>1088</v>
      </c>
      <c r="C376" s="24" t="s">
        <v>1089</v>
      </c>
      <c r="D376" s="5" t="e">
        <f>IF((COUNTIFS(#REF!,$C376,#REF!,"*163*"))&gt;=1,"SIM","")</f>
        <v>#REF!</v>
      </c>
      <c r="E376" s="5" t="e">
        <f>IF((COUNTIFS(#REF!,$C376,#REF!,E$1))&gt;=1,"SIM","")</f>
        <v>#REF!</v>
      </c>
      <c r="F376" s="5" t="e">
        <f>IF((COUNTIFS(#REF!,$C376,#REF!,F$1))&gt;=1,"SIM","")</f>
        <v>#REF!</v>
      </c>
      <c r="G376" s="5" t="e">
        <f>IF((COUNTIFS(#REF!,$C376,#REF!,"*606*"))&gt;=1,"SIM","")</f>
        <v>#REF!</v>
      </c>
      <c r="H376" s="5" t="e">
        <f>IF((COUNTIFS(#REF!,$C376,#REF!,"*605*"))&gt;=1,"SIM","")</f>
        <v>#REF!</v>
      </c>
      <c r="I376" s="5" t="e">
        <f>IF((COUNTIFS(#REF!,$C376,#REF!,I$1))&gt;=1,"SIM","")</f>
        <v>#REF!</v>
      </c>
      <c r="J376" s="5" t="e">
        <f>IF((COUNTIFS(#REF!,$C376,#REF!,J$1))&gt;=1,"SIM","")</f>
        <v>#REF!</v>
      </c>
      <c r="K376" s="5" t="e">
        <f>IF((COUNTIFS(#REF!,$C376,#REF!,K$1))&gt;=1,"SIM","")</f>
        <v>#REF!</v>
      </c>
      <c r="L376" s="5" t="e">
        <f>IF((COUNTIFS(#REF!,$C376,#REF!,L$1))&gt;=1,"SIM","")</f>
        <v>#REF!</v>
      </c>
      <c r="M376" s="5" t="e">
        <f>IF((COUNTIFS(#REF!,$C376,#REF!,M$1))&gt;=1,"SIM","")</f>
        <v>#REF!</v>
      </c>
      <c r="N376" s="5" t="e">
        <f>IF((COUNTIFS(#REF!,$C376,#REF!,N$1))&gt;=1,"SIM","")</f>
        <v>#REF!</v>
      </c>
      <c r="O376" s="5"/>
      <c r="P376" s="5" t="e">
        <f>IF((COUNTIFS(#REF!,$C376,#REF!,P$1))&gt;=1,"SIM","")</f>
        <v>#REF!</v>
      </c>
      <c r="Q376" s="5" t="e">
        <f>IF((COUNTIFS(#REF!,$C376,#REF!,Q$1))&gt;=1,"SIM","")</f>
        <v>#REF!</v>
      </c>
      <c r="R376" s="5" t="e">
        <f>IF((COUNTIFS(#REF!,$C376,#REF!,"*CARTA*"))&gt;=1,"SIM","")</f>
        <v>#REF!</v>
      </c>
      <c r="S376" s="5" t="e">
        <f>IF((COUNTIFS(#REF!,$C376,#REF!,"*CARTA NOTIFICAÇÃO/DEVOL*"))&gt;=1,"SIM","")</f>
        <v>#REF!</v>
      </c>
      <c r="T376" s="5" t="e">
        <f>IF((COUNTIFS(#REF!,$C376,#REF!,"*LIGAÇÃO ATIVA DEV PRIN/LOC*"))&gt;=1,"SIM","")</f>
        <v>#REF!</v>
      </c>
    </row>
    <row r="377" spans="1:20">
      <c r="A377" s="24" t="s">
        <v>2153</v>
      </c>
      <c r="B377" s="24" t="s">
        <v>1734</v>
      </c>
      <c r="C377" s="24" t="s">
        <v>1735</v>
      </c>
      <c r="D377" s="5" t="e">
        <f>IF((COUNTIFS(#REF!,$C377,#REF!,"*163*"))&gt;=1,"SIM","")</f>
        <v>#REF!</v>
      </c>
      <c r="E377" s="5" t="e">
        <f>IF((COUNTIFS(#REF!,$C377,#REF!,E$1))&gt;=1,"SIM","")</f>
        <v>#REF!</v>
      </c>
      <c r="F377" s="5" t="e">
        <f>IF((COUNTIFS(#REF!,$C377,#REF!,F$1))&gt;=1,"SIM","")</f>
        <v>#REF!</v>
      </c>
      <c r="G377" s="5" t="e">
        <f>IF((COUNTIFS(#REF!,$C377,#REF!,"*606*"))&gt;=1,"SIM","")</f>
        <v>#REF!</v>
      </c>
      <c r="H377" s="5" t="e">
        <f>IF((COUNTIFS(#REF!,$C377,#REF!,"*605*"))&gt;=1,"SIM","")</f>
        <v>#REF!</v>
      </c>
      <c r="I377" s="5" t="e">
        <f>IF((COUNTIFS(#REF!,$C377,#REF!,I$1))&gt;=1,"SIM","")</f>
        <v>#REF!</v>
      </c>
      <c r="J377" s="5" t="e">
        <f>IF((COUNTIFS(#REF!,$C377,#REF!,J$1))&gt;=1,"SIM","")</f>
        <v>#REF!</v>
      </c>
      <c r="K377" s="5" t="e">
        <f>IF((COUNTIFS(#REF!,$C377,#REF!,K$1))&gt;=1,"SIM","")</f>
        <v>#REF!</v>
      </c>
      <c r="L377" s="5" t="e">
        <f>IF((COUNTIFS(#REF!,$C377,#REF!,L$1))&gt;=1,"SIM","")</f>
        <v>#REF!</v>
      </c>
      <c r="M377" s="5" t="e">
        <f>IF((COUNTIFS(#REF!,$C377,#REF!,M$1))&gt;=1,"SIM","")</f>
        <v>#REF!</v>
      </c>
      <c r="N377" s="5" t="e">
        <f>IF((COUNTIFS(#REF!,$C377,#REF!,N$1))&gt;=1,"SIM","")</f>
        <v>#REF!</v>
      </c>
      <c r="O377" s="5"/>
      <c r="P377" s="5" t="e">
        <f>IF((COUNTIFS(#REF!,$C377,#REF!,P$1))&gt;=1,"SIM","")</f>
        <v>#REF!</v>
      </c>
      <c r="Q377" s="5" t="e">
        <f>IF((COUNTIFS(#REF!,$C377,#REF!,Q$1))&gt;=1,"SIM","")</f>
        <v>#REF!</v>
      </c>
      <c r="R377" s="5" t="e">
        <f>IF((COUNTIFS(#REF!,$C377,#REF!,"*CARTA*"))&gt;=1,"SIM","")</f>
        <v>#REF!</v>
      </c>
      <c r="S377" s="5" t="e">
        <f>IF((COUNTIFS(#REF!,$C377,#REF!,"*CARTA NOTIFICAÇÃO/DEVOL*"))&gt;=1,"SIM","")</f>
        <v>#REF!</v>
      </c>
      <c r="T377" s="5" t="e">
        <f>IF((COUNTIFS(#REF!,$C377,#REF!,"*LIGAÇÃO ATIVA DEV PRIN/LOC*"))&gt;=1,"SIM","")</f>
        <v>#REF!</v>
      </c>
    </row>
    <row r="378" spans="1:20">
      <c r="A378" s="24" t="s">
        <v>2153</v>
      </c>
      <c r="B378" s="24" t="s">
        <v>769</v>
      </c>
      <c r="C378" s="24" t="s">
        <v>770</v>
      </c>
      <c r="D378" s="5" t="e">
        <f>IF((COUNTIFS(#REF!,$C378,#REF!,"*163*"))&gt;=1,"SIM","")</f>
        <v>#REF!</v>
      </c>
      <c r="E378" s="5" t="e">
        <f>IF((COUNTIFS(#REF!,$C378,#REF!,E$1))&gt;=1,"SIM","")</f>
        <v>#REF!</v>
      </c>
      <c r="F378" s="5" t="e">
        <f>IF((COUNTIFS(#REF!,$C378,#REF!,F$1))&gt;=1,"SIM","")</f>
        <v>#REF!</v>
      </c>
      <c r="G378" s="5" t="e">
        <f>IF((COUNTIFS(#REF!,$C378,#REF!,"*606*"))&gt;=1,"SIM","")</f>
        <v>#REF!</v>
      </c>
      <c r="H378" s="5" t="e">
        <f>IF((COUNTIFS(#REF!,$C378,#REF!,"*605*"))&gt;=1,"SIM","")</f>
        <v>#REF!</v>
      </c>
      <c r="I378" s="5" t="e">
        <f>IF((COUNTIFS(#REF!,$C378,#REF!,I$1))&gt;=1,"SIM","")</f>
        <v>#REF!</v>
      </c>
      <c r="J378" s="5" t="e">
        <f>IF((COUNTIFS(#REF!,$C378,#REF!,J$1))&gt;=1,"SIM","")</f>
        <v>#REF!</v>
      </c>
      <c r="K378" s="5" t="e">
        <f>IF((COUNTIFS(#REF!,$C378,#REF!,K$1))&gt;=1,"SIM","")</f>
        <v>#REF!</v>
      </c>
      <c r="L378" s="5" t="e">
        <f>IF((COUNTIFS(#REF!,$C378,#REF!,L$1))&gt;=1,"SIM","")</f>
        <v>#REF!</v>
      </c>
      <c r="M378" s="5" t="e">
        <f>IF((COUNTIFS(#REF!,$C378,#REF!,M$1))&gt;=1,"SIM","")</f>
        <v>#REF!</v>
      </c>
      <c r="N378" s="5" t="e">
        <f>IF((COUNTIFS(#REF!,$C378,#REF!,N$1))&gt;=1,"SIM","")</f>
        <v>#REF!</v>
      </c>
      <c r="O378" s="5"/>
      <c r="P378" s="5" t="e">
        <f>IF((COUNTIFS(#REF!,$C378,#REF!,P$1))&gt;=1,"SIM","")</f>
        <v>#REF!</v>
      </c>
      <c r="Q378" s="5" t="e">
        <f>IF((COUNTIFS(#REF!,$C378,#REF!,Q$1))&gt;=1,"SIM","")</f>
        <v>#REF!</v>
      </c>
      <c r="R378" s="5" t="e">
        <f>IF((COUNTIFS(#REF!,$C378,#REF!,"*CARTA*"))&gt;=1,"SIM","")</f>
        <v>#REF!</v>
      </c>
      <c r="S378" s="5" t="e">
        <f>IF((COUNTIFS(#REF!,$C378,#REF!,"*CARTA NOTIFICAÇÃO/DEVOL*"))&gt;=1,"SIM","")</f>
        <v>#REF!</v>
      </c>
      <c r="T378" s="5" t="e">
        <f>IF((COUNTIFS(#REF!,$C378,#REF!,"*LIGAÇÃO ATIVA DEV PRIN/LOC*"))&gt;=1,"SIM","")</f>
        <v>#REF!</v>
      </c>
    </row>
    <row r="379" spans="1:20">
      <c r="A379" s="24" t="s">
        <v>2153</v>
      </c>
      <c r="B379" s="24" t="s">
        <v>1148</v>
      </c>
      <c r="C379" s="24" t="s">
        <v>1149</v>
      </c>
      <c r="D379" s="5" t="e">
        <f>IF((COUNTIFS(#REF!,$C379,#REF!,"*163*"))&gt;=1,"SIM","")</f>
        <v>#REF!</v>
      </c>
      <c r="E379" s="5" t="e">
        <f>IF((COUNTIFS(#REF!,$C379,#REF!,E$1))&gt;=1,"SIM","")</f>
        <v>#REF!</v>
      </c>
      <c r="F379" s="5" t="e">
        <f>IF((COUNTIFS(#REF!,$C379,#REF!,F$1))&gt;=1,"SIM","")</f>
        <v>#REF!</v>
      </c>
      <c r="G379" s="5" t="e">
        <f>IF((COUNTIFS(#REF!,$C379,#REF!,"*606*"))&gt;=1,"SIM","")</f>
        <v>#REF!</v>
      </c>
      <c r="H379" s="5" t="e">
        <f>IF((COUNTIFS(#REF!,$C379,#REF!,"*605*"))&gt;=1,"SIM","")</f>
        <v>#REF!</v>
      </c>
      <c r="I379" s="5" t="e">
        <f>IF((COUNTIFS(#REF!,$C379,#REF!,I$1))&gt;=1,"SIM","")</f>
        <v>#REF!</v>
      </c>
      <c r="J379" s="5" t="e">
        <f>IF((COUNTIFS(#REF!,$C379,#REF!,J$1))&gt;=1,"SIM","")</f>
        <v>#REF!</v>
      </c>
      <c r="K379" s="5" t="e">
        <f>IF((COUNTIFS(#REF!,$C379,#REF!,K$1))&gt;=1,"SIM","")</f>
        <v>#REF!</v>
      </c>
      <c r="L379" s="5" t="e">
        <f>IF((COUNTIFS(#REF!,$C379,#REF!,L$1))&gt;=1,"SIM","")</f>
        <v>#REF!</v>
      </c>
      <c r="M379" s="5" t="e">
        <f>IF((COUNTIFS(#REF!,$C379,#REF!,M$1))&gt;=1,"SIM","")</f>
        <v>#REF!</v>
      </c>
      <c r="N379" s="5" t="e">
        <f>IF((COUNTIFS(#REF!,$C379,#REF!,N$1))&gt;=1,"SIM","")</f>
        <v>#REF!</v>
      </c>
      <c r="O379" s="5"/>
      <c r="P379" s="5" t="e">
        <f>IF((COUNTIFS(#REF!,$C379,#REF!,P$1))&gt;=1,"SIM","")</f>
        <v>#REF!</v>
      </c>
      <c r="Q379" s="5" t="e">
        <f>IF((COUNTIFS(#REF!,$C379,#REF!,Q$1))&gt;=1,"SIM","")</f>
        <v>#REF!</v>
      </c>
      <c r="R379" s="5" t="e">
        <f>IF((COUNTIFS(#REF!,$C379,#REF!,"*CARTA*"))&gt;=1,"SIM","")</f>
        <v>#REF!</v>
      </c>
      <c r="S379" s="5" t="e">
        <f>IF((COUNTIFS(#REF!,$C379,#REF!,"*CARTA NOTIFICAÇÃO/DEVOL*"))&gt;=1,"SIM","")</f>
        <v>#REF!</v>
      </c>
      <c r="T379" s="5" t="e">
        <f>IF((COUNTIFS(#REF!,$C379,#REF!,"*LIGAÇÃO ATIVA DEV PRIN/LOC*"))&gt;=1,"SIM","")</f>
        <v>#REF!</v>
      </c>
    </row>
    <row r="380" spans="1:20">
      <c r="A380" s="24" t="s">
        <v>2159</v>
      </c>
      <c r="B380" s="24" t="s">
        <v>2110</v>
      </c>
      <c r="C380" s="24" t="s">
        <v>2111</v>
      </c>
      <c r="D380" s="5" t="e">
        <f>IF((COUNTIFS(#REF!,$C380,#REF!,"*163*"))&gt;=1,"SIM","")</f>
        <v>#REF!</v>
      </c>
      <c r="E380" s="5" t="e">
        <f>IF((COUNTIFS(#REF!,$C380,#REF!,E$1))&gt;=1,"SIM","")</f>
        <v>#REF!</v>
      </c>
      <c r="F380" s="5" t="e">
        <f>IF((COUNTIFS(#REF!,$C380,#REF!,F$1))&gt;=1,"SIM","")</f>
        <v>#REF!</v>
      </c>
      <c r="G380" s="5" t="e">
        <f>IF((COUNTIFS(#REF!,$C380,#REF!,"*606*"))&gt;=1,"SIM","")</f>
        <v>#REF!</v>
      </c>
      <c r="H380" s="5" t="e">
        <f>IF((COUNTIFS(#REF!,$C380,#REF!,"*605*"))&gt;=1,"SIM","")</f>
        <v>#REF!</v>
      </c>
      <c r="I380" s="5" t="e">
        <f>IF((COUNTIFS(#REF!,$C380,#REF!,I$1))&gt;=1,"SIM","")</f>
        <v>#REF!</v>
      </c>
      <c r="J380" s="5" t="e">
        <f>IF((COUNTIFS(#REF!,$C380,#REF!,J$1))&gt;=1,"SIM","")</f>
        <v>#REF!</v>
      </c>
      <c r="K380" s="5" t="e">
        <f>IF((COUNTIFS(#REF!,$C380,#REF!,K$1))&gt;=1,"SIM","")</f>
        <v>#REF!</v>
      </c>
      <c r="L380" s="5" t="e">
        <f>IF((COUNTIFS(#REF!,$C380,#REF!,L$1))&gt;=1,"SIM","")</f>
        <v>#REF!</v>
      </c>
      <c r="M380" s="5" t="e">
        <f>IF((COUNTIFS(#REF!,$C380,#REF!,M$1))&gt;=1,"SIM","")</f>
        <v>#REF!</v>
      </c>
      <c r="N380" s="5" t="e">
        <f>IF((COUNTIFS(#REF!,$C380,#REF!,N$1))&gt;=1,"SIM","")</f>
        <v>#REF!</v>
      </c>
      <c r="O380" s="5"/>
      <c r="P380" s="5" t="e">
        <f>IF((COUNTIFS(#REF!,$C380,#REF!,P$1))&gt;=1,"SIM","")</f>
        <v>#REF!</v>
      </c>
      <c r="Q380" s="5" t="e">
        <f>IF((COUNTIFS(#REF!,$C380,#REF!,Q$1))&gt;=1,"SIM","")</f>
        <v>#REF!</v>
      </c>
      <c r="R380" s="5" t="e">
        <f>IF((COUNTIFS(#REF!,$C380,#REF!,"*CARTA*"))&gt;=1,"SIM","")</f>
        <v>#REF!</v>
      </c>
      <c r="S380" s="5" t="e">
        <f>IF((COUNTIFS(#REF!,$C380,#REF!,"*CARTA NOTIFICAÇÃO/DEVOL*"))&gt;=1,"SIM","")</f>
        <v>#REF!</v>
      </c>
      <c r="T380" s="5" t="e">
        <f>IF((COUNTIFS(#REF!,$C380,#REF!,"*LIGAÇÃO ATIVA DEV PRIN/LOC*"))&gt;=1,"SIM","")</f>
        <v>#REF!</v>
      </c>
    </row>
    <row r="381" spans="1:20">
      <c r="A381" s="24" t="s">
        <v>2154</v>
      </c>
      <c r="B381" s="24" t="s">
        <v>191</v>
      </c>
      <c r="C381" s="24" t="s">
        <v>192</v>
      </c>
      <c r="D381" s="5" t="e">
        <f>IF((COUNTIFS(#REF!,$C381,#REF!,"*163*"))&gt;=1,"SIM","")</f>
        <v>#REF!</v>
      </c>
      <c r="E381" s="5" t="e">
        <f>IF((COUNTIFS(#REF!,$C381,#REF!,E$1))&gt;=1,"SIM","")</f>
        <v>#REF!</v>
      </c>
      <c r="F381" s="5" t="e">
        <f>IF((COUNTIFS(#REF!,$C381,#REF!,F$1))&gt;=1,"SIM","")</f>
        <v>#REF!</v>
      </c>
      <c r="G381" s="5" t="e">
        <f>IF((COUNTIFS(#REF!,$C381,#REF!,"*606*"))&gt;=1,"SIM","")</f>
        <v>#REF!</v>
      </c>
      <c r="H381" s="5" t="e">
        <f>IF((COUNTIFS(#REF!,$C381,#REF!,"*605*"))&gt;=1,"SIM","")</f>
        <v>#REF!</v>
      </c>
      <c r="I381" s="5" t="e">
        <f>IF((COUNTIFS(#REF!,$C381,#REF!,I$1))&gt;=1,"SIM","")</f>
        <v>#REF!</v>
      </c>
      <c r="J381" s="5" t="e">
        <f>IF((COUNTIFS(#REF!,$C381,#REF!,J$1))&gt;=1,"SIM","")</f>
        <v>#REF!</v>
      </c>
      <c r="K381" s="5" t="e">
        <f>IF((COUNTIFS(#REF!,$C381,#REF!,K$1))&gt;=1,"SIM","")</f>
        <v>#REF!</v>
      </c>
      <c r="L381" s="5" t="e">
        <f>IF((COUNTIFS(#REF!,$C381,#REF!,L$1))&gt;=1,"SIM","")</f>
        <v>#REF!</v>
      </c>
      <c r="M381" s="5" t="e">
        <f>IF((COUNTIFS(#REF!,$C381,#REF!,M$1))&gt;=1,"SIM","")</f>
        <v>#REF!</v>
      </c>
      <c r="N381" s="5" t="e">
        <f>IF((COUNTIFS(#REF!,$C381,#REF!,N$1))&gt;=1,"SIM","")</f>
        <v>#REF!</v>
      </c>
      <c r="O381" s="5"/>
      <c r="P381" s="5" t="e">
        <f>IF((COUNTIFS(#REF!,$C381,#REF!,P$1))&gt;=1,"SIM","")</f>
        <v>#REF!</v>
      </c>
      <c r="Q381" s="5" t="e">
        <f>IF((COUNTIFS(#REF!,$C381,#REF!,Q$1))&gt;=1,"SIM","")</f>
        <v>#REF!</v>
      </c>
      <c r="R381" s="5" t="e">
        <f>IF((COUNTIFS(#REF!,$C381,#REF!,"*CARTA*"))&gt;=1,"SIM","")</f>
        <v>#REF!</v>
      </c>
      <c r="S381" s="5" t="e">
        <f>IF((COUNTIFS(#REF!,$C381,#REF!,"*CARTA NOTIFICAÇÃO/DEVOL*"))&gt;=1,"SIM","")</f>
        <v>#REF!</v>
      </c>
      <c r="T381" s="5" t="e">
        <f>IF((COUNTIFS(#REF!,$C381,#REF!,"*LIGAÇÃO ATIVA DEV PRIN/LOC*"))&gt;=1,"SIM","")</f>
        <v>#REF!</v>
      </c>
    </row>
    <row r="382" spans="1:20">
      <c r="A382" s="24" t="s">
        <v>2153</v>
      </c>
      <c r="B382" s="24" t="s">
        <v>232</v>
      </c>
      <c r="C382" s="24" t="s">
        <v>233</v>
      </c>
      <c r="D382" s="5" t="e">
        <f>IF((COUNTIFS(#REF!,$C382,#REF!,"*163*"))&gt;=1,"SIM","")</f>
        <v>#REF!</v>
      </c>
      <c r="E382" s="5" t="e">
        <f>IF((COUNTIFS(#REF!,$C382,#REF!,E$1))&gt;=1,"SIM","")</f>
        <v>#REF!</v>
      </c>
      <c r="F382" s="5" t="e">
        <f>IF((COUNTIFS(#REF!,$C382,#REF!,F$1))&gt;=1,"SIM","")</f>
        <v>#REF!</v>
      </c>
      <c r="G382" s="5" t="e">
        <f>IF((COUNTIFS(#REF!,$C382,#REF!,"*606*"))&gt;=1,"SIM","")</f>
        <v>#REF!</v>
      </c>
      <c r="H382" s="5" t="e">
        <f>IF((COUNTIFS(#REF!,$C382,#REF!,"*605*"))&gt;=1,"SIM","")</f>
        <v>#REF!</v>
      </c>
      <c r="I382" s="5" t="e">
        <f>IF((COUNTIFS(#REF!,$C382,#REF!,I$1))&gt;=1,"SIM","")</f>
        <v>#REF!</v>
      </c>
      <c r="J382" s="5" t="e">
        <f>IF((COUNTIFS(#REF!,$C382,#REF!,J$1))&gt;=1,"SIM","")</f>
        <v>#REF!</v>
      </c>
      <c r="K382" s="5" t="e">
        <f>IF((COUNTIFS(#REF!,$C382,#REF!,K$1))&gt;=1,"SIM","")</f>
        <v>#REF!</v>
      </c>
      <c r="L382" s="5" t="e">
        <f>IF((COUNTIFS(#REF!,$C382,#REF!,L$1))&gt;=1,"SIM","")</f>
        <v>#REF!</v>
      </c>
      <c r="M382" s="5" t="e">
        <f>IF((COUNTIFS(#REF!,$C382,#REF!,M$1))&gt;=1,"SIM","")</f>
        <v>#REF!</v>
      </c>
      <c r="N382" s="5" t="e">
        <f>IF((COUNTIFS(#REF!,$C382,#REF!,N$1))&gt;=1,"SIM","")</f>
        <v>#REF!</v>
      </c>
      <c r="O382" s="5"/>
      <c r="P382" s="5" t="e">
        <f>IF((COUNTIFS(#REF!,$C382,#REF!,P$1))&gt;=1,"SIM","")</f>
        <v>#REF!</v>
      </c>
      <c r="Q382" s="5" t="e">
        <f>IF((COUNTIFS(#REF!,$C382,#REF!,Q$1))&gt;=1,"SIM","")</f>
        <v>#REF!</v>
      </c>
      <c r="R382" s="5" t="e">
        <f>IF((COUNTIFS(#REF!,$C382,#REF!,"*CARTA*"))&gt;=1,"SIM","")</f>
        <v>#REF!</v>
      </c>
      <c r="S382" s="5" t="e">
        <f>IF((COUNTIFS(#REF!,$C382,#REF!,"*CARTA NOTIFICAÇÃO/DEVOL*"))&gt;=1,"SIM","")</f>
        <v>#REF!</v>
      </c>
      <c r="T382" s="5" t="e">
        <f>IF((COUNTIFS(#REF!,$C382,#REF!,"*LIGAÇÃO ATIVA DEV PRIN/LOC*"))&gt;=1,"SIM","")</f>
        <v>#REF!</v>
      </c>
    </row>
    <row r="383" spans="1:20">
      <c r="A383" s="24" t="s">
        <v>2159</v>
      </c>
      <c r="B383" s="24" t="s">
        <v>1435</v>
      </c>
      <c r="C383" s="24" t="s">
        <v>1436</v>
      </c>
      <c r="D383" s="5" t="e">
        <f>IF((COUNTIFS(#REF!,$C383,#REF!,"*163*"))&gt;=1,"SIM","")</f>
        <v>#REF!</v>
      </c>
      <c r="E383" s="5" t="e">
        <f>IF((COUNTIFS(#REF!,$C383,#REF!,E$1))&gt;=1,"SIM","")</f>
        <v>#REF!</v>
      </c>
      <c r="F383" s="5" t="e">
        <f>IF((COUNTIFS(#REF!,$C383,#REF!,F$1))&gt;=1,"SIM","")</f>
        <v>#REF!</v>
      </c>
      <c r="G383" s="5" t="e">
        <f>IF((COUNTIFS(#REF!,$C383,#REF!,"*606*"))&gt;=1,"SIM","")</f>
        <v>#REF!</v>
      </c>
      <c r="H383" s="5" t="e">
        <f>IF((COUNTIFS(#REF!,$C383,#REF!,"*605*"))&gt;=1,"SIM","")</f>
        <v>#REF!</v>
      </c>
      <c r="I383" s="5" t="e">
        <f>IF((COUNTIFS(#REF!,$C383,#REF!,I$1))&gt;=1,"SIM","")</f>
        <v>#REF!</v>
      </c>
      <c r="J383" s="5" t="e">
        <f>IF((COUNTIFS(#REF!,$C383,#REF!,J$1))&gt;=1,"SIM","")</f>
        <v>#REF!</v>
      </c>
      <c r="K383" s="5" t="e">
        <f>IF((COUNTIFS(#REF!,$C383,#REF!,K$1))&gt;=1,"SIM","")</f>
        <v>#REF!</v>
      </c>
      <c r="L383" s="5" t="e">
        <f>IF((COUNTIFS(#REF!,$C383,#REF!,L$1))&gt;=1,"SIM","")</f>
        <v>#REF!</v>
      </c>
      <c r="M383" s="5" t="e">
        <f>IF((COUNTIFS(#REF!,$C383,#REF!,M$1))&gt;=1,"SIM","")</f>
        <v>#REF!</v>
      </c>
      <c r="N383" s="5" t="e">
        <f>IF((COUNTIFS(#REF!,$C383,#REF!,N$1))&gt;=1,"SIM","")</f>
        <v>#REF!</v>
      </c>
      <c r="O383" s="5"/>
      <c r="P383" s="5" t="e">
        <f>IF((COUNTIFS(#REF!,$C383,#REF!,P$1))&gt;=1,"SIM","")</f>
        <v>#REF!</v>
      </c>
      <c r="Q383" s="5" t="e">
        <f>IF((COUNTIFS(#REF!,$C383,#REF!,Q$1))&gt;=1,"SIM","")</f>
        <v>#REF!</v>
      </c>
      <c r="R383" s="5" t="e">
        <f>IF((COUNTIFS(#REF!,$C383,#REF!,"*CARTA*"))&gt;=1,"SIM","")</f>
        <v>#REF!</v>
      </c>
      <c r="S383" s="5" t="e">
        <f>IF((COUNTIFS(#REF!,$C383,#REF!,"*CARTA NOTIFICAÇÃO/DEVOL*"))&gt;=1,"SIM","")</f>
        <v>#REF!</v>
      </c>
      <c r="T383" s="5" t="e">
        <f>IF((COUNTIFS(#REF!,$C383,#REF!,"*LIGAÇÃO ATIVA DEV PRIN/LOC*"))&gt;=1,"SIM","")</f>
        <v>#REF!</v>
      </c>
    </row>
    <row r="384" spans="1:20">
      <c r="A384" s="24" t="s">
        <v>2153</v>
      </c>
      <c r="B384" s="24" t="s">
        <v>582</v>
      </c>
      <c r="C384" s="24" t="s">
        <v>583</v>
      </c>
      <c r="D384" s="5" t="e">
        <f>IF((COUNTIFS(#REF!,$C384,#REF!,"*163*"))&gt;=1,"SIM","")</f>
        <v>#REF!</v>
      </c>
      <c r="E384" s="5" t="e">
        <f>IF((COUNTIFS(#REF!,$C384,#REF!,E$1))&gt;=1,"SIM","")</f>
        <v>#REF!</v>
      </c>
      <c r="F384" s="5" t="e">
        <f>IF((COUNTIFS(#REF!,$C384,#REF!,F$1))&gt;=1,"SIM","")</f>
        <v>#REF!</v>
      </c>
      <c r="G384" s="5" t="e">
        <f>IF((COUNTIFS(#REF!,$C384,#REF!,"*606*"))&gt;=1,"SIM","")</f>
        <v>#REF!</v>
      </c>
      <c r="H384" s="5" t="e">
        <f>IF((COUNTIFS(#REF!,$C384,#REF!,"*605*"))&gt;=1,"SIM","")</f>
        <v>#REF!</v>
      </c>
      <c r="I384" s="5" t="e">
        <f>IF((COUNTIFS(#REF!,$C384,#REF!,I$1))&gt;=1,"SIM","")</f>
        <v>#REF!</v>
      </c>
      <c r="J384" s="5" t="e">
        <f>IF((COUNTIFS(#REF!,$C384,#REF!,J$1))&gt;=1,"SIM","")</f>
        <v>#REF!</v>
      </c>
      <c r="K384" s="5" t="e">
        <f>IF((COUNTIFS(#REF!,$C384,#REF!,K$1))&gt;=1,"SIM","")</f>
        <v>#REF!</v>
      </c>
      <c r="L384" s="5" t="e">
        <f>IF((COUNTIFS(#REF!,$C384,#REF!,L$1))&gt;=1,"SIM","")</f>
        <v>#REF!</v>
      </c>
      <c r="M384" s="5" t="e">
        <f>IF((COUNTIFS(#REF!,$C384,#REF!,M$1))&gt;=1,"SIM","")</f>
        <v>#REF!</v>
      </c>
      <c r="N384" s="5" t="e">
        <f>IF((COUNTIFS(#REF!,$C384,#REF!,N$1))&gt;=1,"SIM","")</f>
        <v>#REF!</v>
      </c>
      <c r="O384" s="5"/>
      <c r="P384" s="5" t="e">
        <f>IF((COUNTIFS(#REF!,$C384,#REF!,P$1))&gt;=1,"SIM","")</f>
        <v>#REF!</v>
      </c>
      <c r="Q384" s="5" t="e">
        <f>IF((COUNTIFS(#REF!,$C384,#REF!,Q$1))&gt;=1,"SIM","")</f>
        <v>#REF!</v>
      </c>
      <c r="R384" s="5" t="e">
        <f>IF((COUNTIFS(#REF!,$C384,#REF!,"*CARTA*"))&gt;=1,"SIM","")</f>
        <v>#REF!</v>
      </c>
      <c r="S384" s="5" t="e">
        <f>IF((COUNTIFS(#REF!,$C384,#REF!,"*CARTA NOTIFICAÇÃO/DEVOL*"))&gt;=1,"SIM","")</f>
        <v>#REF!</v>
      </c>
      <c r="T384" s="5" t="e">
        <f>IF((COUNTIFS(#REF!,$C384,#REF!,"*LIGAÇÃO ATIVA DEV PRIN/LOC*"))&gt;=1,"SIM","")</f>
        <v>#REF!</v>
      </c>
    </row>
    <row r="385" spans="1:20">
      <c r="A385" s="24" t="s">
        <v>2159</v>
      </c>
      <c r="B385" s="24" t="s">
        <v>1306</v>
      </c>
      <c r="C385" s="24" t="s">
        <v>1307</v>
      </c>
      <c r="D385" s="5" t="e">
        <f>IF((COUNTIFS(#REF!,$C385,#REF!,"*163*"))&gt;=1,"SIM","")</f>
        <v>#REF!</v>
      </c>
      <c r="E385" s="5" t="e">
        <f>IF((COUNTIFS(#REF!,$C385,#REF!,E$1))&gt;=1,"SIM","")</f>
        <v>#REF!</v>
      </c>
      <c r="F385" s="5" t="e">
        <f>IF((COUNTIFS(#REF!,$C385,#REF!,F$1))&gt;=1,"SIM","")</f>
        <v>#REF!</v>
      </c>
      <c r="G385" s="5" t="e">
        <f>IF((COUNTIFS(#REF!,$C385,#REF!,"*606*"))&gt;=1,"SIM","")</f>
        <v>#REF!</v>
      </c>
      <c r="H385" s="5" t="e">
        <f>IF((COUNTIFS(#REF!,$C385,#REF!,"*605*"))&gt;=1,"SIM","")</f>
        <v>#REF!</v>
      </c>
      <c r="I385" s="5" t="e">
        <f>IF((COUNTIFS(#REF!,$C385,#REF!,I$1))&gt;=1,"SIM","")</f>
        <v>#REF!</v>
      </c>
      <c r="J385" s="5" t="e">
        <f>IF((COUNTIFS(#REF!,$C385,#REF!,J$1))&gt;=1,"SIM","")</f>
        <v>#REF!</v>
      </c>
      <c r="K385" s="5" t="e">
        <f>IF((COUNTIFS(#REF!,$C385,#REF!,K$1))&gt;=1,"SIM","")</f>
        <v>#REF!</v>
      </c>
      <c r="L385" s="5" t="e">
        <f>IF((COUNTIFS(#REF!,$C385,#REF!,L$1))&gt;=1,"SIM","")</f>
        <v>#REF!</v>
      </c>
      <c r="M385" s="5" t="e">
        <f>IF((COUNTIFS(#REF!,$C385,#REF!,M$1))&gt;=1,"SIM","")</f>
        <v>#REF!</v>
      </c>
      <c r="N385" s="5" t="e">
        <f>IF((COUNTIFS(#REF!,$C385,#REF!,N$1))&gt;=1,"SIM","")</f>
        <v>#REF!</v>
      </c>
      <c r="O385" s="5"/>
      <c r="P385" s="5" t="e">
        <f>IF((COUNTIFS(#REF!,$C385,#REF!,P$1))&gt;=1,"SIM","")</f>
        <v>#REF!</v>
      </c>
      <c r="Q385" s="5" t="e">
        <f>IF((COUNTIFS(#REF!,$C385,#REF!,Q$1))&gt;=1,"SIM","")</f>
        <v>#REF!</v>
      </c>
      <c r="R385" s="5" t="e">
        <f>IF((COUNTIFS(#REF!,$C385,#REF!,"*CARTA*"))&gt;=1,"SIM","")</f>
        <v>#REF!</v>
      </c>
      <c r="S385" s="5" t="e">
        <f>IF((COUNTIFS(#REF!,$C385,#REF!,"*CARTA NOTIFICAÇÃO/DEVOL*"))&gt;=1,"SIM","")</f>
        <v>#REF!</v>
      </c>
      <c r="T385" s="5" t="e">
        <f>IF((COUNTIFS(#REF!,$C385,#REF!,"*LIGAÇÃO ATIVA DEV PRIN/LOC*"))&gt;=1,"SIM","")</f>
        <v>#REF!</v>
      </c>
    </row>
    <row r="386" spans="1:20">
      <c r="A386" s="24" t="s">
        <v>2153</v>
      </c>
      <c r="B386" s="24" t="s">
        <v>280</v>
      </c>
      <c r="C386" s="24" t="s">
        <v>281</v>
      </c>
      <c r="D386" s="5" t="e">
        <f>IF((COUNTIFS(#REF!,$C386,#REF!,"*163*"))&gt;=1,"SIM","")</f>
        <v>#REF!</v>
      </c>
      <c r="E386" s="5" t="e">
        <f>IF((COUNTIFS(#REF!,$C386,#REF!,E$1))&gt;=1,"SIM","")</f>
        <v>#REF!</v>
      </c>
      <c r="F386" s="5" t="e">
        <f>IF((COUNTIFS(#REF!,$C386,#REF!,F$1))&gt;=1,"SIM","")</f>
        <v>#REF!</v>
      </c>
      <c r="G386" s="5" t="e">
        <f>IF((COUNTIFS(#REF!,$C386,#REF!,"*606*"))&gt;=1,"SIM","")</f>
        <v>#REF!</v>
      </c>
      <c r="H386" s="5" t="e">
        <f>IF((COUNTIFS(#REF!,$C386,#REF!,"*605*"))&gt;=1,"SIM","")</f>
        <v>#REF!</v>
      </c>
      <c r="I386" s="5" t="e">
        <f>IF((COUNTIFS(#REF!,$C386,#REF!,I$1))&gt;=1,"SIM","")</f>
        <v>#REF!</v>
      </c>
      <c r="J386" s="5" t="e">
        <f>IF((COUNTIFS(#REF!,$C386,#REF!,J$1))&gt;=1,"SIM","")</f>
        <v>#REF!</v>
      </c>
      <c r="K386" s="5" t="e">
        <f>IF((COUNTIFS(#REF!,$C386,#REF!,K$1))&gt;=1,"SIM","")</f>
        <v>#REF!</v>
      </c>
      <c r="L386" s="5" t="e">
        <f>IF((COUNTIFS(#REF!,$C386,#REF!,L$1))&gt;=1,"SIM","")</f>
        <v>#REF!</v>
      </c>
      <c r="M386" s="5" t="e">
        <f>IF((COUNTIFS(#REF!,$C386,#REF!,M$1))&gt;=1,"SIM","")</f>
        <v>#REF!</v>
      </c>
      <c r="N386" s="5" t="e">
        <f>IF((COUNTIFS(#REF!,$C386,#REF!,N$1))&gt;=1,"SIM","")</f>
        <v>#REF!</v>
      </c>
      <c r="O386" s="5"/>
      <c r="P386" s="5" t="e">
        <f>IF((COUNTIFS(#REF!,$C386,#REF!,P$1))&gt;=1,"SIM","")</f>
        <v>#REF!</v>
      </c>
      <c r="Q386" s="5" t="e">
        <f>IF((COUNTIFS(#REF!,$C386,#REF!,Q$1))&gt;=1,"SIM","")</f>
        <v>#REF!</v>
      </c>
      <c r="R386" s="5" t="e">
        <f>IF((COUNTIFS(#REF!,$C386,#REF!,"*CARTA*"))&gt;=1,"SIM","")</f>
        <v>#REF!</v>
      </c>
      <c r="S386" s="5" t="e">
        <f>IF((COUNTIFS(#REF!,$C386,#REF!,"*CARTA NOTIFICAÇÃO/DEVOL*"))&gt;=1,"SIM","")</f>
        <v>#REF!</v>
      </c>
      <c r="T386" s="5" t="e">
        <f>IF((COUNTIFS(#REF!,$C386,#REF!,"*LIGAÇÃO ATIVA DEV PRIN/LOC*"))&gt;=1,"SIM","")</f>
        <v>#REF!</v>
      </c>
    </row>
    <row r="387" spans="1:20">
      <c r="A387" s="24" t="s">
        <v>2153</v>
      </c>
      <c r="B387" s="24" t="s">
        <v>1145</v>
      </c>
      <c r="C387" s="24" t="s">
        <v>1146</v>
      </c>
      <c r="D387" s="5" t="e">
        <f>IF((COUNTIFS(#REF!,$C387,#REF!,"*163*"))&gt;=1,"SIM","")</f>
        <v>#REF!</v>
      </c>
      <c r="E387" s="5" t="e">
        <f>IF((COUNTIFS(#REF!,$C387,#REF!,E$1))&gt;=1,"SIM","")</f>
        <v>#REF!</v>
      </c>
      <c r="F387" s="5" t="e">
        <f>IF((COUNTIFS(#REF!,$C387,#REF!,F$1))&gt;=1,"SIM","")</f>
        <v>#REF!</v>
      </c>
      <c r="G387" s="5" t="e">
        <f>IF((COUNTIFS(#REF!,$C387,#REF!,"*606*"))&gt;=1,"SIM","")</f>
        <v>#REF!</v>
      </c>
      <c r="H387" s="5" t="e">
        <f>IF((COUNTIFS(#REF!,$C387,#REF!,"*605*"))&gt;=1,"SIM","")</f>
        <v>#REF!</v>
      </c>
      <c r="I387" s="5" t="e">
        <f>IF((COUNTIFS(#REF!,$C387,#REF!,I$1))&gt;=1,"SIM","")</f>
        <v>#REF!</v>
      </c>
      <c r="J387" s="5" t="e">
        <f>IF((COUNTIFS(#REF!,$C387,#REF!,J$1))&gt;=1,"SIM","")</f>
        <v>#REF!</v>
      </c>
      <c r="K387" s="5" t="e">
        <f>IF((COUNTIFS(#REF!,$C387,#REF!,K$1))&gt;=1,"SIM","")</f>
        <v>#REF!</v>
      </c>
      <c r="L387" s="5" t="e">
        <f>IF((COUNTIFS(#REF!,$C387,#REF!,L$1))&gt;=1,"SIM","")</f>
        <v>#REF!</v>
      </c>
      <c r="M387" s="5" t="e">
        <f>IF((COUNTIFS(#REF!,$C387,#REF!,M$1))&gt;=1,"SIM","")</f>
        <v>#REF!</v>
      </c>
      <c r="N387" s="5" t="e">
        <f>IF((COUNTIFS(#REF!,$C387,#REF!,N$1))&gt;=1,"SIM","")</f>
        <v>#REF!</v>
      </c>
      <c r="O387" s="5"/>
      <c r="P387" s="5" t="e">
        <f>IF((COUNTIFS(#REF!,$C387,#REF!,P$1))&gt;=1,"SIM","")</f>
        <v>#REF!</v>
      </c>
      <c r="Q387" s="5" t="e">
        <f>IF((COUNTIFS(#REF!,$C387,#REF!,Q$1))&gt;=1,"SIM","")</f>
        <v>#REF!</v>
      </c>
      <c r="R387" s="5" t="e">
        <f>IF((COUNTIFS(#REF!,$C387,#REF!,"*CARTA*"))&gt;=1,"SIM","")</f>
        <v>#REF!</v>
      </c>
      <c r="S387" s="5" t="e">
        <f>IF((COUNTIFS(#REF!,$C387,#REF!,"*CARTA NOTIFICAÇÃO/DEVOL*"))&gt;=1,"SIM","")</f>
        <v>#REF!</v>
      </c>
      <c r="T387" s="5" t="e">
        <f>IF((COUNTIFS(#REF!,$C387,#REF!,"*LIGAÇÃO ATIVA DEV PRIN/LOC*"))&gt;=1,"SIM","")</f>
        <v>#REF!</v>
      </c>
    </row>
    <row r="388" spans="1:20">
      <c r="A388" s="24" t="s">
        <v>2159</v>
      </c>
      <c r="B388" s="24" t="s">
        <v>2018</v>
      </c>
      <c r="C388" s="24" t="s">
        <v>2019</v>
      </c>
      <c r="D388" s="5" t="e">
        <f>IF((COUNTIFS(#REF!,$C388,#REF!,"*163*"))&gt;=1,"SIM","")</f>
        <v>#REF!</v>
      </c>
      <c r="E388" s="5" t="e">
        <f>IF((COUNTIFS(#REF!,$C388,#REF!,E$1))&gt;=1,"SIM","")</f>
        <v>#REF!</v>
      </c>
      <c r="F388" s="5" t="e">
        <f>IF((COUNTIFS(#REF!,$C388,#REF!,F$1))&gt;=1,"SIM","")</f>
        <v>#REF!</v>
      </c>
      <c r="G388" s="5" t="e">
        <f>IF((COUNTIFS(#REF!,$C388,#REF!,"*606*"))&gt;=1,"SIM","")</f>
        <v>#REF!</v>
      </c>
      <c r="H388" s="5" t="e">
        <f>IF((COUNTIFS(#REF!,$C388,#REF!,"*605*"))&gt;=1,"SIM","")</f>
        <v>#REF!</v>
      </c>
      <c r="I388" s="5" t="e">
        <f>IF((COUNTIFS(#REF!,$C388,#REF!,I$1))&gt;=1,"SIM","")</f>
        <v>#REF!</v>
      </c>
      <c r="J388" s="5" t="e">
        <f>IF((COUNTIFS(#REF!,$C388,#REF!,J$1))&gt;=1,"SIM","")</f>
        <v>#REF!</v>
      </c>
      <c r="K388" s="5" t="e">
        <f>IF((COUNTIFS(#REF!,$C388,#REF!,K$1))&gt;=1,"SIM","")</f>
        <v>#REF!</v>
      </c>
      <c r="L388" s="5" t="e">
        <f>IF((COUNTIFS(#REF!,$C388,#REF!,L$1))&gt;=1,"SIM","")</f>
        <v>#REF!</v>
      </c>
      <c r="M388" s="5" t="e">
        <f>IF((COUNTIFS(#REF!,$C388,#REF!,M$1))&gt;=1,"SIM","")</f>
        <v>#REF!</v>
      </c>
      <c r="N388" s="5" t="e">
        <f>IF((COUNTIFS(#REF!,$C388,#REF!,N$1))&gt;=1,"SIM","")</f>
        <v>#REF!</v>
      </c>
      <c r="O388" s="5"/>
      <c r="P388" s="5" t="e">
        <f>IF((COUNTIFS(#REF!,$C388,#REF!,P$1))&gt;=1,"SIM","")</f>
        <v>#REF!</v>
      </c>
      <c r="Q388" s="5" t="e">
        <f>IF((COUNTIFS(#REF!,$C388,#REF!,Q$1))&gt;=1,"SIM","")</f>
        <v>#REF!</v>
      </c>
      <c r="R388" s="5" t="e">
        <f>IF((COUNTIFS(#REF!,$C388,#REF!,"*CARTA*"))&gt;=1,"SIM","")</f>
        <v>#REF!</v>
      </c>
      <c r="S388" s="5" t="e">
        <f>IF((COUNTIFS(#REF!,$C388,#REF!,"*CARTA NOTIFICAÇÃO/DEVOL*"))&gt;=1,"SIM","")</f>
        <v>#REF!</v>
      </c>
      <c r="T388" s="5" t="e">
        <f>IF((COUNTIFS(#REF!,$C388,#REF!,"*LIGAÇÃO ATIVA DEV PRIN/LOC*"))&gt;=1,"SIM","")</f>
        <v>#REF!</v>
      </c>
    </row>
    <row r="389" spans="1:20">
      <c r="A389" s="24" t="s">
        <v>2159</v>
      </c>
      <c r="B389" s="24" t="s">
        <v>1228</v>
      </c>
      <c r="C389" s="24" t="s">
        <v>1229</v>
      </c>
      <c r="D389" s="5" t="e">
        <f>IF((COUNTIFS(#REF!,$C389,#REF!,"*163*"))&gt;=1,"SIM","")</f>
        <v>#REF!</v>
      </c>
      <c r="E389" s="5" t="e">
        <f>IF((COUNTIFS(#REF!,$C389,#REF!,E$1))&gt;=1,"SIM","")</f>
        <v>#REF!</v>
      </c>
      <c r="F389" s="5" t="e">
        <f>IF((COUNTIFS(#REF!,$C389,#REF!,F$1))&gt;=1,"SIM","")</f>
        <v>#REF!</v>
      </c>
      <c r="G389" s="5" t="e">
        <f>IF((COUNTIFS(#REF!,$C389,#REF!,"*606*"))&gt;=1,"SIM","")</f>
        <v>#REF!</v>
      </c>
      <c r="H389" s="5" t="e">
        <f>IF((COUNTIFS(#REF!,$C389,#REF!,"*605*"))&gt;=1,"SIM","")</f>
        <v>#REF!</v>
      </c>
      <c r="I389" s="5" t="e">
        <f>IF((COUNTIFS(#REF!,$C389,#REF!,I$1))&gt;=1,"SIM","")</f>
        <v>#REF!</v>
      </c>
      <c r="J389" s="5" t="e">
        <f>IF((COUNTIFS(#REF!,$C389,#REF!,J$1))&gt;=1,"SIM","")</f>
        <v>#REF!</v>
      </c>
      <c r="K389" s="5" t="e">
        <f>IF((COUNTIFS(#REF!,$C389,#REF!,K$1))&gt;=1,"SIM","")</f>
        <v>#REF!</v>
      </c>
      <c r="L389" s="5" t="e">
        <f>IF((COUNTIFS(#REF!,$C389,#REF!,L$1))&gt;=1,"SIM","")</f>
        <v>#REF!</v>
      </c>
      <c r="M389" s="5" t="e">
        <f>IF((COUNTIFS(#REF!,$C389,#REF!,M$1))&gt;=1,"SIM","")</f>
        <v>#REF!</v>
      </c>
      <c r="N389" s="5" t="e">
        <f>IF((COUNTIFS(#REF!,$C389,#REF!,N$1))&gt;=1,"SIM","")</f>
        <v>#REF!</v>
      </c>
      <c r="O389" s="5"/>
      <c r="P389" s="5" t="e">
        <f>IF((COUNTIFS(#REF!,$C389,#REF!,P$1))&gt;=1,"SIM","")</f>
        <v>#REF!</v>
      </c>
      <c r="Q389" s="5" t="e">
        <f>IF((COUNTIFS(#REF!,$C389,#REF!,Q$1))&gt;=1,"SIM","")</f>
        <v>#REF!</v>
      </c>
      <c r="R389" s="5" t="e">
        <f>IF((COUNTIFS(#REF!,$C389,#REF!,"*CARTA*"))&gt;=1,"SIM","")</f>
        <v>#REF!</v>
      </c>
      <c r="S389" s="5" t="e">
        <f>IF((COUNTIFS(#REF!,$C389,#REF!,"*CARTA NOTIFICAÇÃO/DEVOL*"))&gt;=1,"SIM","")</f>
        <v>#REF!</v>
      </c>
      <c r="T389" s="5" t="e">
        <f>IF((COUNTIFS(#REF!,$C389,#REF!,"*LIGAÇÃO ATIVA DEV PRIN/LOC*"))&gt;=1,"SIM","")</f>
        <v>#REF!</v>
      </c>
    </row>
    <row r="390" spans="1:20">
      <c r="A390" s="24" t="s">
        <v>2153</v>
      </c>
      <c r="B390" s="24" t="s">
        <v>688</v>
      </c>
      <c r="C390" s="24" t="s">
        <v>689</v>
      </c>
      <c r="D390" s="5" t="e">
        <f>IF((COUNTIFS(#REF!,$C390,#REF!,"*163*"))&gt;=1,"SIM","")</f>
        <v>#REF!</v>
      </c>
      <c r="E390" s="5" t="e">
        <f>IF((COUNTIFS(#REF!,$C390,#REF!,E$1))&gt;=1,"SIM","")</f>
        <v>#REF!</v>
      </c>
      <c r="F390" s="5" t="e">
        <f>IF((COUNTIFS(#REF!,$C390,#REF!,F$1))&gt;=1,"SIM","")</f>
        <v>#REF!</v>
      </c>
      <c r="G390" s="5" t="e">
        <f>IF((COUNTIFS(#REF!,$C390,#REF!,"*606*"))&gt;=1,"SIM","")</f>
        <v>#REF!</v>
      </c>
      <c r="H390" s="5" t="e">
        <f>IF((COUNTIFS(#REF!,$C390,#REF!,"*605*"))&gt;=1,"SIM","")</f>
        <v>#REF!</v>
      </c>
      <c r="I390" s="5" t="e">
        <f>IF((COUNTIFS(#REF!,$C390,#REF!,I$1))&gt;=1,"SIM","")</f>
        <v>#REF!</v>
      </c>
      <c r="J390" s="5" t="e">
        <f>IF((COUNTIFS(#REF!,$C390,#REF!,J$1))&gt;=1,"SIM","")</f>
        <v>#REF!</v>
      </c>
      <c r="K390" s="5" t="e">
        <f>IF((COUNTIFS(#REF!,$C390,#REF!,K$1))&gt;=1,"SIM","")</f>
        <v>#REF!</v>
      </c>
      <c r="L390" s="5" t="e">
        <f>IF((COUNTIFS(#REF!,$C390,#REF!,L$1))&gt;=1,"SIM","")</f>
        <v>#REF!</v>
      </c>
      <c r="M390" s="5" t="e">
        <f>IF((COUNTIFS(#REF!,$C390,#REF!,M$1))&gt;=1,"SIM","")</f>
        <v>#REF!</v>
      </c>
      <c r="N390" s="5" t="e">
        <f>IF((COUNTIFS(#REF!,$C390,#REF!,N$1))&gt;=1,"SIM","")</f>
        <v>#REF!</v>
      </c>
      <c r="O390" s="5"/>
      <c r="P390" s="5" t="e">
        <f>IF((COUNTIFS(#REF!,$C390,#REF!,P$1))&gt;=1,"SIM","")</f>
        <v>#REF!</v>
      </c>
      <c r="Q390" s="5" t="e">
        <f>IF((COUNTIFS(#REF!,$C390,#REF!,Q$1))&gt;=1,"SIM","")</f>
        <v>#REF!</v>
      </c>
      <c r="R390" s="5" t="e">
        <f>IF((COUNTIFS(#REF!,$C390,#REF!,"*CARTA*"))&gt;=1,"SIM","")</f>
        <v>#REF!</v>
      </c>
      <c r="S390" s="5" t="e">
        <f>IF((COUNTIFS(#REF!,$C390,#REF!,"*CARTA NOTIFICAÇÃO/DEVOL*"))&gt;=1,"SIM","")</f>
        <v>#REF!</v>
      </c>
      <c r="T390" s="5" t="e">
        <f>IF((COUNTIFS(#REF!,$C390,#REF!,"*LIGAÇÃO ATIVA DEV PRIN/LOC*"))&gt;=1,"SIM","")</f>
        <v>#REF!</v>
      </c>
    </row>
    <row r="391" spans="1:20">
      <c r="A391" s="24" t="s">
        <v>2155</v>
      </c>
      <c r="B391" s="24" t="s">
        <v>112</v>
      </c>
      <c r="C391" s="24" t="s">
        <v>113</v>
      </c>
      <c r="D391" s="5" t="e">
        <f>IF((COUNTIFS(#REF!,$C391,#REF!,"*163*"))&gt;=1,"SIM","")</f>
        <v>#REF!</v>
      </c>
      <c r="E391" s="5" t="e">
        <f>IF((COUNTIFS(#REF!,$C391,#REF!,E$1))&gt;=1,"SIM","")</f>
        <v>#REF!</v>
      </c>
      <c r="F391" s="5" t="e">
        <f>IF((COUNTIFS(#REF!,$C391,#REF!,F$1))&gt;=1,"SIM","")</f>
        <v>#REF!</v>
      </c>
      <c r="G391" s="5" t="e">
        <f>IF((COUNTIFS(#REF!,$C391,#REF!,"*606*"))&gt;=1,"SIM","")</f>
        <v>#REF!</v>
      </c>
      <c r="H391" s="5" t="e">
        <f>IF((COUNTIFS(#REF!,$C391,#REF!,"*605*"))&gt;=1,"SIM","")</f>
        <v>#REF!</v>
      </c>
      <c r="I391" s="5" t="e">
        <f>IF((COUNTIFS(#REF!,$C391,#REF!,I$1))&gt;=1,"SIM","")</f>
        <v>#REF!</v>
      </c>
      <c r="J391" s="5" t="e">
        <f>IF((COUNTIFS(#REF!,$C391,#REF!,J$1))&gt;=1,"SIM","")</f>
        <v>#REF!</v>
      </c>
      <c r="K391" s="5" t="e">
        <f>IF((COUNTIFS(#REF!,$C391,#REF!,K$1))&gt;=1,"SIM","")</f>
        <v>#REF!</v>
      </c>
      <c r="L391" s="5" t="e">
        <f>IF((COUNTIFS(#REF!,$C391,#REF!,L$1))&gt;=1,"SIM","")</f>
        <v>#REF!</v>
      </c>
      <c r="M391" s="5" t="e">
        <f>IF((COUNTIFS(#REF!,$C391,#REF!,M$1))&gt;=1,"SIM","")</f>
        <v>#REF!</v>
      </c>
      <c r="N391" s="5" t="e">
        <f>IF((COUNTIFS(#REF!,$C391,#REF!,N$1))&gt;=1,"SIM","")</f>
        <v>#REF!</v>
      </c>
      <c r="O391" s="5"/>
      <c r="P391" s="5" t="e">
        <f>IF((COUNTIFS(#REF!,$C391,#REF!,P$1))&gt;=1,"SIM","")</f>
        <v>#REF!</v>
      </c>
      <c r="Q391" s="5" t="e">
        <f>IF((COUNTIFS(#REF!,$C391,#REF!,Q$1))&gt;=1,"SIM","")</f>
        <v>#REF!</v>
      </c>
      <c r="R391" s="5" t="e">
        <f>IF((COUNTIFS(#REF!,$C391,#REF!,"*CARTA*"))&gt;=1,"SIM","")</f>
        <v>#REF!</v>
      </c>
      <c r="S391" s="5" t="e">
        <f>IF((COUNTIFS(#REF!,$C391,#REF!,"*CARTA NOTIFICAÇÃO/DEVOL*"))&gt;=1,"SIM","")</f>
        <v>#REF!</v>
      </c>
      <c r="T391" s="5" t="e">
        <f>IF((COUNTIFS(#REF!,$C391,#REF!,"*LIGAÇÃO ATIVA DEV PRIN/LOC*"))&gt;=1,"SIM","")</f>
        <v>#REF!</v>
      </c>
    </row>
    <row r="392" spans="1:20">
      <c r="A392" s="24" t="s">
        <v>2153</v>
      </c>
      <c r="B392" s="24" t="s">
        <v>374</v>
      </c>
      <c r="C392" s="24" t="s">
        <v>375</v>
      </c>
      <c r="D392" s="5" t="e">
        <f>IF((COUNTIFS(#REF!,$C392,#REF!,"*163*"))&gt;=1,"SIM","")</f>
        <v>#REF!</v>
      </c>
      <c r="E392" s="5" t="e">
        <f>IF((COUNTIFS(#REF!,$C392,#REF!,E$1))&gt;=1,"SIM","")</f>
        <v>#REF!</v>
      </c>
      <c r="F392" s="5" t="e">
        <f>IF((COUNTIFS(#REF!,$C392,#REF!,F$1))&gt;=1,"SIM","")</f>
        <v>#REF!</v>
      </c>
      <c r="G392" s="5" t="e">
        <f>IF((COUNTIFS(#REF!,$C392,#REF!,"*606*"))&gt;=1,"SIM","")</f>
        <v>#REF!</v>
      </c>
      <c r="H392" s="5" t="e">
        <f>IF((COUNTIFS(#REF!,$C392,#REF!,"*605*"))&gt;=1,"SIM","")</f>
        <v>#REF!</v>
      </c>
      <c r="I392" s="5" t="e">
        <f>IF((COUNTIFS(#REF!,$C392,#REF!,I$1))&gt;=1,"SIM","")</f>
        <v>#REF!</v>
      </c>
      <c r="J392" s="5" t="e">
        <f>IF((COUNTIFS(#REF!,$C392,#REF!,J$1))&gt;=1,"SIM","")</f>
        <v>#REF!</v>
      </c>
      <c r="K392" s="5" t="e">
        <f>IF((COUNTIFS(#REF!,$C392,#REF!,K$1))&gt;=1,"SIM","")</f>
        <v>#REF!</v>
      </c>
      <c r="L392" s="5" t="e">
        <f>IF((COUNTIFS(#REF!,$C392,#REF!,L$1))&gt;=1,"SIM","")</f>
        <v>#REF!</v>
      </c>
      <c r="M392" s="5" t="e">
        <f>IF((COUNTIFS(#REF!,$C392,#REF!,M$1))&gt;=1,"SIM","")</f>
        <v>#REF!</v>
      </c>
      <c r="N392" s="5" t="e">
        <f>IF((COUNTIFS(#REF!,$C392,#REF!,N$1))&gt;=1,"SIM","")</f>
        <v>#REF!</v>
      </c>
      <c r="O392" s="5"/>
      <c r="P392" s="5" t="e">
        <f>IF((COUNTIFS(#REF!,$C392,#REF!,P$1))&gt;=1,"SIM","")</f>
        <v>#REF!</v>
      </c>
      <c r="Q392" s="5" t="e">
        <f>IF((COUNTIFS(#REF!,$C392,#REF!,Q$1))&gt;=1,"SIM","")</f>
        <v>#REF!</v>
      </c>
      <c r="R392" s="5" t="e">
        <f>IF((COUNTIFS(#REF!,$C392,#REF!,"*CARTA*"))&gt;=1,"SIM","")</f>
        <v>#REF!</v>
      </c>
      <c r="S392" s="5" t="e">
        <f>IF((COUNTIFS(#REF!,$C392,#REF!,"*CARTA NOTIFICAÇÃO/DEVOL*"))&gt;=1,"SIM","")</f>
        <v>#REF!</v>
      </c>
      <c r="T392" s="5" t="e">
        <f>IF((COUNTIFS(#REF!,$C392,#REF!,"*LIGAÇÃO ATIVA DEV PRIN/LOC*"))&gt;=1,"SIM","")</f>
        <v>#REF!</v>
      </c>
    </row>
    <row r="393" spans="1:20">
      <c r="A393" s="24" t="s">
        <v>2159</v>
      </c>
      <c r="B393" s="24" t="s">
        <v>2213</v>
      </c>
      <c r="C393" s="24" t="s">
        <v>2214</v>
      </c>
      <c r="D393" s="5" t="e">
        <f>IF((COUNTIFS(#REF!,$C393,#REF!,"*163*"))&gt;=1,"SIM","")</f>
        <v>#REF!</v>
      </c>
      <c r="E393" s="5" t="e">
        <f>IF((COUNTIFS(#REF!,$C393,#REF!,E$1))&gt;=1,"SIM","")</f>
        <v>#REF!</v>
      </c>
      <c r="F393" s="5" t="e">
        <f>IF((COUNTIFS(#REF!,$C393,#REF!,F$1))&gt;=1,"SIM","")</f>
        <v>#REF!</v>
      </c>
      <c r="G393" s="5" t="e">
        <f>IF((COUNTIFS(#REF!,$C393,#REF!,"*606*"))&gt;=1,"SIM","")</f>
        <v>#REF!</v>
      </c>
      <c r="H393" s="5" t="e">
        <f>IF((COUNTIFS(#REF!,$C393,#REF!,"*605*"))&gt;=1,"SIM","")</f>
        <v>#REF!</v>
      </c>
      <c r="I393" s="5" t="e">
        <f>IF((COUNTIFS(#REF!,$C393,#REF!,I$1))&gt;=1,"SIM","")</f>
        <v>#REF!</v>
      </c>
      <c r="J393" s="5" t="e">
        <f>IF((COUNTIFS(#REF!,$C393,#REF!,J$1))&gt;=1,"SIM","")</f>
        <v>#REF!</v>
      </c>
      <c r="K393" s="5" t="e">
        <f>IF((COUNTIFS(#REF!,$C393,#REF!,K$1))&gt;=1,"SIM","")</f>
        <v>#REF!</v>
      </c>
      <c r="L393" s="5" t="e">
        <f>IF((COUNTIFS(#REF!,$C393,#REF!,L$1))&gt;=1,"SIM","")</f>
        <v>#REF!</v>
      </c>
      <c r="M393" s="5" t="e">
        <f>IF((COUNTIFS(#REF!,$C393,#REF!,M$1))&gt;=1,"SIM","")</f>
        <v>#REF!</v>
      </c>
      <c r="N393" s="5" t="e">
        <f>IF((COUNTIFS(#REF!,$C393,#REF!,N$1))&gt;=1,"SIM","")</f>
        <v>#REF!</v>
      </c>
      <c r="O393" s="5"/>
      <c r="P393" s="5" t="e">
        <f>IF((COUNTIFS(#REF!,$C393,#REF!,P$1))&gt;=1,"SIM","")</f>
        <v>#REF!</v>
      </c>
      <c r="Q393" s="5" t="e">
        <f>IF((COUNTIFS(#REF!,$C393,#REF!,Q$1))&gt;=1,"SIM","")</f>
        <v>#REF!</v>
      </c>
      <c r="R393" s="5" t="e">
        <f>IF((COUNTIFS(#REF!,$C393,#REF!,"*CARTA*"))&gt;=1,"SIM","")</f>
        <v>#REF!</v>
      </c>
      <c r="S393" s="5" t="e">
        <f>IF((COUNTIFS(#REF!,$C393,#REF!,"*CARTA NOTIFICAÇÃO/DEVOL*"))&gt;=1,"SIM","")</f>
        <v>#REF!</v>
      </c>
      <c r="T393" s="5" t="e">
        <f>IF((COUNTIFS(#REF!,$C393,#REF!,"*LIGAÇÃO ATIVA DEV PRIN/LOC*"))&gt;=1,"SIM","")</f>
        <v>#REF!</v>
      </c>
    </row>
    <row r="394" spans="1:20">
      <c r="A394" s="24" t="s">
        <v>2155</v>
      </c>
      <c r="B394" s="24" t="s">
        <v>2213</v>
      </c>
      <c r="C394" s="24" t="s">
        <v>2214</v>
      </c>
      <c r="D394" s="5" t="e">
        <f>IF((COUNTIFS(#REF!,$C394,#REF!,"*163*"))&gt;=1,"SIM","")</f>
        <v>#REF!</v>
      </c>
      <c r="E394" s="5" t="e">
        <f>IF((COUNTIFS(#REF!,$C394,#REF!,E$1))&gt;=1,"SIM","")</f>
        <v>#REF!</v>
      </c>
      <c r="F394" s="5" t="e">
        <f>IF((COUNTIFS(#REF!,$C394,#REF!,F$1))&gt;=1,"SIM","")</f>
        <v>#REF!</v>
      </c>
      <c r="G394" s="5" t="e">
        <f>IF((COUNTIFS(#REF!,$C394,#REF!,"*606*"))&gt;=1,"SIM","")</f>
        <v>#REF!</v>
      </c>
      <c r="H394" s="5" t="e">
        <f>IF((COUNTIFS(#REF!,$C394,#REF!,"*605*"))&gt;=1,"SIM","")</f>
        <v>#REF!</v>
      </c>
      <c r="I394" s="5" t="e">
        <f>IF((COUNTIFS(#REF!,$C394,#REF!,I$1))&gt;=1,"SIM","")</f>
        <v>#REF!</v>
      </c>
      <c r="J394" s="5" t="e">
        <f>IF((COUNTIFS(#REF!,$C394,#REF!,J$1))&gt;=1,"SIM","")</f>
        <v>#REF!</v>
      </c>
      <c r="K394" s="5" t="e">
        <f>IF((COUNTIFS(#REF!,$C394,#REF!,K$1))&gt;=1,"SIM","")</f>
        <v>#REF!</v>
      </c>
      <c r="L394" s="5" t="e">
        <f>IF((COUNTIFS(#REF!,$C394,#REF!,L$1))&gt;=1,"SIM","")</f>
        <v>#REF!</v>
      </c>
      <c r="M394" s="5" t="e">
        <f>IF((COUNTIFS(#REF!,$C394,#REF!,M$1))&gt;=1,"SIM","")</f>
        <v>#REF!</v>
      </c>
      <c r="N394" s="5" t="e">
        <f>IF((COUNTIFS(#REF!,$C394,#REF!,N$1))&gt;=1,"SIM","")</f>
        <v>#REF!</v>
      </c>
      <c r="O394" s="5"/>
      <c r="P394" s="5" t="e">
        <f>IF((COUNTIFS(#REF!,$C394,#REF!,P$1))&gt;=1,"SIM","")</f>
        <v>#REF!</v>
      </c>
      <c r="Q394" s="5" t="e">
        <f>IF((COUNTIFS(#REF!,$C394,#REF!,Q$1))&gt;=1,"SIM","")</f>
        <v>#REF!</v>
      </c>
      <c r="R394" s="5" t="e">
        <f>IF((COUNTIFS(#REF!,$C394,#REF!,"*CARTA*"))&gt;=1,"SIM","")</f>
        <v>#REF!</v>
      </c>
      <c r="S394" s="5" t="e">
        <f>IF((COUNTIFS(#REF!,$C394,#REF!,"*CARTA NOTIFICAÇÃO/DEVOL*"))&gt;=1,"SIM","")</f>
        <v>#REF!</v>
      </c>
      <c r="T394" s="5" t="e">
        <f>IF((COUNTIFS(#REF!,$C394,#REF!,"*LIGAÇÃO ATIVA DEV PRIN/LOC*"))&gt;=1,"SIM","")</f>
        <v>#REF!</v>
      </c>
    </row>
    <row r="395" spans="1:20">
      <c r="A395" s="24" t="s">
        <v>2159</v>
      </c>
      <c r="B395" s="24" t="s">
        <v>1506</v>
      </c>
      <c r="C395" s="24" t="s">
        <v>1507</v>
      </c>
      <c r="D395" s="5" t="e">
        <f>IF((COUNTIFS(#REF!,$C395,#REF!,"*163*"))&gt;=1,"SIM","")</f>
        <v>#REF!</v>
      </c>
      <c r="E395" s="5" t="e">
        <f>IF((COUNTIFS(#REF!,$C395,#REF!,E$1))&gt;=1,"SIM","")</f>
        <v>#REF!</v>
      </c>
      <c r="F395" s="5" t="e">
        <f>IF((COUNTIFS(#REF!,$C395,#REF!,F$1))&gt;=1,"SIM","")</f>
        <v>#REF!</v>
      </c>
      <c r="G395" s="5" t="e">
        <f>IF((COUNTIFS(#REF!,$C395,#REF!,"*606*"))&gt;=1,"SIM","")</f>
        <v>#REF!</v>
      </c>
      <c r="H395" s="5" t="e">
        <f>IF((COUNTIFS(#REF!,$C395,#REF!,"*605*"))&gt;=1,"SIM","")</f>
        <v>#REF!</v>
      </c>
      <c r="I395" s="5" t="e">
        <f>IF((COUNTIFS(#REF!,$C395,#REF!,I$1))&gt;=1,"SIM","")</f>
        <v>#REF!</v>
      </c>
      <c r="J395" s="5" t="e">
        <f>IF((COUNTIFS(#REF!,$C395,#REF!,J$1))&gt;=1,"SIM","")</f>
        <v>#REF!</v>
      </c>
      <c r="K395" s="5" t="e">
        <f>IF((COUNTIFS(#REF!,$C395,#REF!,K$1))&gt;=1,"SIM","")</f>
        <v>#REF!</v>
      </c>
      <c r="L395" s="5" t="e">
        <f>IF((COUNTIFS(#REF!,$C395,#REF!,L$1))&gt;=1,"SIM","")</f>
        <v>#REF!</v>
      </c>
      <c r="M395" s="5" t="e">
        <f>IF((COUNTIFS(#REF!,$C395,#REF!,M$1))&gt;=1,"SIM","")</f>
        <v>#REF!</v>
      </c>
      <c r="N395" s="5" t="e">
        <f>IF((COUNTIFS(#REF!,$C395,#REF!,N$1))&gt;=1,"SIM","")</f>
        <v>#REF!</v>
      </c>
      <c r="O395" s="5"/>
      <c r="P395" s="5" t="e">
        <f>IF((COUNTIFS(#REF!,$C395,#REF!,P$1))&gt;=1,"SIM","")</f>
        <v>#REF!</v>
      </c>
      <c r="Q395" s="5" t="e">
        <f>IF((COUNTIFS(#REF!,$C395,#REF!,Q$1))&gt;=1,"SIM","")</f>
        <v>#REF!</v>
      </c>
      <c r="R395" s="5" t="e">
        <f>IF((COUNTIFS(#REF!,$C395,#REF!,"*CARTA*"))&gt;=1,"SIM","")</f>
        <v>#REF!</v>
      </c>
      <c r="S395" s="5" t="e">
        <f>IF((COUNTIFS(#REF!,$C395,#REF!,"*CARTA NOTIFICAÇÃO/DEVOL*"))&gt;=1,"SIM","")</f>
        <v>#REF!</v>
      </c>
      <c r="T395" s="5" t="e">
        <f>IF((COUNTIFS(#REF!,$C395,#REF!,"*LIGAÇÃO ATIVA DEV PRIN/LOC*"))&gt;=1,"SIM","")</f>
        <v>#REF!</v>
      </c>
    </row>
    <row r="396" spans="1:20">
      <c r="A396" s="24" t="s">
        <v>2153</v>
      </c>
      <c r="B396" s="24" t="s">
        <v>670</v>
      </c>
      <c r="C396" s="24" t="s">
        <v>671</v>
      </c>
      <c r="D396" s="5" t="e">
        <f>IF((COUNTIFS(#REF!,$C396,#REF!,"*163*"))&gt;=1,"SIM","")</f>
        <v>#REF!</v>
      </c>
      <c r="E396" s="5" t="e">
        <f>IF((COUNTIFS(#REF!,$C396,#REF!,E$1))&gt;=1,"SIM","")</f>
        <v>#REF!</v>
      </c>
      <c r="F396" s="5" t="e">
        <f>IF((COUNTIFS(#REF!,$C396,#REF!,F$1))&gt;=1,"SIM","")</f>
        <v>#REF!</v>
      </c>
      <c r="G396" s="5" t="e">
        <f>IF((COUNTIFS(#REF!,$C396,#REF!,"*606*"))&gt;=1,"SIM","")</f>
        <v>#REF!</v>
      </c>
      <c r="H396" s="5" t="e">
        <f>IF((COUNTIFS(#REF!,$C396,#REF!,"*605*"))&gt;=1,"SIM","")</f>
        <v>#REF!</v>
      </c>
      <c r="I396" s="5" t="e">
        <f>IF((COUNTIFS(#REF!,$C396,#REF!,I$1))&gt;=1,"SIM","")</f>
        <v>#REF!</v>
      </c>
      <c r="J396" s="5" t="e">
        <f>IF((COUNTIFS(#REF!,$C396,#REF!,J$1))&gt;=1,"SIM","")</f>
        <v>#REF!</v>
      </c>
      <c r="K396" s="5" t="e">
        <f>IF((COUNTIFS(#REF!,$C396,#REF!,K$1))&gt;=1,"SIM","")</f>
        <v>#REF!</v>
      </c>
      <c r="L396" s="5" t="e">
        <f>IF((COUNTIFS(#REF!,$C396,#REF!,L$1))&gt;=1,"SIM","")</f>
        <v>#REF!</v>
      </c>
      <c r="M396" s="5" t="e">
        <f>IF((COUNTIFS(#REF!,$C396,#REF!,M$1))&gt;=1,"SIM","")</f>
        <v>#REF!</v>
      </c>
      <c r="N396" s="5" t="e">
        <f>IF((COUNTIFS(#REF!,$C396,#REF!,N$1))&gt;=1,"SIM","")</f>
        <v>#REF!</v>
      </c>
      <c r="O396" s="5"/>
      <c r="P396" s="5" t="e">
        <f>IF((COUNTIFS(#REF!,$C396,#REF!,P$1))&gt;=1,"SIM","")</f>
        <v>#REF!</v>
      </c>
      <c r="Q396" s="5" t="e">
        <f>IF((COUNTIFS(#REF!,$C396,#REF!,Q$1))&gt;=1,"SIM","")</f>
        <v>#REF!</v>
      </c>
      <c r="R396" s="5" t="e">
        <f>IF((COUNTIFS(#REF!,$C396,#REF!,"*CARTA*"))&gt;=1,"SIM","")</f>
        <v>#REF!</v>
      </c>
      <c r="S396" s="5" t="e">
        <f>IF((COUNTIFS(#REF!,$C396,#REF!,"*CARTA NOTIFICAÇÃO/DEVOL*"))&gt;=1,"SIM","")</f>
        <v>#REF!</v>
      </c>
      <c r="T396" s="5" t="e">
        <f>IF((COUNTIFS(#REF!,$C396,#REF!,"*LIGAÇÃO ATIVA DEV PRIN/LOC*"))&gt;=1,"SIM","")</f>
        <v>#REF!</v>
      </c>
    </row>
    <row r="397" spans="1:20">
      <c r="A397" s="24" t="s">
        <v>2159</v>
      </c>
      <c r="B397" s="24" t="s">
        <v>822</v>
      </c>
      <c r="C397" s="24" t="s">
        <v>823</v>
      </c>
      <c r="D397" s="5" t="e">
        <f>IF((COUNTIFS(#REF!,$C397,#REF!,"*163*"))&gt;=1,"SIM","")</f>
        <v>#REF!</v>
      </c>
      <c r="E397" s="5" t="e">
        <f>IF((COUNTIFS(#REF!,$C397,#REF!,E$1))&gt;=1,"SIM","")</f>
        <v>#REF!</v>
      </c>
      <c r="F397" s="5" t="e">
        <f>IF((COUNTIFS(#REF!,$C397,#REF!,F$1))&gt;=1,"SIM","")</f>
        <v>#REF!</v>
      </c>
      <c r="G397" s="5" t="e">
        <f>IF((COUNTIFS(#REF!,$C397,#REF!,"*606*"))&gt;=1,"SIM","")</f>
        <v>#REF!</v>
      </c>
      <c r="H397" s="5" t="e">
        <f>IF((COUNTIFS(#REF!,$C397,#REF!,"*605*"))&gt;=1,"SIM","")</f>
        <v>#REF!</v>
      </c>
      <c r="I397" s="5" t="e">
        <f>IF((COUNTIFS(#REF!,$C397,#REF!,I$1))&gt;=1,"SIM","")</f>
        <v>#REF!</v>
      </c>
      <c r="J397" s="5" t="e">
        <f>IF((COUNTIFS(#REF!,$C397,#REF!,J$1))&gt;=1,"SIM","")</f>
        <v>#REF!</v>
      </c>
      <c r="K397" s="5" t="e">
        <f>IF((COUNTIFS(#REF!,$C397,#REF!,K$1))&gt;=1,"SIM","")</f>
        <v>#REF!</v>
      </c>
      <c r="L397" s="5" t="e">
        <f>IF((COUNTIFS(#REF!,$C397,#REF!,L$1))&gt;=1,"SIM","")</f>
        <v>#REF!</v>
      </c>
      <c r="M397" s="5" t="e">
        <f>IF((COUNTIFS(#REF!,$C397,#REF!,M$1))&gt;=1,"SIM","")</f>
        <v>#REF!</v>
      </c>
      <c r="N397" s="5" t="e">
        <f>IF((COUNTIFS(#REF!,$C397,#REF!,N$1))&gt;=1,"SIM","")</f>
        <v>#REF!</v>
      </c>
      <c r="O397" s="5"/>
      <c r="P397" s="5" t="e">
        <f>IF((COUNTIFS(#REF!,$C397,#REF!,P$1))&gt;=1,"SIM","")</f>
        <v>#REF!</v>
      </c>
      <c r="Q397" s="5" t="e">
        <f>IF((COUNTIFS(#REF!,$C397,#REF!,Q$1))&gt;=1,"SIM","")</f>
        <v>#REF!</v>
      </c>
      <c r="R397" s="5" t="e">
        <f>IF((COUNTIFS(#REF!,$C397,#REF!,"*CARTA*"))&gt;=1,"SIM","")</f>
        <v>#REF!</v>
      </c>
      <c r="S397" s="5" t="e">
        <f>IF((COUNTIFS(#REF!,$C397,#REF!,"*CARTA NOTIFICAÇÃO/DEVOL*"))&gt;=1,"SIM","")</f>
        <v>#REF!</v>
      </c>
      <c r="T397" s="5" t="e">
        <f>IF((COUNTIFS(#REF!,$C397,#REF!,"*LIGAÇÃO ATIVA DEV PRIN/LOC*"))&gt;=1,"SIM","")</f>
        <v>#REF!</v>
      </c>
    </row>
    <row r="398" spans="1:20">
      <c r="A398" s="24" t="s">
        <v>2159</v>
      </c>
      <c r="B398" s="24" t="s">
        <v>1614</v>
      </c>
      <c r="C398" s="24" t="s">
        <v>1615</v>
      </c>
      <c r="D398" s="5" t="e">
        <f>IF((COUNTIFS(#REF!,$C398,#REF!,"*163*"))&gt;=1,"SIM","")</f>
        <v>#REF!</v>
      </c>
      <c r="E398" s="5" t="e">
        <f>IF((COUNTIFS(#REF!,$C398,#REF!,E$1))&gt;=1,"SIM","")</f>
        <v>#REF!</v>
      </c>
      <c r="F398" s="5" t="e">
        <f>IF((COUNTIFS(#REF!,$C398,#REF!,F$1))&gt;=1,"SIM","")</f>
        <v>#REF!</v>
      </c>
      <c r="G398" s="5" t="e">
        <f>IF((COUNTIFS(#REF!,$C398,#REF!,"*606*"))&gt;=1,"SIM","")</f>
        <v>#REF!</v>
      </c>
      <c r="H398" s="5" t="e">
        <f>IF((COUNTIFS(#REF!,$C398,#REF!,"*605*"))&gt;=1,"SIM","")</f>
        <v>#REF!</v>
      </c>
      <c r="I398" s="5" t="e">
        <f>IF((COUNTIFS(#REF!,$C398,#REF!,I$1))&gt;=1,"SIM","")</f>
        <v>#REF!</v>
      </c>
      <c r="J398" s="5" t="e">
        <f>IF((COUNTIFS(#REF!,$C398,#REF!,J$1))&gt;=1,"SIM","")</f>
        <v>#REF!</v>
      </c>
      <c r="K398" s="5" t="e">
        <f>IF((COUNTIFS(#REF!,$C398,#REF!,K$1))&gt;=1,"SIM","")</f>
        <v>#REF!</v>
      </c>
      <c r="L398" s="5" t="e">
        <f>IF((COUNTIFS(#REF!,$C398,#REF!,L$1))&gt;=1,"SIM","")</f>
        <v>#REF!</v>
      </c>
      <c r="M398" s="5" t="e">
        <f>IF((COUNTIFS(#REF!,$C398,#REF!,M$1))&gt;=1,"SIM","")</f>
        <v>#REF!</v>
      </c>
      <c r="N398" s="5" t="e">
        <f>IF((COUNTIFS(#REF!,$C398,#REF!,N$1))&gt;=1,"SIM","")</f>
        <v>#REF!</v>
      </c>
      <c r="O398" s="5"/>
      <c r="P398" s="5" t="e">
        <f>IF((COUNTIFS(#REF!,$C398,#REF!,P$1))&gt;=1,"SIM","")</f>
        <v>#REF!</v>
      </c>
      <c r="Q398" s="5" t="e">
        <f>IF((COUNTIFS(#REF!,$C398,#REF!,Q$1))&gt;=1,"SIM","")</f>
        <v>#REF!</v>
      </c>
      <c r="R398" s="5" t="e">
        <f>IF((COUNTIFS(#REF!,$C398,#REF!,"*CARTA*"))&gt;=1,"SIM","")</f>
        <v>#REF!</v>
      </c>
      <c r="S398" s="5" t="e">
        <f>IF((COUNTIFS(#REF!,$C398,#REF!,"*CARTA NOTIFICAÇÃO/DEVOL*"))&gt;=1,"SIM","")</f>
        <v>#REF!</v>
      </c>
      <c r="T398" s="5" t="e">
        <f>IF((COUNTIFS(#REF!,$C398,#REF!,"*LIGAÇÃO ATIVA DEV PRIN/LOC*"))&gt;=1,"SIM","")</f>
        <v>#REF!</v>
      </c>
    </row>
    <row r="399" spans="1:20">
      <c r="A399" s="24" t="s">
        <v>2153</v>
      </c>
      <c r="B399" s="24" t="s">
        <v>604</v>
      </c>
      <c r="C399" s="24" t="s">
        <v>605</v>
      </c>
      <c r="D399" s="5" t="e">
        <f>IF((COUNTIFS(#REF!,$C399,#REF!,"*163*"))&gt;=1,"SIM","")</f>
        <v>#REF!</v>
      </c>
      <c r="E399" s="5" t="e">
        <f>IF((COUNTIFS(#REF!,$C399,#REF!,E$1))&gt;=1,"SIM","")</f>
        <v>#REF!</v>
      </c>
      <c r="F399" s="5" t="e">
        <f>IF((COUNTIFS(#REF!,$C399,#REF!,F$1))&gt;=1,"SIM","")</f>
        <v>#REF!</v>
      </c>
      <c r="G399" s="5" t="e">
        <f>IF((COUNTIFS(#REF!,$C399,#REF!,"*606*"))&gt;=1,"SIM","")</f>
        <v>#REF!</v>
      </c>
      <c r="H399" s="5" t="e">
        <f>IF((COUNTIFS(#REF!,$C399,#REF!,"*605*"))&gt;=1,"SIM","")</f>
        <v>#REF!</v>
      </c>
      <c r="I399" s="5" t="e">
        <f>IF((COUNTIFS(#REF!,$C399,#REF!,I$1))&gt;=1,"SIM","")</f>
        <v>#REF!</v>
      </c>
      <c r="J399" s="5" t="e">
        <f>IF((COUNTIFS(#REF!,$C399,#REF!,J$1))&gt;=1,"SIM","")</f>
        <v>#REF!</v>
      </c>
      <c r="K399" s="5" t="e">
        <f>IF((COUNTIFS(#REF!,$C399,#REF!,K$1))&gt;=1,"SIM","")</f>
        <v>#REF!</v>
      </c>
      <c r="L399" s="5" t="e">
        <f>IF((COUNTIFS(#REF!,$C399,#REF!,L$1))&gt;=1,"SIM","")</f>
        <v>#REF!</v>
      </c>
      <c r="M399" s="5" t="e">
        <f>IF((COUNTIFS(#REF!,$C399,#REF!,M$1))&gt;=1,"SIM","")</f>
        <v>#REF!</v>
      </c>
      <c r="N399" s="5" t="e">
        <f>IF((COUNTIFS(#REF!,$C399,#REF!,N$1))&gt;=1,"SIM","")</f>
        <v>#REF!</v>
      </c>
      <c r="O399" s="5"/>
      <c r="P399" s="5" t="e">
        <f>IF((COUNTIFS(#REF!,$C399,#REF!,P$1))&gt;=1,"SIM","")</f>
        <v>#REF!</v>
      </c>
      <c r="Q399" s="5" t="e">
        <f>IF((COUNTIFS(#REF!,$C399,#REF!,Q$1))&gt;=1,"SIM","")</f>
        <v>#REF!</v>
      </c>
      <c r="R399" s="5" t="e">
        <f>IF((COUNTIFS(#REF!,$C399,#REF!,"*CARTA*"))&gt;=1,"SIM","")</f>
        <v>#REF!</v>
      </c>
      <c r="S399" s="5" t="e">
        <f>IF((COUNTIFS(#REF!,$C399,#REF!,"*CARTA NOTIFICAÇÃO/DEVOL*"))&gt;=1,"SIM","")</f>
        <v>#REF!</v>
      </c>
      <c r="T399" s="5" t="e">
        <f>IF((COUNTIFS(#REF!,$C399,#REF!,"*LIGAÇÃO ATIVA DEV PRIN/LOC*"))&gt;=1,"SIM","")</f>
        <v>#REF!</v>
      </c>
    </row>
    <row r="400" spans="1:20">
      <c r="A400" s="24" t="s">
        <v>2153</v>
      </c>
      <c r="B400" s="24" t="s">
        <v>826</v>
      </c>
      <c r="C400" s="24" t="s">
        <v>827</v>
      </c>
      <c r="D400" s="5" t="e">
        <f>IF((COUNTIFS(#REF!,$C400,#REF!,"*163*"))&gt;=1,"SIM","")</f>
        <v>#REF!</v>
      </c>
      <c r="E400" s="5" t="e">
        <f>IF((COUNTIFS(#REF!,$C400,#REF!,E$1))&gt;=1,"SIM","")</f>
        <v>#REF!</v>
      </c>
      <c r="F400" s="5" t="e">
        <f>IF((COUNTIFS(#REF!,$C400,#REF!,F$1))&gt;=1,"SIM","")</f>
        <v>#REF!</v>
      </c>
      <c r="G400" s="5" t="e">
        <f>IF((COUNTIFS(#REF!,$C400,#REF!,"*606*"))&gt;=1,"SIM","")</f>
        <v>#REF!</v>
      </c>
      <c r="H400" s="5" t="e">
        <f>IF((COUNTIFS(#REF!,$C400,#REF!,"*605*"))&gt;=1,"SIM","")</f>
        <v>#REF!</v>
      </c>
      <c r="I400" s="5" t="e">
        <f>IF((COUNTIFS(#REF!,$C400,#REF!,I$1))&gt;=1,"SIM","")</f>
        <v>#REF!</v>
      </c>
      <c r="J400" s="5" t="e">
        <f>IF((COUNTIFS(#REF!,$C400,#REF!,J$1))&gt;=1,"SIM","")</f>
        <v>#REF!</v>
      </c>
      <c r="K400" s="5" t="e">
        <f>IF((COUNTIFS(#REF!,$C400,#REF!,K$1))&gt;=1,"SIM","")</f>
        <v>#REF!</v>
      </c>
      <c r="L400" s="5" t="e">
        <f>IF((COUNTIFS(#REF!,$C400,#REF!,L$1))&gt;=1,"SIM","")</f>
        <v>#REF!</v>
      </c>
      <c r="M400" s="5" t="e">
        <f>IF((COUNTIFS(#REF!,$C400,#REF!,M$1))&gt;=1,"SIM","")</f>
        <v>#REF!</v>
      </c>
      <c r="N400" s="5" t="e">
        <f>IF((COUNTIFS(#REF!,$C400,#REF!,N$1))&gt;=1,"SIM","")</f>
        <v>#REF!</v>
      </c>
      <c r="O400" s="5"/>
      <c r="P400" s="5" t="e">
        <f>IF((COUNTIFS(#REF!,$C400,#REF!,P$1))&gt;=1,"SIM","")</f>
        <v>#REF!</v>
      </c>
      <c r="Q400" s="5" t="e">
        <f>IF((COUNTIFS(#REF!,$C400,#REF!,Q$1))&gt;=1,"SIM","")</f>
        <v>#REF!</v>
      </c>
      <c r="R400" s="5" t="e">
        <f>IF((COUNTIFS(#REF!,$C400,#REF!,"*CARTA*"))&gt;=1,"SIM","")</f>
        <v>#REF!</v>
      </c>
      <c r="S400" s="5" t="e">
        <f>IF((COUNTIFS(#REF!,$C400,#REF!,"*CARTA NOTIFICAÇÃO/DEVOL*"))&gt;=1,"SIM","")</f>
        <v>#REF!</v>
      </c>
      <c r="T400" s="5" t="e">
        <f>IF((COUNTIFS(#REF!,$C400,#REF!,"*LIGAÇÃO ATIVA DEV PRIN/LOC*"))&gt;=1,"SIM","")</f>
        <v>#REF!</v>
      </c>
    </row>
    <row r="401" spans="1:20">
      <c r="A401" s="24" t="s">
        <v>2159</v>
      </c>
      <c r="B401" s="24" t="s">
        <v>1867</v>
      </c>
      <c r="C401" s="24" t="s">
        <v>1868</v>
      </c>
      <c r="D401" s="5" t="e">
        <f>IF((COUNTIFS(#REF!,$C401,#REF!,"*163*"))&gt;=1,"SIM","")</f>
        <v>#REF!</v>
      </c>
      <c r="E401" s="5" t="e">
        <f>IF((COUNTIFS(#REF!,$C401,#REF!,E$1))&gt;=1,"SIM","")</f>
        <v>#REF!</v>
      </c>
      <c r="F401" s="5" t="e">
        <f>IF((COUNTIFS(#REF!,$C401,#REF!,F$1))&gt;=1,"SIM","")</f>
        <v>#REF!</v>
      </c>
      <c r="G401" s="5" t="e">
        <f>IF((COUNTIFS(#REF!,$C401,#REF!,"*606*"))&gt;=1,"SIM","")</f>
        <v>#REF!</v>
      </c>
      <c r="H401" s="5" t="e">
        <f>IF((COUNTIFS(#REF!,$C401,#REF!,"*605*"))&gt;=1,"SIM","")</f>
        <v>#REF!</v>
      </c>
      <c r="I401" s="5" t="e">
        <f>IF((COUNTIFS(#REF!,$C401,#REF!,I$1))&gt;=1,"SIM","")</f>
        <v>#REF!</v>
      </c>
      <c r="J401" s="5" t="e">
        <f>IF((COUNTIFS(#REF!,$C401,#REF!,J$1))&gt;=1,"SIM","")</f>
        <v>#REF!</v>
      </c>
      <c r="K401" s="5" t="e">
        <f>IF((COUNTIFS(#REF!,$C401,#REF!,K$1))&gt;=1,"SIM","")</f>
        <v>#REF!</v>
      </c>
      <c r="L401" s="5" t="e">
        <f>IF((COUNTIFS(#REF!,$C401,#REF!,L$1))&gt;=1,"SIM","")</f>
        <v>#REF!</v>
      </c>
      <c r="M401" s="5" t="e">
        <f>IF((COUNTIFS(#REF!,$C401,#REF!,M$1))&gt;=1,"SIM","")</f>
        <v>#REF!</v>
      </c>
      <c r="N401" s="5" t="e">
        <f>IF((COUNTIFS(#REF!,$C401,#REF!,N$1))&gt;=1,"SIM","")</f>
        <v>#REF!</v>
      </c>
      <c r="O401" s="5"/>
      <c r="P401" s="5" t="e">
        <f>IF((COUNTIFS(#REF!,$C401,#REF!,P$1))&gt;=1,"SIM","")</f>
        <v>#REF!</v>
      </c>
      <c r="Q401" s="5" t="e">
        <f>IF((COUNTIFS(#REF!,$C401,#REF!,Q$1))&gt;=1,"SIM","")</f>
        <v>#REF!</v>
      </c>
      <c r="R401" s="5" t="e">
        <f>IF((COUNTIFS(#REF!,$C401,#REF!,"*CARTA*"))&gt;=1,"SIM","")</f>
        <v>#REF!</v>
      </c>
      <c r="S401" s="5" t="e">
        <f>IF((COUNTIFS(#REF!,$C401,#REF!,"*CARTA NOTIFICAÇÃO/DEVOL*"))&gt;=1,"SIM","")</f>
        <v>#REF!</v>
      </c>
      <c r="T401" s="5" t="e">
        <f>IF((COUNTIFS(#REF!,$C401,#REF!,"*LIGAÇÃO ATIVA DEV PRIN/LOC*"))&gt;=1,"SIM","")</f>
        <v>#REF!</v>
      </c>
    </row>
    <row r="402" spans="1:20">
      <c r="A402" s="24" t="s">
        <v>2155</v>
      </c>
      <c r="B402" s="24" t="s">
        <v>865</v>
      </c>
      <c r="C402" s="24" t="s">
        <v>866</v>
      </c>
      <c r="D402" s="5" t="e">
        <f>IF((COUNTIFS(#REF!,$C402,#REF!,"*163*"))&gt;=1,"SIM","")</f>
        <v>#REF!</v>
      </c>
      <c r="E402" s="5" t="e">
        <f>IF((COUNTIFS(#REF!,$C402,#REF!,E$1))&gt;=1,"SIM","")</f>
        <v>#REF!</v>
      </c>
      <c r="F402" s="5" t="e">
        <f>IF((COUNTIFS(#REF!,$C402,#REF!,F$1))&gt;=1,"SIM","")</f>
        <v>#REF!</v>
      </c>
      <c r="G402" s="5" t="e">
        <f>IF((COUNTIFS(#REF!,$C402,#REF!,"*606*"))&gt;=1,"SIM","")</f>
        <v>#REF!</v>
      </c>
      <c r="H402" s="5" t="e">
        <f>IF((COUNTIFS(#REF!,$C402,#REF!,"*605*"))&gt;=1,"SIM","")</f>
        <v>#REF!</v>
      </c>
      <c r="I402" s="5" t="e">
        <f>IF((COUNTIFS(#REF!,$C402,#REF!,I$1))&gt;=1,"SIM","")</f>
        <v>#REF!</v>
      </c>
      <c r="J402" s="5" t="e">
        <f>IF((COUNTIFS(#REF!,$C402,#REF!,J$1))&gt;=1,"SIM","")</f>
        <v>#REF!</v>
      </c>
      <c r="K402" s="5" t="e">
        <f>IF((COUNTIFS(#REF!,$C402,#REF!,K$1))&gt;=1,"SIM","")</f>
        <v>#REF!</v>
      </c>
      <c r="L402" s="5" t="e">
        <f>IF((COUNTIFS(#REF!,$C402,#REF!,L$1))&gt;=1,"SIM","")</f>
        <v>#REF!</v>
      </c>
      <c r="M402" s="5" t="e">
        <f>IF((COUNTIFS(#REF!,$C402,#REF!,M$1))&gt;=1,"SIM","")</f>
        <v>#REF!</v>
      </c>
      <c r="N402" s="5" t="e">
        <f>IF((COUNTIFS(#REF!,$C402,#REF!,N$1))&gt;=1,"SIM","")</f>
        <v>#REF!</v>
      </c>
      <c r="O402" s="5"/>
      <c r="P402" s="5" t="e">
        <f>IF((COUNTIFS(#REF!,$C402,#REF!,P$1))&gt;=1,"SIM","")</f>
        <v>#REF!</v>
      </c>
      <c r="Q402" s="5" t="e">
        <f>IF((COUNTIFS(#REF!,$C402,#REF!,Q$1))&gt;=1,"SIM","")</f>
        <v>#REF!</v>
      </c>
      <c r="R402" s="5" t="e">
        <f>IF((COUNTIFS(#REF!,$C402,#REF!,"*CARTA*"))&gt;=1,"SIM","")</f>
        <v>#REF!</v>
      </c>
      <c r="S402" s="5" t="e">
        <f>IF((COUNTIFS(#REF!,$C402,#REF!,"*CARTA NOTIFICAÇÃO/DEVOL*"))&gt;=1,"SIM","")</f>
        <v>#REF!</v>
      </c>
      <c r="T402" s="5" t="e">
        <f>IF((COUNTIFS(#REF!,$C402,#REF!,"*LIGAÇÃO ATIVA DEV PRIN/LOC*"))&gt;=1,"SIM","")</f>
        <v>#REF!</v>
      </c>
    </row>
    <row r="403" spans="1:20">
      <c r="A403" s="24" t="s">
        <v>2158</v>
      </c>
      <c r="B403" s="24" t="s">
        <v>873</v>
      </c>
      <c r="C403" s="24" t="s">
        <v>874</v>
      </c>
      <c r="D403" s="5" t="e">
        <f>IF((COUNTIFS(#REF!,$C403,#REF!,"*163*"))&gt;=1,"SIM","")</f>
        <v>#REF!</v>
      </c>
      <c r="E403" s="5" t="e">
        <f>IF((COUNTIFS(#REF!,$C403,#REF!,E$1))&gt;=1,"SIM","")</f>
        <v>#REF!</v>
      </c>
      <c r="F403" s="5" t="e">
        <f>IF((COUNTIFS(#REF!,$C403,#REF!,F$1))&gt;=1,"SIM","")</f>
        <v>#REF!</v>
      </c>
      <c r="G403" s="5" t="e">
        <f>IF((COUNTIFS(#REF!,$C403,#REF!,"*606*"))&gt;=1,"SIM","")</f>
        <v>#REF!</v>
      </c>
      <c r="H403" s="5" t="e">
        <f>IF((COUNTIFS(#REF!,$C403,#REF!,"*605*"))&gt;=1,"SIM","")</f>
        <v>#REF!</v>
      </c>
      <c r="I403" s="5" t="e">
        <f>IF((COUNTIFS(#REF!,$C403,#REF!,I$1))&gt;=1,"SIM","")</f>
        <v>#REF!</v>
      </c>
      <c r="J403" s="5" t="e">
        <f>IF((COUNTIFS(#REF!,$C403,#REF!,J$1))&gt;=1,"SIM","")</f>
        <v>#REF!</v>
      </c>
      <c r="K403" s="5" t="e">
        <f>IF((COUNTIFS(#REF!,$C403,#REF!,K$1))&gt;=1,"SIM","")</f>
        <v>#REF!</v>
      </c>
      <c r="L403" s="5" t="e">
        <f>IF((COUNTIFS(#REF!,$C403,#REF!,L$1))&gt;=1,"SIM","")</f>
        <v>#REF!</v>
      </c>
      <c r="M403" s="5" t="e">
        <f>IF((COUNTIFS(#REF!,$C403,#REF!,M$1))&gt;=1,"SIM","")</f>
        <v>#REF!</v>
      </c>
      <c r="N403" s="5" t="e">
        <f>IF((COUNTIFS(#REF!,$C403,#REF!,N$1))&gt;=1,"SIM","")</f>
        <v>#REF!</v>
      </c>
      <c r="O403" s="5"/>
      <c r="P403" s="5" t="e">
        <f>IF((COUNTIFS(#REF!,$C403,#REF!,P$1))&gt;=1,"SIM","")</f>
        <v>#REF!</v>
      </c>
      <c r="Q403" s="5" t="e">
        <f>IF((COUNTIFS(#REF!,$C403,#REF!,Q$1))&gt;=1,"SIM","")</f>
        <v>#REF!</v>
      </c>
      <c r="R403" s="5" t="e">
        <f>IF((COUNTIFS(#REF!,$C403,#REF!,"*CARTA*"))&gt;=1,"SIM","")</f>
        <v>#REF!</v>
      </c>
      <c r="S403" s="5" t="e">
        <f>IF((COUNTIFS(#REF!,$C403,#REF!,"*CARTA NOTIFICAÇÃO/DEVOL*"))&gt;=1,"SIM","")</f>
        <v>#REF!</v>
      </c>
      <c r="T403" s="5" t="e">
        <f>IF((COUNTIFS(#REF!,$C403,#REF!,"*LIGAÇÃO ATIVA DEV PRIN/LOC*"))&gt;=1,"SIM","")</f>
        <v>#REF!</v>
      </c>
    </row>
    <row r="404" spans="1:20">
      <c r="A404" s="24" t="s">
        <v>2153</v>
      </c>
      <c r="B404" s="24" t="s">
        <v>1186</v>
      </c>
      <c r="C404" s="24" t="s">
        <v>1187</v>
      </c>
      <c r="D404" s="5" t="e">
        <f>IF((COUNTIFS(#REF!,$C404,#REF!,"*163*"))&gt;=1,"SIM","")</f>
        <v>#REF!</v>
      </c>
      <c r="E404" s="5" t="e">
        <f>IF((COUNTIFS(#REF!,$C404,#REF!,E$1))&gt;=1,"SIM","")</f>
        <v>#REF!</v>
      </c>
      <c r="F404" s="5" t="e">
        <f>IF((COUNTIFS(#REF!,$C404,#REF!,F$1))&gt;=1,"SIM","")</f>
        <v>#REF!</v>
      </c>
      <c r="G404" s="5" t="e">
        <f>IF((COUNTIFS(#REF!,$C404,#REF!,"*606*"))&gt;=1,"SIM","")</f>
        <v>#REF!</v>
      </c>
      <c r="H404" s="5" t="e">
        <f>IF((COUNTIFS(#REF!,$C404,#REF!,"*605*"))&gt;=1,"SIM","")</f>
        <v>#REF!</v>
      </c>
      <c r="I404" s="5" t="e">
        <f>IF((COUNTIFS(#REF!,$C404,#REF!,I$1))&gt;=1,"SIM","")</f>
        <v>#REF!</v>
      </c>
      <c r="J404" s="5" t="e">
        <f>IF((COUNTIFS(#REF!,$C404,#REF!,J$1))&gt;=1,"SIM","")</f>
        <v>#REF!</v>
      </c>
      <c r="K404" s="5" t="e">
        <f>IF((COUNTIFS(#REF!,$C404,#REF!,K$1))&gt;=1,"SIM","")</f>
        <v>#REF!</v>
      </c>
      <c r="L404" s="5" t="e">
        <f>IF((COUNTIFS(#REF!,$C404,#REF!,L$1))&gt;=1,"SIM","")</f>
        <v>#REF!</v>
      </c>
      <c r="M404" s="5" t="e">
        <f>IF((COUNTIFS(#REF!,$C404,#REF!,M$1))&gt;=1,"SIM","")</f>
        <v>#REF!</v>
      </c>
      <c r="N404" s="5" t="e">
        <f>IF((COUNTIFS(#REF!,$C404,#REF!,N$1))&gt;=1,"SIM","")</f>
        <v>#REF!</v>
      </c>
      <c r="O404" s="5"/>
      <c r="P404" s="5" t="e">
        <f>IF((COUNTIFS(#REF!,$C404,#REF!,P$1))&gt;=1,"SIM","")</f>
        <v>#REF!</v>
      </c>
      <c r="Q404" s="5" t="e">
        <f>IF((COUNTIFS(#REF!,$C404,#REF!,Q$1))&gt;=1,"SIM","")</f>
        <v>#REF!</v>
      </c>
      <c r="R404" s="5" t="e">
        <f>IF((COUNTIFS(#REF!,$C404,#REF!,"*CARTA*"))&gt;=1,"SIM","")</f>
        <v>#REF!</v>
      </c>
      <c r="S404" s="5" t="e">
        <f>IF((COUNTIFS(#REF!,$C404,#REF!,"*CARTA NOTIFICAÇÃO/DEVOL*"))&gt;=1,"SIM","")</f>
        <v>#REF!</v>
      </c>
      <c r="T404" s="5" t="e">
        <f>IF((COUNTIFS(#REF!,$C404,#REF!,"*LIGAÇÃO ATIVA DEV PRIN/LOC*"))&gt;=1,"SIM","")</f>
        <v>#REF!</v>
      </c>
    </row>
    <row r="405" spans="1:20">
      <c r="A405" s="24" t="s">
        <v>2153</v>
      </c>
      <c r="B405" s="24" t="s">
        <v>426</v>
      </c>
      <c r="C405" s="24" t="s">
        <v>427</v>
      </c>
      <c r="D405" s="5" t="e">
        <f>IF((COUNTIFS(#REF!,$C405,#REF!,"*163*"))&gt;=1,"SIM","")</f>
        <v>#REF!</v>
      </c>
      <c r="E405" s="5" t="e">
        <f>IF((COUNTIFS(#REF!,$C405,#REF!,E$1))&gt;=1,"SIM","")</f>
        <v>#REF!</v>
      </c>
      <c r="F405" s="5" t="e">
        <f>IF((COUNTIFS(#REF!,$C405,#REF!,F$1))&gt;=1,"SIM","")</f>
        <v>#REF!</v>
      </c>
      <c r="G405" s="5" t="e">
        <f>IF((COUNTIFS(#REF!,$C405,#REF!,"*606*"))&gt;=1,"SIM","")</f>
        <v>#REF!</v>
      </c>
      <c r="H405" s="5" t="e">
        <f>IF((COUNTIFS(#REF!,$C405,#REF!,"*605*"))&gt;=1,"SIM","")</f>
        <v>#REF!</v>
      </c>
      <c r="I405" s="5" t="e">
        <f>IF((COUNTIFS(#REF!,$C405,#REF!,I$1))&gt;=1,"SIM","")</f>
        <v>#REF!</v>
      </c>
      <c r="J405" s="5" t="e">
        <f>IF((COUNTIFS(#REF!,$C405,#REF!,J$1))&gt;=1,"SIM","")</f>
        <v>#REF!</v>
      </c>
      <c r="K405" s="5" t="e">
        <f>IF((COUNTIFS(#REF!,$C405,#REF!,K$1))&gt;=1,"SIM","")</f>
        <v>#REF!</v>
      </c>
      <c r="L405" s="5" t="e">
        <f>IF((COUNTIFS(#REF!,$C405,#REF!,L$1))&gt;=1,"SIM","")</f>
        <v>#REF!</v>
      </c>
      <c r="M405" s="5" t="e">
        <f>IF((COUNTIFS(#REF!,$C405,#REF!,M$1))&gt;=1,"SIM","")</f>
        <v>#REF!</v>
      </c>
      <c r="N405" s="5" t="e">
        <f>IF((COUNTIFS(#REF!,$C405,#REF!,N$1))&gt;=1,"SIM","")</f>
        <v>#REF!</v>
      </c>
      <c r="O405" s="5"/>
      <c r="P405" s="5" t="e">
        <f>IF((COUNTIFS(#REF!,$C405,#REF!,P$1))&gt;=1,"SIM","")</f>
        <v>#REF!</v>
      </c>
      <c r="Q405" s="5" t="e">
        <f>IF((COUNTIFS(#REF!,$C405,#REF!,Q$1))&gt;=1,"SIM","")</f>
        <v>#REF!</v>
      </c>
      <c r="R405" s="5" t="e">
        <f>IF((COUNTIFS(#REF!,$C405,#REF!,"*CARTA*"))&gt;=1,"SIM","")</f>
        <v>#REF!</v>
      </c>
      <c r="S405" s="5" t="e">
        <f>IF((COUNTIFS(#REF!,$C405,#REF!,"*CARTA NOTIFICAÇÃO/DEVOL*"))&gt;=1,"SIM","")</f>
        <v>#REF!</v>
      </c>
      <c r="T405" s="5" t="e">
        <f>IF((COUNTIFS(#REF!,$C405,#REF!,"*LIGAÇÃO ATIVA DEV PRIN/LOC*"))&gt;=1,"SIM","")</f>
        <v>#REF!</v>
      </c>
    </row>
    <row r="406" spans="1:20">
      <c r="A406" s="24" t="s">
        <v>2153</v>
      </c>
      <c r="B406" s="24" t="s">
        <v>652</v>
      </c>
      <c r="C406" s="24" t="s">
        <v>653</v>
      </c>
      <c r="D406" s="5" t="e">
        <f>IF((COUNTIFS(#REF!,$C406,#REF!,"*163*"))&gt;=1,"SIM","")</f>
        <v>#REF!</v>
      </c>
      <c r="E406" s="5" t="e">
        <f>IF((COUNTIFS(#REF!,$C406,#REF!,E$1))&gt;=1,"SIM","")</f>
        <v>#REF!</v>
      </c>
      <c r="F406" s="5" t="e">
        <f>IF((COUNTIFS(#REF!,$C406,#REF!,F$1))&gt;=1,"SIM","")</f>
        <v>#REF!</v>
      </c>
      <c r="G406" s="5" t="e">
        <f>IF((COUNTIFS(#REF!,$C406,#REF!,"*606*"))&gt;=1,"SIM","")</f>
        <v>#REF!</v>
      </c>
      <c r="H406" s="5" t="e">
        <f>IF((COUNTIFS(#REF!,$C406,#REF!,"*605*"))&gt;=1,"SIM","")</f>
        <v>#REF!</v>
      </c>
      <c r="I406" s="5" t="e">
        <f>IF((COUNTIFS(#REF!,$C406,#REF!,I$1))&gt;=1,"SIM","")</f>
        <v>#REF!</v>
      </c>
      <c r="J406" s="5" t="e">
        <f>IF((COUNTIFS(#REF!,$C406,#REF!,J$1))&gt;=1,"SIM","")</f>
        <v>#REF!</v>
      </c>
      <c r="K406" s="5" t="e">
        <f>IF((COUNTIFS(#REF!,$C406,#REF!,K$1))&gt;=1,"SIM","")</f>
        <v>#REF!</v>
      </c>
      <c r="L406" s="5" t="e">
        <f>IF((COUNTIFS(#REF!,$C406,#REF!,L$1))&gt;=1,"SIM","")</f>
        <v>#REF!</v>
      </c>
      <c r="M406" s="5" t="e">
        <f>IF((COUNTIFS(#REF!,$C406,#REF!,M$1))&gt;=1,"SIM","")</f>
        <v>#REF!</v>
      </c>
      <c r="N406" s="5" t="e">
        <f>IF((COUNTIFS(#REF!,$C406,#REF!,N$1))&gt;=1,"SIM","")</f>
        <v>#REF!</v>
      </c>
      <c r="O406" s="5"/>
      <c r="P406" s="5" t="e">
        <f>IF((COUNTIFS(#REF!,$C406,#REF!,P$1))&gt;=1,"SIM","")</f>
        <v>#REF!</v>
      </c>
      <c r="Q406" s="5" t="e">
        <f>IF((COUNTIFS(#REF!,$C406,#REF!,Q$1))&gt;=1,"SIM","")</f>
        <v>#REF!</v>
      </c>
      <c r="R406" s="5" t="e">
        <f>IF((COUNTIFS(#REF!,$C406,#REF!,"*CARTA*"))&gt;=1,"SIM","")</f>
        <v>#REF!</v>
      </c>
      <c r="S406" s="5" t="e">
        <f>IF((COUNTIFS(#REF!,$C406,#REF!,"*CARTA NOTIFICAÇÃO/DEVOL*"))&gt;=1,"SIM","")</f>
        <v>#REF!</v>
      </c>
      <c r="T406" s="5" t="e">
        <f>IF((COUNTIFS(#REF!,$C406,#REF!,"*LIGAÇÃO ATIVA DEV PRIN/LOC*"))&gt;=1,"SIM","")</f>
        <v>#REF!</v>
      </c>
    </row>
    <row r="407" spans="1:20">
      <c r="A407" s="24" t="s">
        <v>2159</v>
      </c>
      <c r="B407" s="24" t="s">
        <v>1860</v>
      </c>
      <c r="C407" s="24" t="s">
        <v>1861</v>
      </c>
      <c r="D407" s="5" t="e">
        <f>IF((COUNTIFS(#REF!,$C407,#REF!,"*163*"))&gt;=1,"SIM","")</f>
        <v>#REF!</v>
      </c>
      <c r="E407" s="5" t="e">
        <f>IF((COUNTIFS(#REF!,$C407,#REF!,E$1))&gt;=1,"SIM","")</f>
        <v>#REF!</v>
      </c>
      <c r="F407" s="5" t="e">
        <f>IF((COUNTIFS(#REF!,$C407,#REF!,F$1))&gt;=1,"SIM","")</f>
        <v>#REF!</v>
      </c>
      <c r="G407" s="5" t="e">
        <f>IF((COUNTIFS(#REF!,$C407,#REF!,"*606*"))&gt;=1,"SIM","")</f>
        <v>#REF!</v>
      </c>
      <c r="H407" s="5" t="e">
        <f>IF((COUNTIFS(#REF!,$C407,#REF!,"*605*"))&gt;=1,"SIM","")</f>
        <v>#REF!</v>
      </c>
      <c r="I407" s="5" t="e">
        <f>IF((COUNTIFS(#REF!,$C407,#REF!,I$1))&gt;=1,"SIM","")</f>
        <v>#REF!</v>
      </c>
      <c r="J407" s="5" t="e">
        <f>IF((COUNTIFS(#REF!,$C407,#REF!,J$1))&gt;=1,"SIM","")</f>
        <v>#REF!</v>
      </c>
      <c r="K407" s="5" t="e">
        <f>IF((COUNTIFS(#REF!,$C407,#REF!,K$1))&gt;=1,"SIM","")</f>
        <v>#REF!</v>
      </c>
      <c r="L407" s="5" t="e">
        <f>IF((COUNTIFS(#REF!,$C407,#REF!,L$1))&gt;=1,"SIM","")</f>
        <v>#REF!</v>
      </c>
      <c r="M407" s="5" t="e">
        <f>IF((COUNTIFS(#REF!,$C407,#REF!,M$1))&gt;=1,"SIM","")</f>
        <v>#REF!</v>
      </c>
      <c r="N407" s="5" t="e">
        <f>IF((COUNTIFS(#REF!,$C407,#REF!,N$1))&gt;=1,"SIM","")</f>
        <v>#REF!</v>
      </c>
      <c r="O407" s="5"/>
      <c r="P407" s="5" t="e">
        <f>IF((COUNTIFS(#REF!,$C407,#REF!,P$1))&gt;=1,"SIM","")</f>
        <v>#REF!</v>
      </c>
      <c r="Q407" s="5" t="e">
        <f>IF((COUNTIFS(#REF!,$C407,#REF!,Q$1))&gt;=1,"SIM","")</f>
        <v>#REF!</v>
      </c>
      <c r="R407" s="5" t="e">
        <f>IF((COUNTIFS(#REF!,$C407,#REF!,"*CARTA*"))&gt;=1,"SIM","")</f>
        <v>#REF!</v>
      </c>
      <c r="S407" s="5" t="e">
        <f>IF((COUNTIFS(#REF!,$C407,#REF!,"*CARTA NOTIFICAÇÃO/DEVOL*"))&gt;=1,"SIM","")</f>
        <v>#REF!</v>
      </c>
      <c r="T407" s="5" t="e">
        <f>IF((COUNTIFS(#REF!,$C407,#REF!,"*LIGAÇÃO ATIVA DEV PRIN/LOC*"))&gt;=1,"SIM","")</f>
        <v>#REF!</v>
      </c>
    </row>
    <row r="408" spans="1:20">
      <c r="A408" s="24" t="s">
        <v>2153</v>
      </c>
      <c r="B408" s="24" t="s">
        <v>805</v>
      </c>
      <c r="C408" s="24" t="s">
        <v>806</v>
      </c>
      <c r="D408" s="5" t="e">
        <f>IF((COUNTIFS(#REF!,$C408,#REF!,"*163*"))&gt;=1,"SIM","")</f>
        <v>#REF!</v>
      </c>
      <c r="E408" s="5" t="e">
        <f>IF((COUNTIFS(#REF!,$C408,#REF!,E$1))&gt;=1,"SIM","")</f>
        <v>#REF!</v>
      </c>
      <c r="F408" s="5" t="e">
        <f>IF((COUNTIFS(#REF!,$C408,#REF!,F$1))&gt;=1,"SIM","")</f>
        <v>#REF!</v>
      </c>
      <c r="G408" s="5" t="e">
        <f>IF((COUNTIFS(#REF!,$C408,#REF!,"*606*"))&gt;=1,"SIM","")</f>
        <v>#REF!</v>
      </c>
      <c r="H408" s="5" t="e">
        <f>IF((COUNTIFS(#REF!,$C408,#REF!,"*605*"))&gt;=1,"SIM","")</f>
        <v>#REF!</v>
      </c>
      <c r="I408" s="5" t="e">
        <f>IF((COUNTIFS(#REF!,$C408,#REF!,I$1))&gt;=1,"SIM","")</f>
        <v>#REF!</v>
      </c>
      <c r="J408" s="5" t="e">
        <f>IF((COUNTIFS(#REF!,$C408,#REF!,J$1))&gt;=1,"SIM","")</f>
        <v>#REF!</v>
      </c>
      <c r="K408" s="5" t="e">
        <f>IF((COUNTIFS(#REF!,$C408,#REF!,K$1))&gt;=1,"SIM","")</f>
        <v>#REF!</v>
      </c>
      <c r="L408" s="5" t="e">
        <f>IF((COUNTIFS(#REF!,$C408,#REF!,L$1))&gt;=1,"SIM","")</f>
        <v>#REF!</v>
      </c>
      <c r="M408" s="5" t="e">
        <f>IF((COUNTIFS(#REF!,$C408,#REF!,M$1))&gt;=1,"SIM","")</f>
        <v>#REF!</v>
      </c>
      <c r="N408" s="5" t="e">
        <f>IF((COUNTIFS(#REF!,$C408,#REF!,N$1))&gt;=1,"SIM","")</f>
        <v>#REF!</v>
      </c>
      <c r="O408" s="5"/>
      <c r="P408" s="5" t="e">
        <f>IF((COUNTIFS(#REF!,$C408,#REF!,P$1))&gt;=1,"SIM","")</f>
        <v>#REF!</v>
      </c>
      <c r="Q408" s="5" t="e">
        <f>IF((COUNTIFS(#REF!,$C408,#REF!,Q$1))&gt;=1,"SIM","")</f>
        <v>#REF!</v>
      </c>
      <c r="R408" s="5" t="e">
        <f>IF((COUNTIFS(#REF!,$C408,#REF!,"*CARTA*"))&gt;=1,"SIM","")</f>
        <v>#REF!</v>
      </c>
      <c r="S408" s="5" t="e">
        <f>IF((COUNTIFS(#REF!,$C408,#REF!,"*CARTA NOTIFICAÇÃO/DEVOL*"))&gt;=1,"SIM","")</f>
        <v>#REF!</v>
      </c>
      <c r="T408" s="5" t="e">
        <f>IF((COUNTIFS(#REF!,$C408,#REF!,"*LIGAÇÃO ATIVA DEV PRIN/LOC*"))&gt;=1,"SIM","")</f>
        <v>#REF!</v>
      </c>
    </row>
    <row r="409" spans="1:20">
      <c r="A409" s="24" t="s">
        <v>2153</v>
      </c>
      <c r="B409" s="24" t="s">
        <v>285</v>
      </c>
      <c r="C409" s="24" t="s">
        <v>286</v>
      </c>
      <c r="D409" s="5" t="e">
        <f>IF((COUNTIFS(#REF!,$C409,#REF!,"*163*"))&gt;=1,"SIM","")</f>
        <v>#REF!</v>
      </c>
      <c r="E409" s="5" t="e">
        <f>IF((COUNTIFS(#REF!,$C409,#REF!,E$1))&gt;=1,"SIM","")</f>
        <v>#REF!</v>
      </c>
      <c r="F409" s="5" t="e">
        <f>IF((COUNTIFS(#REF!,$C409,#REF!,F$1))&gt;=1,"SIM","")</f>
        <v>#REF!</v>
      </c>
      <c r="G409" s="5" t="e">
        <f>IF((COUNTIFS(#REF!,$C409,#REF!,"*606*"))&gt;=1,"SIM","")</f>
        <v>#REF!</v>
      </c>
      <c r="H409" s="5" t="e">
        <f>IF((COUNTIFS(#REF!,$C409,#REF!,"*605*"))&gt;=1,"SIM","")</f>
        <v>#REF!</v>
      </c>
      <c r="I409" s="5" t="e">
        <f>IF((COUNTIFS(#REF!,$C409,#REF!,I$1))&gt;=1,"SIM","")</f>
        <v>#REF!</v>
      </c>
      <c r="J409" s="5" t="e">
        <f>IF((COUNTIFS(#REF!,$C409,#REF!,J$1))&gt;=1,"SIM","")</f>
        <v>#REF!</v>
      </c>
      <c r="K409" s="5" t="e">
        <f>IF((COUNTIFS(#REF!,$C409,#REF!,K$1))&gt;=1,"SIM","")</f>
        <v>#REF!</v>
      </c>
      <c r="L409" s="5" t="e">
        <f>IF((COUNTIFS(#REF!,$C409,#REF!,L$1))&gt;=1,"SIM","")</f>
        <v>#REF!</v>
      </c>
      <c r="M409" s="5" t="e">
        <f>IF((COUNTIFS(#REF!,$C409,#REF!,M$1))&gt;=1,"SIM","")</f>
        <v>#REF!</v>
      </c>
      <c r="N409" s="5" t="e">
        <f>IF((COUNTIFS(#REF!,$C409,#REF!,N$1))&gt;=1,"SIM","")</f>
        <v>#REF!</v>
      </c>
      <c r="O409" s="5"/>
      <c r="P409" s="5" t="e">
        <f>IF((COUNTIFS(#REF!,$C409,#REF!,P$1))&gt;=1,"SIM","")</f>
        <v>#REF!</v>
      </c>
      <c r="Q409" s="5" t="e">
        <f>IF((COUNTIFS(#REF!,$C409,#REF!,Q$1))&gt;=1,"SIM","")</f>
        <v>#REF!</v>
      </c>
      <c r="R409" s="5" t="e">
        <f>IF((COUNTIFS(#REF!,$C409,#REF!,"*CARTA*"))&gt;=1,"SIM","")</f>
        <v>#REF!</v>
      </c>
      <c r="S409" s="5" t="e">
        <f>IF((COUNTIFS(#REF!,$C409,#REF!,"*CARTA NOTIFICAÇÃO/DEVOL*"))&gt;=1,"SIM","")</f>
        <v>#REF!</v>
      </c>
      <c r="T409" s="5" t="e">
        <f>IF((COUNTIFS(#REF!,$C409,#REF!,"*LIGAÇÃO ATIVA DEV PRIN/LOC*"))&gt;=1,"SIM","")</f>
        <v>#REF!</v>
      </c>
    </row>
    <row r="410" spans="1:20">
      <c r="A410" s="24" t="s">
        <v>2159</v>
      </c>
      <c r="B410" s="24" t="s">
        <v>841</v>
      </c>
      <c r="C410" s="24" t="s">
        <v>842</v>
      </c>
      <c r="D410" s="5" t="e">
        <f>IF((COUNTIFS(#REF!,$C410,#REF!,"*163*"))&gt;=1,"SIM","")</f>
        <v>#REF!</v>
      </c>
      <c r="E410" s="5" t="e">
        <f>IF((COUNTIFS(#REF!,$C410,#REF!,E$1))&gt;=1,"SIM","")</f>
        <v>#REF!</v>
      </c>
      <c r="F410" s="5" t="e">
        <f>IF((COUNTIFS(#REF!,$C410,#REF!,F$1))&gt;=1,"SIM","")</f>
        <v>#REF!</v>
      </c>
      <c r="G410" s="5" t="e">
        <f>IF((COUNTIFS(#REF!,$C410,#REF!,"*606*"))&gt;=1,"SIM","")</f>
        <v>#REF!</v>
      </c>
      <c r="H410" s="5" t="e">
        <f>IF((COUNTIFS(#REF!,$C410,#REF!,"*605*"))&gt;=1,"SIM","")</f>
        <v>#REF!</v>
      </c>
      <c r="I410" s="5" t="e">
        <f>IF((COUNTIFS(#REF!,$C410,#REF!,I$1))&gt;=1,"SIM","")</f>
        <v>#REF!</v>
      </c>
      <c r="J410" s="5" t="e">
        <f>IF((COUNTIFS(#REF!,$C410,#REF!,J$1))&gt;=1,"SIM","")</f>
        <v>#REF!</v>
      </c>
      <c r="K410" s="5" t="e">
        <f>IF((COUNTIFS(#REF!,$C410,#REF!,K$1))&gt;=1,"SIM","")</f>
        <v>#REF!</v>
      </c>
      <c r="L410" s="5" t="e">
        <f>IF((COUNTIFS(#REF!,$C410,#REF!,L$1))&gt;=1,"SIM","")</f>
        <v>#REF!</v>
      </c>
      <c r="M410" s="5" t="e">
        <f>IF((COUNTIFS(#REF!,$C410,#REF!,M$1))&gt;=1,"SIM","")</f>
        <v>#REF!</v>
      </c>
      <c r="N410" s="5" t="e">
        <f>IF((COUNTIFS(#REF!,$C410,#REF!,N$1))&gt;=1,"SIM","")</f>
        <v>#REF!</v>
      </c>
      <c r="O410" s="5"/>
      <c r="P410" s="5" t="e">
        <f>IF((COUNTIFS(#REF!,$C410,#REF!,P$1))&gt;=1,"SIM","")</f>
        <v>#REF!</v>
      </c>
      <c r="Q410" s="5" t="e">
        <f>IF((COUNTIFS(#REF!,$C410,#REF!,Q$1))&gt;=1,"SIM","")</f>
        <v>#REF!</v>
      </c>
      <c r="R410" s="5" t="e">
        <f>IF((COUNTIFS(#REF!,$C410,#REF!,"*CARTA*"))&gt;=1,"SIM","")</f>
        <v>#REF!</v>
      </c>
      <c r="S410" s="5" t="e">
        <f>IF((COUNTIFS(#REF!,$C410,#REF!,"*CARTA NOTIFICAÇÃO/DEVOL*"))&gt;=1,"SIM","")</f>
        <v>#REF!</v>
      </c>
      <c r="T410" s="5" t="e">
        <f>IF((COUNTIFS(#REF!,$C410,#REF!,"*LIGAÇÃO ATIVA DEV PRIN/LOC*"))&gt;=1,"SIM","")</f>
        <v>#REF!</v>
      </c>
    </row>
    <row r="411" spans="1:20">
      <c r="A411" s="24" t="s">
        <v>2153</v>
      </c>
      <c r="B411" s="24" t="s">
        <v>2364</v>
      </c>
      <c r="C411" s="24" t="s">
        <v>2365</v>
      </c>
      <c r="D411" s="5" t="e">
        <f>IF((COUNTIFS(#REF!,$C411,#REF!,"*163*"))&gt;=1,"SIM","")</f>
        <v>#REF!</v>
      </c>
      <c r="E411" s="5" t="e">
        <f>IF((COUNTIFS(#REF!,$C411,#REF!,E$1))&gt;=1,"SIM","")</f>
        <v>#REF!</v>
      </c>
      <c r="F411" s="5" t="e">
        <f>IF((COUNTIFS(#REF!,$C411,#REF!,F$1))&gt;=1,"SIM","")</f>
        <v>#REF!</v>
      </c>
      <c r="G411" s="5" t="e">
        <f>IF((COUNTIFS(#REF!,$C411,#REF!,"*606*"))&gt;=1,"SIM","")</f>
        <v>#REF!</v>
      </c>
      <c r="H411" s="5" t="e">
        <f>IF((COUNTIFS(#REF!,$C411,#REF!,"*605*"))&gt;=1,"SIM","")</f>
        <v>#REF!</v>
      </c>
      <c r="I411" s="5" t="e">
        <f>IF((COUNTIFS(#REF!,$C411,#REF!,I$1))&gt;=1,"SIM","")</f>
        <v>#REF!</v>
      </c>
      <c r="J411" s="5" t="e">
        <f>IF((COUNTIFS(#REF!,$C411,#REF!,J$1))&gt;=1,"SIM","")</f>
        <v>#REF!</v>
      </c>
      <c r="K411" s="5" t="e">
        <f>IF((COUNTIFS(#REF!,$C411,#REF!,K$1))&gt;=1,"SIM","")</f>
        <v>#REF!</v>
      </c>
      <c r="L411" s="5" t="e">
        <f>IF((COUNTIFS(#REF!,$C411,#REF!,L$1))&gt;=1,"SIM","")</f>
        <v>#REF!</v>
      </c>
      <c r="M411" s="5" t="e">
        <f>IF((COUNTIFS(#REF!,$C411,#REF!,M$1))&gt;=1,"SIM","")</f>
        <v>#REF!</v>
      </c>
      <c r="N411" s="5" t="e">
        <f>IF((COUNTIFS(#REF!,$C411,#REF!,N$1))&gt;=1,"SIM","")</f>
        <v>#REF!</v>
      </c>
      <c r="O411" s="5"/>
      <c r="P411" s="5" t="e">
        <f>IF((COUNTIFS(#REF!,$C411,#REF!,P$1))&gt;=1,"SIM","")</f>
        <v>#REF!</v>
      </c>
      <c r="Q411" s="5" t="e">
        <f>IF((COUNTIFS(#REF!,$C411,#REF!,Q$1))&gt;=1,"SIM","")</f>
        <v>#REF!</v>
      </c>
      <c r="R411" s="5" t="e">
        <f>IF((COUNTIFS(#REF!,$C411,#REF!,"*CARTA*"))&gt;=1,"SIM","")</f>
        <v>#REF!</v>
      </c>
      <c r="S411" s="5" t="e">
        <f>IF((COUNTIFS(#REF!,$C411,#REF!,"*CARTA NOTIFICAÇÃO/DEVOL*"))&gt;=1,"SIM","")</f>
        <v>#REF!</v>
      </c>
      <c r="T411" s="5" t="e">
        <f>IF((COUNTIFS(#REF!,$C411,#REF!,"*LIGAÇÃO ATIVA DEV PRIN/LOC*"))&gt;=1,"SIM","")</f>
        <v>#REF!</v>
      </c>
    </row>
    <row r="412" spans="1:20">
      <c r="A412" s="24" t="s">
        <v>2153</v>
      </c>
      <c r="B412" s="24" t="s">
        <v>686</v>
      </c>
      <c r="C412" s="24" t="s">
        <v>687</v>
      </c>
      <c r="D412" s="5" t="e">
        <f>IF((COUNTIFS(#REF!,$C412,#REF!,"*163*"))&gt;=1,"SIM","")</f>
        <v>#REF!</v>
      </c>
      <c r="E412" s="5" t="e">
        <f>IF((COUNTIFS(#REF!,$C412,#REF!,E$1))&gt;=1,"SIM","")</f>
        <v>#REF!</v>
      </c>
      <c r="F412" s="5" t="e">
        <f>IF((COUNTIFS(#REF!,$C412,#REF!,F$1))&gt;=1,"SIM","")</f>
        <v>#REF!</v>
      </c>
      <c r="G412" s="5" t="e">
        <f>IF((COUNTIFS(#REF!,$C412,#REF!,"*606*"))&gt;=1,"SIM","")</f>
        <v>#REF!</v>
      </c>
      <c r="H412" s="5" t="e">
        <f>IF((COUNTIFS(#REF!,$C412,#REF!,"*605*"))&gt;=1,"SIM","")</f>
        <v>#REF!</v>
      </c>
      <c r="I412" s="5" t="e">
        <f>IF((COUNTIFS(#REF!,$C412,#REF!,I$1))&gt;=1,"SIM","")</f>
        <v>#REF!</v>
      </c>
      <c r="J412" s="5" t="e">
        <f>IF((COUNTIFS(#REF!,$C412,#REF!,J$1))&gt;=1,"SIM","")</f>
        <v>#REF!</v>
      </c>
      <c r="K412" s="5" t="e">
        <f>IF((COUNTIFS(#REF!,$C412,#REF!,K$1))&gt;=1,"SIM","")</f>
        <v>#REF!</v>
      </c>
      <c r="L412" s="5" t="e">
        <f>IF((COUNTIFS(#REF!,$C412,#REF!,L$1))&gt;=1,"SIM","")</f>
        <v>#REF!</v>
      </c>
      <c r="M412" s="5" t="e">
        <f>IF((COUNTIFS(#REF!,$C412,#REF!,M$1))&gt;=1,"SIM","")</f>
        <v>#REF!</v>
      </c>
      <c r="N412" s="5" t="e">
        <f>IF((COUNTIFS(#REF!,$C412,#REF!,N$1))&gt;=1,"SIM","")</f>
        <v>#REF!</v>
      </c>
      <c r="O412" s="5"/>
      <c r="P412" s="5" t="e">
        <f>IF((COUNTIFS(#REF!,$C412,#REF!,P$1))&gt;=1,"SIM","")</f>
        <v>#REF!</v>
      </c>
      <c r="Q412" s="5" t="e">
        <f>IF((COUNTIFS(#REF!,$C412,#REF!,Q$1))&gt;=1,"SIM","")</f>
        <v>#REF!</v>
      </c>
      <c r="R412" s="5" t="e">
        <f>IF((COUNTIFS(#REF!,$C412,#REF!,"*CARTA*"))&gt;=1,"SIM","")</f>
        <v>#REF!</v>
      </c>
      <c r="S412" s="5" t="e">
        <f>IF((COUNTIFS(#REF!,$C412,#REF!,"*CARTA NOTIFICAÇÃO/DEVOL*"))&gt;=1,"SIM","")</f>
        <v>#REF!</v>
      </c>
      <c r="T412" s="5" t="e">
        <f>IF((COUNTIFS(#REF!,$C412,#REF!,"*LIGAÇÃO ATIVA DEV PRIN/LOC*"))&gt;=1,"SIM","")</f>
        <v>#REF!</v>
      </c>
    </row>
    <row r="413" spans="1:20">
      <c r="A413" s="24" t="s">
        <v>2154</v>
      </c>
      <c r="B413" s="24" t="s">
        <v>190</v>
      </c>
      <c r="C413" s="24" t="s">
        <v>2022</v>
      </c>
      <c r="D413" s="5" t="e">
        <f>IF((COUNTIFS(#REF!,$C413,#REF!,"*163*"))&gt;=1,"SIM","")</f>
        <v>#REF!</v>
      </c>
      <c r="E413" s="5" t="e">
        <f>IF((COUNTIFS(#REF!,$C413,#REF!,E$1))&gt;=1,"SIM","")</f>
        <v>#REF!</v>
      </c>
      <c r="F413" s="5" t="e">
        <f>IF((COUNTIFS(#REF!,$C413,#REF!,F$1))&gt;=1,"SIM","")</f>
        <v>#REF!</v>
      </c>
      <c r="G413" s="5" t="e">
        <f>IF((COUNTIFS(#REF!,$C413,#REF!,"*606*"))&gt;=1,"SIM","")</f>
        <v>#REF!</v>
      </c>
      <c r="H413" s="5" t="e">
        <f>IF((COUNTIFS(#REF!,$C413,#REF!,"*605*"))&gt;=1,"SIM","")</f>
        <v>#REF!</v>
      </c>
      <c r="I413" s="5" t="e">
        <f>IF((COUNTIFS(#REF!,$C413,#REF!,I$1))&gt;=1,"SIM","")</f>
        <v>#REF!</v>
      </c>
      <c r="J413" s="5" t="e">
        <f>IF((COUNTIFS(#REF!,$C413,#REF!,J$1))&gt;=1,"SIM","")</f>
        <v>#REF!</v>
      </c>
      <c r="K413" s="5" t="e">
        <f>IF((COUNTIFS(#REF!,$C413,#REF!,K$1))&gt;=1,"SIM","")</f>
        <v>#REF!</v>
      </c>
      <c r="L413" s="5" t="e">
        <f>IF((COUNTIFS(#REF!,$C413,#REF!,L$1))&gt;=1,"SIM","")</f>
        <v>#REF!</v>
      </c>
      <c r="M413" s="5" t="e">
        <f>IF((COUNTIFS(#REF!,$C413,#REF!,M$1))&gt;=1,"SIM","")</f>
        <v>#REF!</v>
      </c>
      <c r="N413" s="5" t="e">
        <f>IF((COUNTIFS(#REF!,$C413,#REF!,N$1))&gt;=1,"SIM","")</f>
        <v>#REF!</v>
      </c>
      <c r="O413" s="5"/>
      <c r="P413" s="5" t="e">
        <f>IF((COUNTIFS(#REF!,$C413,#REF!,P$1))&gt;=1,"SIM","")</f>
        <v>#REF!</v>
      </c>
      <c r="Q413" s="5" t="e">
        <f>IF((COUNTIFS(#REF!,$C413,#REF!,Q$1))&gt;=1,"SIM","")</f>
        <v>#REF!</v>
      </c>
      <c r="R413" s="5" t="e">
        <f>IF((COUNTIFS(#REF!,$C413,#REF!,"*CARTA*"))&gt;=1,"SIM","")</f>
        <v>#REF!</v>
      </c>
      <c r="S413" s="5" t="e">
        <f>IF((COUNTIFS(#REF!,$C413,#REF!,"*CARTA NOTIFICAÇÃO/DEVOL*"))&gt;=1,"SIM","")</f>
        <v>#REF!</v>
      </c>
      <c r="T413" s="5" t="e">
        <f>IF((COUNTIFS(#REF!,$C413,#REF!,"*LIGAÇÃO ATIVA DEV PRIN/LOC*"))&gt;=1,"SIM","")</f>
        <v>#REF!</v>
      </c>
    </row>
    <row r="414" spans="1:20">
      <c r="A414" s="24" t="s">
        <v>2157</v>
      </c>
      <c r="B414" s="24" t="s">
        <v>1903</v>
      </c>
      <c r="C414" s="24" t="s">
        <v>1904</v>
      </c>
      <c r="D414" s="5" t="e">
        <f>IF((COUNTIFS(#REF!,$C414,#REF!,"*163*"))&gt;=1,"SIM","")</f>
        <v>#REF!</v>
      </c>
      <c r="E414" s="5" t="e">
        <f>IF((COUNTIFS(#REF!,$C414,#REF!,E$1))&gt;=1,"SIM","")</f>
        <v>#REF!</v>
      </c>
      <c r="F414" s="5" t="e">
        <f>IF((COUNTIFS(#REF!,$C414,#REF!,F$1))&gt;=1,"SIM","")</f>
        <v>#REF!</v>
      </c>
      <c r="G414" s="5" t="e">
        <f>IF((COUNTIFS(#REF!,$C414,#REF!,"*606*"))&gt;=1,"SIM","")</f>
        <v>#REF!</v>
      </c>
      <c r="H414" s="5" t="e">
        <f>IF((COUNTIFS(#REF!,$C414,#REF!,"*605*"))&gt;=1,"SIM","")</f>
        <v>#REF!</v>
      </c>
      <c r="I414" s="5" t="e">
        <f>IF((COUNTIFS(#REF!,$C414,#REF!,I$1))&gt;=1,"SIM","")</f>
        <v>#REF!</v>
      </c>
      <c r="J414" s="5" t="e">
        <f>IF((COUNTIFS(#REF!,$C414,#REF!,J$1))&gt;=1,"SIM","")</f>
        <v>#REF!</v>
      </c>
      <c r="K414" s="5" t="e">
        <f>IF((COUNTIFS(#REF!,$C414,#REF!,K$1))&gt;=1,"SIM","")</f>
        <v>#REF!</v>
      </c>
      <c r="L414" s="5" t="e">
        <f>IF((COUNTIFS(#REF!,$C414,#REF!,L$1))&gt;=1,"SIM","")</f>
        <v>#REF!</v>
      </c>
      <c r="M414" s="5" t="e">
        <f>IF((COUNTIFS(#REF!,$C414,#REF!,M$1))&gt;=1,"SIM","")</f>
        <v>#REF!</v>
      </c>
      <c r="N414" s="5" t="e">
        <f>IF((COUNTIFS(#REF!,$C414,#REF!,N$1))&gt;=1,"SIM","")</f>
        <v>#REF!</v>
      </c>
      <c r="O414" s="5"/>
      <c r="P414" s="5" t="e">
        <f>IF((COUNTIFS(#REF!,$C414,#REF!,P$1))&gt;=1,"SIM","")</f>
        <v>#REF!</v>
      </c>
      <c r="Q414" s="5" t="e">
        <f>IF((COUNTIFS(#REF!,$C414,#REF!,Q$1))&gt;=1,"SIM","")</f>
        <v>#REF!</v>
      </c>
      <c r="R414" s="5" t="e">
        <f>IF((COUNTIFS(#REF!,$C414,#REF!,"*CARTA*"))&gt;=1,"SIM","")</f>
        <v>#REF!</v>
      </c>
      <c r="S414" s="5" t="e">
        <f>IF((COUNTIFS(#REF!,$C414,#REF!,"*CARTA NOTIFICAÇÃO/DEVOL*"))&gt;=1,"SIM","")</f>
        <v>#REF!</v>
      </c>
      <c r="T414" s="5" t="e">
        <f>IF((COUNTIFS(#REF!,$C414,#REF!,"*LIGAÇÃO ATIVA DEV PRIN/LOC*"))&gt;=1,"SIM","")</f>
        <v>#REF!</v>
      </c>
    </row>
    <row r="415" spans="1:20">
      <c r="A415" s="24" t="s">
        <v>2153</v>
      </c>
      <c r="B415" s="24" t="s">
        <v>650</v>
      </c>
      <c r="C415" s="24" t="s">
        <v>651</v>
      </c>
      <c r="D415" s="5" t="e">
        <f>IF((COUNTIFS(#REF!,$C415,#REF!,"*163*"))&gt;=1,"SIM","")</f>
        <v>#REF!</v>
      </c>
      <c r="E415" s="5" t="e">
        <f>IF((COUNTIFS(#REF!,$C415,#REF!,E$1))&gt;=1,"SIM","")</f>
        <v>#REF!</v>
      </c>
      <c r="F415" s="5" t="e">
        <f>IF((COUNTIFS(#REF!,$C415,#REF!,F$1))&gt;=1,"SIM","")</f>
        <v>#REF!</v>
      </c>
      <c r="G415" s="5" t="e">
        <f>IF((COUNTIFS(#REF!,$C415,#REF!,"*606*"))&gt;=1,"SIM","")</f>
        <v>#REF!</v>
      </c>
      <c r="H415" s="5" t="e">
        <f>IF((COUNTIFS(#REF!,$C415,#REF!,"*605*"))&gt;=1,"SIM","")</f>
        <v>#REF!</v>
      </c>
      <c r="I415" s="5" t="e">
        <f>IF((COUNTIFS(#REF!,$C415,#REF!,I$1))&gt;=1,"SIM","")</f>
        <v>#REF!</v>
      </c>
      <c r="J415" s="5" t="e">
        <f>IF((COUNTIFS(#REF!,$C415,#REF!,J$1))&gt;=1,"SIM","")</f>
        <v>#REF!</v>
      </c>
      <c r="K415" s="5" t="e">
        <f>IF((COUNTIFS(#REF!,$C415,#REF!,K$1))&gt;=1,"SIM","")</f>
        <v>#REF!</v>
      </c>
      <c r="L415" s="5" t="e">
        <f>IF((COUNTIFS(#REF!,$C415,#REF!,L$1))&gt;=1,"SIM","")</f>
        <v>#REF!</v>
      </c>
      <c r="M415" s="5" t="e">
        <f>IF((COUNTIFS(#REF!,$C415,#REF!,M$1))&gt;=1,"SIM","")</f>
        <v>#REF!</v>
      </c>
      <c r="N415" s="5" t="e">
        <f>IF((COUNTIFS(#REF!,$C415,#REF!,N$1))&gt;=1,"SIM","")</f>
        <v>#REF!</v>
      </c>
      <c r="O415" s="5"/>
      <c r="P415" s="5" t="e">
        <f>IF((COUNTIFS(#REF!,$C415,#REF!,P$1))&gt;=1,"SIM","")</f>
        <v>#REF!</v>
      </c>
      <c r="Q415" s="5" t="e">
        <f>IF((COUNTIFS(#REF!,$C415,#REF!,Q$1))&gt;=1,"SIM","")</f>
        <v>#REF!</v>
      </c>
      <c r="R415" s="5" t="e">
        <f>IF((COUNTIFS(#REF!,$C415,#REF!,"*CARTA*"))&gt;=1,"SIM","")</f>
        <v>#REF!</v>
      </c>
      <c r="S415" s="5" t="e">
        <f>IF((COUNTIFS(#REF!,$C415,#REF!,"*CARTA NOTIFICAÇÃO/DEVOL*"))&gt;=1,"SIM","")</f>
        <v>#REF!</v>
      </c>
      <c r="T415" s="5" t="e">
        <f>IF((COUNTIFS(#REF!,$C415,#REF!,"*LIGAÇÃO ATIVA DEV PRIN/LOC*"))&gt;=1,"SIM","")</f>
        <v>#REF!</v>
      </c>
    </row>
    <row r="416" spans="1:20">
      <c r="A416" s="24" t="s">
        <v>2153</v>
      </c>
      <c r="B416" s="24" t="s">
        <v>732</v>
      </c>
      <c r="C416" s="24" t="s">
        <v>733</v>
      </c>
      <c r="D416" s="5" t="e">
        <f>IF((COUNTIFS(#REF!,$C416,#REF!,"*163*"))&gt;=1,"SIM","")</f>
        <v>#REF!</v>
      </c>
      <c r="E416" s="5" t="e">
        <f>IF((COUNTIFS(#REF!,$C416,#REF!,E$1))&gt;=1,"SIM","")</f>
        <v>#REF!</v>
      </c>
      <c r="F416" s="5" t="e">
        <f>IF((COUNTIFS(#REF!,$C416,#REF!,F$1))&gt;=1,"SIM","")</f>
        <v>#REF!</v>
      </c>
      <c r="G416" s="5" t="e">
        <f>IF((COUNTIFS(#REF!,$C416,#REF!,"*606*"))&gt;=1,"SIM","")</f>
        <v>#REF!</v>
      </c>
      <c r="H416" s="5" t="e">
        <f>IF((COUNTIFS(#REF!,$C416,#REF!,"*605*"))&gt;=1,"SIM","")</f>
        <v>#REF!</v>
      </c>
      <c r="I416" s="5" t="e">
        <f>IF((COUNTIFS(#REF!,$C416,#REF!,I$1))&gt;=1,"SIM","")</f>
        <v>#REF!</v>
      </c>
      <c r="J416" s="5" t="e">
        <f>IF((COUNTIFS(#REF!,$C416,#REF!,J$1))&gt;=1,"SIM","")</f>
        <v>#REF!</v>
      </c>
      <c r="K416" s="5" t="e">
        <f>IF((COUNTIFS(#REF!,$C416,#REF!,K$1))&gt;=1,"SIM","")</f>
        <v>#REF!</v>
      </c>
      <c r="L416" s="5" t="e">
        <f>IF((COUNTIFS(#REF!,$C416,#REF!,L$1))&gt;=1,"SIM","")</f>
        <v>#REF!</v>
      </c>
      <c r="M416" s="5" t="e">
        <f>IF((COUNTIFS(#REF!,$C416,#REF!,M$1))&gt;=1,"SIM","")</f>
        <v>#REF!</v>
      </c>
      <c r="N416" s="5" t="e">
        <f>IF((COUNTIFS(#REF!,$C416,#REF!,N$1))&gt;=1,"SIM","")</f>
        <v>#REF!</v>
      </c>
      <c r="O416" s="5"/>
      <c r="P416" s="5" t="e">
        <f>IF((COUNTIFS(#REF!,$C416,#REF!,P$1))&gt;=1,"SIM","")</f>
        <v>#REF!</v>
      </c>
      <c r="Q416" s="5" t="e">
        <f>IF((COUNTIFS(#REF!,$C416,#REF!,Q$1))&gt;=1,"SIM","")</f>
        <v>#REF!</v>
      </c>
      <c r="R416" s="5" t="e">
        <f>IF((COUNTIFS(#REF!,$C416,#REF!,"*CARTA*"))&gt;=1,"SIM","")</f>
        <v>#REF!</v>
      </c>
      <c r="S416" s="5" t="e">
        <f>IF((COUNTIFS(#REF!,$C416,#REF!,"*CARTA NOTIFICAÇÃO/DEVOL*"))&gt;=1,"SIM","")</f>
        <v>#REF!</v>
      </c>
      <c r="T416" s="5" t="e">
        <f>IF((COUNTIFS(#REF!,$C416,#REF!,"*LIGAÇÃO ATIVA DEV PRIN/LOC*"))&gt;=1,"SIM","")</f>
        <v>#REF!</v>
      </c>
    </row>
    <row r="417" spans="1:20">
      <c r="A417" s="24" t="s">
        <v>2159</v>
      </c>
      <c r="B417" s="24" t="s">
        <v>1063</v>
      </c>
      <c r="C417" s="24" t="s">
        <v>1064</v>
      </c>
      <c r="D417" s="5" t="e">
        <f>IF((COUNTIFS(#REF!,$C417,#REF!,"*163*"))&gt;=1,"SIM","")</f>
        <v>#REF!</v>
      </c>
      <c r="E417" s="5" t="e">
        <f>IF((COUNTIFS(#REF!,$C417,#REF!,E$1))&gt;=1,"SIM","")</f>
        <v>#REF!</v>
      </c>
      <c r="F417" s="5" t="e">
        <f>IF((COUNTIFS(#REF!,$C417,#REF!,F$1))&gt;=1,"SIM","")</f>
        <v>#REF!</v>
      </c>
      <c r="G417" s="5" t="e">
        <f>IF((COUNTIFS(#REF!,$C417,#REF!,"*606*"))&gt;=1,"SIM","")</f>
        <v>#REF!</v>
      </c>
      <c r="H417" s="5" t="e">
        <f>IF((COUNTIFS(#REF!,$C417,#REF!,"*605*"))&gt;=1,"SIM","")</f>
        <v>#REF!</v>
      </c>
      <c r="I417" s="5" t="e">
        <f>IF((COUNTIFS(#REF!,$C417,#REF!,I$1))&gt;=1,"SIM","")</f>
        <v>#REF!</v>
      </c>
      <c r="J417" s="5" t="e">
        <f>IF((COUNTIFS(#REF!,$C417,#REF!,J$1))&gt;=1,"SIM","")</f>
        <v>#REF!</v>
      </c>
      <c r="K417" s="5" t="e">
        <f>IF((COUNTIFS(#REF!,$C417,#REF!,K$1))&gt;=1,"SIM","")</f>
        <v>#REF!</v>
      </c>
      <c r="L417" s="5" t="e">
        <f>IF((COUNTIFS(#REF!,$C417,#REF!,L$1))&gt;=1,"SIM","")</f>
        <v>#REF!</v>
      </c>
      <c r="M417" s="5" t="e">
        <f>IF((COUNTIFS(#REF!,$C417,#REF!,M$1))&gt;=1,"SIM","")</f>
        <v>#REF!</v>
      </c>
      <c r="N417" s="5" t="e">
        <f>IF((COUNTIFS(#REF!,$C417,#REF!,N$1))&gt;=1,"SIM","")</f>
        <v>#REF!</v>
      </c>
      <c r="O417" s="5"/>
      <c r="P417" s="5" t="e">
        <f>IF((COUNTIFS(#REF!,$C417,#REF!,P$1))&gt;=1,"SIM","")</f>
        <v>#REF!</v>
      </c>
      <c r="Q417" s="5" t="e">
        <f>IF((COUNTIFS(#REF!,$C417,#REF!,Q$1))&gt;=1,"SIM","")</f>
        <v>#REF!</v>
      </c>
      <c r="R417" s="5" t="e">
        <f>IF((COUNTIFS(#REF!,$C417,#REF!,"*CARTA*"))&gt;=1,"SIM","")</f>
        <v>#REF!</v>
      </c>
      <c r="S417" s="5" t="e">
        <f>IF((COUNTIFS(#REF!,$C417,#REF!,"*CARTA NOTIFICAÇÃO/DEVOL*"))&gt;=1,"SIM","")</f>
        <v>#REF!</v>
      </c>
      <c r="T417" s="5" t="e">
        <f>IF((COUNTIFS(#REF!,$C417,#REF!,"*LIGAÇÃO ATIVA DEV PRIN/LOC*"))&gt;=1,"SIM","")</f>
        <v>#REF!</v>
      </c>
    </row>
    <row r="418" spans="1:20">
      <c r="A418" s="24" t="s">
        <v>2155</v>
      </c>
      <c r="B418" s="24" t="s">
        <v>2241</v>
      </c>
      <c r="C418" s="24" t="s">
        <v>2242</v>
      </c>
      <c r="D418" s="5" t="e">
        <f>IF((COUNTIFS(#REF!,$C418,#REF!,"*163*"))&gt;=1,"SIM","")</f>
        <v>#REF!</v>
      </c>
      <c r="E418" s="5" t="e">
        <f>IF((COUNTIFS(#REF!,$C418,#REF!,E$1))&gt;=1,"SIM","")</f>
        <v>#REF!</v>
      </c>
      <c r="F418" s="5" t="e">
        <f>IF((COUNTIFS(#REF!,$C418,#REF!,F$1))&gt;=1,"SIM","")</f>
        <v>#REF!</v>
      </c>
      <c r="G418" s="5" t="e">
        <f>IF((COUNTIFS(#REF!,$C418,#REF!,"*606*"))&gt;=1,"SIM","")</f>
        <v>#REF!</v>
      </c>
      <c r="H418" s="5" t="e">
        <f>IF((COUNTIFS(#REF!,$C418,#REF!,"*605*"))&gt;=1,"SIM","")</f>
        <v>#REF!</v>
      </c>
      <c r="I418" s="5" t="e">
        <f>IF((COUNTIFS(#REF!,$C418,#REF!,I$1))&gt;=1,"SIM","")</f>
        <v>#REF!</v>
      </c>
      <c r="J418" s="5" t="e">
        <f>IF((COUNTIFS(#REF!,$C418,#REF!,J$1))&gt;=1,"SIM","")</f>
        <v>#REF!</v>
      </c>
      <c r="K418" s="5" t="e">
        <f>IF((COUNTIFS(#REF!,$C418,#REF!,K$1))&gt;=1,"SIM","")</f>
        <v>#REF!</v>
      </c>
      <c r="L418" s="5" t="e">
        <f>IF((COUNTIFS(#REF!,$C418,#REF!,L$1))&gt;=1,"SIM","")</f>
        <v>#REF!</v>
      </c>
      <c r="M418" s="5" t="e">
        <f>IF((COUNTIFS(#REF!,$C418,#REF!,M$1))&gt;=1,"SIM","")</f>
        <v>#REF!</v>
      </c>
      <c r="N418" s="5" t="e">
        <f>IF((COUNTIFS(#REF!,$C418,#REF!,N$1))&gt;=1,"SIM","")</f>
        <v>#REF!</v>
      </c>
      <c r="O418" s="5"/>
      <c r="P418" s="5" t="e">
        <f>IF((COUNTIFS(#REF!,$C418,#REF!,P$1))&gt;=1,"SIM","")</f>
        <v>#REF!</v>
      </c>
      <c r="Q418" s="5" t="e">
        <f>IF((COUNTIFS(#REF!,$C418,#REF!,Q$1))&gt;=1,"SIM","")</f>
        <v>#REF!</v>
      </c>
      <c r="R418" s="5" t="e">
        <f>IF((COUNTIFS(#REF!,$C418,#REF!,"*CARTA*"))&gt;=1,"SIM","")</f>
        <v>#REF!</v>
      </c>
      <c r="S418" s="5" t="e">
        <f>IF((COUNTIFS(#REF!,$C418,#REF!,"*CARTA NOTIFICAÇÃO/DEVOL*"))&gt;=1,"SIM","")</f>
        <v>#REF!</v>
      </c>
      <c r="T418" s="5" t="e">
        <f>IF((COUNTIFS(#REF!,$C418,#REF!,"*LIGAÇÃO ATIVA DEV PRIN/LOC*"))&gt;=1,"SIM","")</f>
        <v>#REF!</v>
      </c>
    </row>
    <row r="419" spans="1:20">
      <c r="A419" s="24" t="s">
        <v>2153</v>
      </c>
      <c r="B419" s="24" t="s">
        <v>684</v>
      </c>
      <c r="C419" s="24" t="s">
        <v>685</v>
      </c>
      <c r="D419" s="5" t="e">
        <f>IF((COUNTIFS(#REF!,$C419,#REF!,"*163*"))&gt;=1,"SIM","")</f>
        <v>#REF!</v>
      </c>
      <c r="E419" s="5" t="e">
        <f>IF((COUNTIFS(#REF!,$C419,#REF!,E$1))&gt;=1,"SIM","")</f>
        <v>#REF!</v>
      </c>
      <c r="F419" s="5" t="e">
        <f>IF((COUNTIFS(#REF!,$C419,#REF!,F$1))&gt;=1,"SIM","")</f>
        <v>#REF!</v>
      </c>
      <c r="G419" s="5" t="e">
        <f>IF((COUNTIFS(#REF!,$C419,#REF!,"*606*"))&gt;=1,"SIM","")</f>
        <v>#REF!</v>
      </c>
      <c r="H419" s="5" t="e">
        <f>IF((COUNTIFS(#REF!,$C419,#REF!,"*605*"))&gt;=1,"SIM","")</f>
        <v>#REF!</v>
      </c>
      <c r="I419" s="5" t="e">
        <f>IF((COUNTIFS(#REF!,$C419,#REF!,I$1))&gt;=1,"SIM","")</f>
        <v>#REF!</v>
      </c>
      <c r="J419" s="5" t="e">
        <f>IF((COUNTIFS(#REF!,$C419,#REF!,J$1))&gt;=1,"SIM","")</f>
        <v>#REF!</v>
      </c>
      <c r="K419" s="5" t="e">
        <f>IF((COUNTIFS(#REF!,$C419,#REF!,K$1))&gt;=1,"SIM","")</f>
        <v>#REF!</v>
      </c>
      <c r="L419" s="5" t="e">
        <f>IF((COUNTIFS(#REF!,$C419,#REF!,L$1))&gt;=1,"SIM","")</f>
        <v>#REF!</v>
      </c>
      <c r="M419" s="5" t="e">
        <f>IF((COUNTIFS(#REF!,$C419,#REF!,M$1))&gt;=1,"SIM","")</f>
        <v>#REF!</v>
      </c>
      <c r="N419" s="5" t="e">
        <f>IF((COUNTIFS(#REF!,$C419,#REF!,N$1))&gt;=1,"SIM","")</f>
        <v>#REF!</v>
      </c>
      <c r="O419" s="5"/>
      <c r="P419" s="5" t="e">
        <f>IF((COUNTIFS(#REF!,$C419,#REF!,P$1))&gt;=1,"SIM","")</f>
        <v>#REF!</v>
      </c>
      <c r="Q419" s="5" t="e">
        <f>IF((COUNTIFS(#REF!,$C419,#REF!,Q$1))&gt;=1,"SIM","")</f>
        <v>#REF!</v>
      </c>
      <c r="R419" s="5" t="e">
        <f>IF((COUNTIFS(#REF!,$C419,#REF!,"*CARTA*"))&gt;=1,"SIM","")</f>
        <v>#REF!</v>
      </c>
      <c r="S419" s="5" t="e">
        <f>IF((COUNTIFS(#REF!,$C419,#REF!,"*CARTA NOTIFICAÇÃO/DEVOL*"))&gt;=1,"SIM","")</f>
        <v>#REF!</v>
      </c>
      <c r="T419" s="5" t="e">
        <f>IF((COUNTIFS(#REF!,$C419,#REF!,"*LIGAÇÃO ATIVA DEV PRIN/LOC*"))&gt;=1,"SIM","")</f>
        <v>#REF!</v>
      </c>
    </row>
    <row r="420" spans="1:20">
      <c r="A420" s="24" t="s">
        <v>2154</v>
      </c>
      <c r="B420" s="24" t="s">
        <v>116</v>
      </c>
      <c r="C420" s="24" t="s">
        <v>117</v>
      </c>
      <c r="D420" s="5" t="e">
        <f>IF((COUNTIFS(#REF!,$C420,#REF!,"*163*"))&gt;=1,"SIM","")</f>
        <v>#REF!</v>
      </c>
      <c r="E420" s="5" t="e">
        <f>IF((COUNTIFS(#REF!,$C420,#REF!,E$1))&gt;=1,"SIM","")</f>
        <v>#REF!</v>
      </c>
      <c r="F420" s="5" t="e">
        <f>IF((COUNTIFS(#REF!,$C420,#REF!,F$1))&gt;=1,"SIM","")</f>
        <v>#REF!</v>
      </c>
      <c r="G420" s="5" t="e">
        <f>IF((COUNTIFS(#REF!,$C420,#REF!,"*606*"))&gt;=1,"SIM","")</f>
        <v>#REF!</v>
      </c>
      <c r="H420" s="5" t="e">
        <f>IF((COUNTIFS(#REF!,$C420,#REF!,"*605*"))&gt;=1,"SIM","")</f>
        <v>#REF!</v>
      </c>
      <c r="I420" s="5" t="e">
        <f>IF((COUNTIFS(#REF!,$C420,#REF!,I$1))&gt;=1,"SIM","")</f>
        <v>#REF!</v>
      </c>
      <c r="J420" s="5" t="e">
        <f>IF((COUNTIFS(#REF!,$C420,#REF!,J$1))&gt;=1,"SIM","")</f>
        <v>#REF!</v>
      </c>
      <c r="K420" s="5" t="e">
        <f>IF((COUNTIFS(#REF!,$C420,#REF!,K$1))&gt;=1,"SIM","")</f>
        <v>#REF!</v>
      </c>
      <c r="L420" s="5" t="e">
        <f>IF((COUNTIFS(#REF!,$C420,#REF!,L$1))&gt;=1,"SIM","")</f>
        <v>#REF!</v>
      </c>
      <c r="M420" s="5" t="e">
        <f>IF((COUNTIFS(#REF!,$C420,#REF!,M$1))&gt;=1,"SIM","")</f>
        <v>#REF!</v>
      </c>
      <c r="N420" s="5" t="e">
        <f>IF((COUNTIFS(#REF!,$C420,#REF!,N$1))&gt;=1,"SIM","")</f>
        <v>#REF!</v>
      </c>
      <c r="O420" s="5"/>
      <c r="P420" s="5" t="e">
        <f>IF((COUNTIFS(#REF!,$C420,#REF!,P$1))&gt;=1,"SIM","")</f>
        <v>#REF!</v>
      </c>
      <c r="Q420" s="5" t="e">
        <f>IF((COUNTIFS(#REF!,$C420,#REF!,Q$1))&gt;=1,"SIM","")</f>
        <v>#REF!</v>
      </c>
      <c r="R420" s="5" t="e">
        <f>IF((COUNTIFS(#REF!,$C420,#REF!,"*CARTA*"))&gt;=1,"SIM","")</f>
        <v>#REF!</v>
      </c>
      <c r="S420" s="5" t="e">
        <f>IF((COUNTIFS(#REF!,$C420,#REF!,"*CARTA NOTIFICAÇÃO/DEVOL*"))&gt;=1,"SIM","")</f>
        <v>#REF!</v>
      </c>
      <c r="T420" s="5" t="e">
        <f>IF((COUNTIFS(#REF!,$C420,#REF!,"*LIGAÇÃO ATIVA DEV PRIN/LOC*"))&gt;=1,"SIM","")</f>
        <v>#REF!</v>
      </c>
    </row>
    <row r="421" spans="1:20">
      <c r="A421" s="24" t="s">
        <v>2153</v>
      </c>
      <c r="B421" s="24" t="s">
        <v>724</v>
      </c>
      <c r="C421" s="24" t="s">
        <v>725</v>
      </c>
      <c r="D421" s="5" t="e">
        <f>IF((COUNTIFS(#REF!,$C421,#REF!,"*163*"))&gt;=1,"SIM","")</f>
        <v>#REF!</v>
      </c>
      <c r="E421" s="5" t="e">
        <f>IF((COUNTIFS(#REF!,$C421,#REF!,E$1))&gt;=1,"SIM","")</f>
        <v>#REF!</v>
      </c>
      <c r="F421" s="5" t="e">
        <f>IF((COUNTIFS(#REF!,$C421,#REF!,F$1))&gt;=1,"SIM","")</f>
        <v>#REF!</v>
      </c>
      <c r="G421" s="5" t="e">
        <f>IF((COUNTIFS(#REF!,$C421,#REF!,"*606*"))&gt;=1,"SIM","")</f>
        <v>#REF!</v>
      </c>
      <c r="H421" s="5" t="e">
        <f>IF((COUNTIFS(#REF!,$C421,#REF!,"*605*"))&gt;=1,"SIM","")</f>
        <v>#REF!</v>
      </c>
      <c r="I421" s="5" t="e">
        <f>IF((COUNTIFS(#REF!,$C421,#REF!,I$1))&gt;=1,"SIM","")</f>
        <v>#REF!</v>
      </c>
      <c r="J421" s="5" t="e">
        <f>IF((COUNTIFS(#REF!,$C421,#REF!,J$1))&gt;=1,"SIM","")</f>
        <v>#REF!</v>
      </c>
      <c r="K421" s="5" t="e">
        <f>IF((COUNTIFS(#REF!,$C421,#REF!,K$1))&gt;=1,"SIM","")</f>
        <v>#REF!</v>
      </c>
      <c r="L421" s="5" t="e">
        <f>IF((COUNTIFS(#REF!,$C421,#REF!,L$1))&gt;=1,"SIM","")</f>
        <v>#REF!</v>
      </c>
      <c r="M421" s="5" t="e">
        <f>IF((COUNTIFS(#REF!,$C421,#REF!,M$1))&gt;=1,"SIM","")</f>
        <v>#REF!</v>
      </c>
      <c r="N421" s="5" t="e">
        <f>IF((COUNTIFS(#REF!,$C421,#REF!,N$1))&gt;=1,"SIM","")</f>
        <v>#REF!</v>
      </c>
      <c r="O421" s="5"/>
      <c r="P421" s="5" t="e">
        <f>IF((COUNTIFS(#REF!,$C421,#REF!,P$1))&gt;=1,"SIM","")</f>
        <v>#REF!</v>
      </c>
      <c r="Q421" s="5" t="e">
        <f>IF((COUNTIFS(#REF!,$C421,#REF!,Q$1))&gt;=1,"SIM","")</f>
        <v>#REF!</v>
      </c>
      <c r="R421" s="5" t="e">
        <f>IF((COUNTIFS(#REF!,$C421,#REF!,"*CARTA*"))&gt;=1,"SIM","")</f>
        <v>#REF!</v>
      </c>
      <c r="S421" s="5" t="e">
        <f>IF((COUNTIFS(#REF!,$C421,#REF!,"*CARTA NOTIFICAÇÃO/DEVOL*"))&gt;=1,"SIM","")</f>
        <v>#REF!</v>
      </c>
      <c r="T421" s="5" t="e">
        <f>IF((COUNTIFS(#REF!,$C421,#REF!,"*LIGAÇÃO ATIVA DEV PRIN/LOC*"))&gt;=1,"SIM","")</f>
        <v>#REF!</v>
      </c>
    </row>
    <row r="422" spans="1:20">
      <c r="A422" s="24" t="s">
        <v>2153</v>
      </c>
      <c r="B422" s="24" t="s">
        <v>213</v>
      </c>
      <c r="C422" s="24" t="s">
        <v>214</v>
      </c>
      <c r="D422" s="5" t="e">
        <f>IF((COUNTIFS(#REF!,$C422,#REF!,"*163*"))&gt;=1,"SIM","")</f>
        <v>#REF!</v>
      </c>
      <c r="E422" s="5" t="e">
        <f>IF((COUNTIFS(#REF!,$C422,#REF!,E$1))&gt;=1,"SIM","")</f>
        <v>#REF!</v>
      </c>
      <c r="F422" s="5" t="e">
        <f>IF((COUNTIFS(#REF!,$C422,#REF!,F$1))&gt;=1,"SIM","")</f>
        <v>#REF!</v>
      </c>
      <c r="G422" s="5" t="e">
        <f>IF((COUNTIFS(#REF!,$C422,#REF!,"*606*"))&gt;=1,"SIM","")</f>
        <v>#REF!</v>
      </c>
      <c r="H422" s="5" t="e">
        <f>IF((COUNTIFS(#REF!,$C422,#REF!,"*605*"))&gt;=1,"SIM","")</f>
        <v>#REF!</v>
      </c>
      <c r="I422" s="5" t="e">
        <f>IF((COUNTIFS(#REF!,$C422,#REF!,I$1))&gt;=1,"SIM","")</f>
        <v>#REF!</v>
      </c>
      <c r="J422" s="5" t="e">
        <f>IF((COUNTIFS(#REF!,$C422,#REF!,J$1))&gt;=1,"SIM","")</f>
        <v>#REF!</v>
      </c>
      <c r="K422" s="5" t="e">
        <f>IF((COUNTIFS(#REF!,$C422,#REF!,K$1))&gt;=1,"SIM","")</f>
        <v>#REF!</v>
      </c>
      <c r="L422" s="5" t="e">
        <f>IF((COUNTIFS(#REF!,$C422,#REF!,L$1))&gt;=1,"SIM","")</f>
        <v>#REF!</v>
      </c>
      <c r="M422" s="5" t="e">
        <f>IF((COUNTIFS(#REF!,$C422,#REF!,M$1))&gt;=1,"SIM","")</f>
        <v>#REF!</v>
      </c>
      <c r="N422" s="5" t="e">
        <f>IF((COUNTIFS(#REF!,$C422,#REF!,N$1))&gt;=1,"SIM","")</f>
        <v>#REF!</v>
      </c>
      <c r="O422" s="5"/>
      <c r="P422" s="5" t="e">
        <f>IF((COUNTIFS(#REF!,$C422,#REF!,P$1))&gt;=1,"SIM","")</f>
        <v>#REF!</v>
      </c>
      <c r="Q422" s="5" t="e">
        <f>IF((COUNTIFS(#REF!,$C422,#REF!,Q$1))&gt;=1,"SIM","")</f>
        <v>#REF!</v>
      </c>
      <c r="R422" s="5" t="e">
        <f>IF((COUNTIFS(#REF!,$C422,#REF!,"*CARTA*"))&gt;=1,"SIM","")</f>
        <v>#REF!</v>
      </c>
      <c r="S422" s="5" t="e">
        <f>IF((COUNTIFS(#REF!,$C422,#REF!,"*CARTA NOTIFICAÇÃO/DEVOL*"))&gt;=1,"SIM","")</f>
        <v>#REF!</v>
      </c>
      <c r="T422" s="5" t="e">
        <f>IF((COUNTIFS(#REF!,$C422,#REF!,"*LIGAÇÃO ATIVA DEV PRIN/LOC*"))&gt;=1,"SIM","")</f>
        <v>#REF!</v>
      </c>
    </row>
    <row r="423" spans="1:20">
      <c r="A423" s="24" t="s">
        <v>2159</v>
      </c>
      <c r="B423" s="24" t="s">
        <v>1710</v>
      </c>
      <c r="C423" s="24" t="s">
        <v>1711</v>
      </c>
      <c r="D423" s="5" t="e">
        <f>IF((COUNTIFS(#REF!,$C423,#REF!,"*163*"))&gt;=1,"SIM","")</f>
        <v>#REF!</v>
      </c>
      <c r="E423" s="5" t="e">
        <f>IF((COUNTIFS(#REF!,$C423,#REF!,E$1))&gt;=1,"SIM","")</f>
        <v>#REF!</v>
      </c>
      <c r="F423" s="5" t="e">
        <f>IF((COUNTIFS(#REF!,$C423,#REF!,F$1))&gt;=1,"SIM","")</f>
        <v>#REF!</v>
      </c>
      <c r="G423" s="5" t="e">
        <f>IF((COUNTIFS(#REF!,$C423,#REF!,"*606*"))&gt;=1,"SIM","")</f>
        <v>#REF!</v>
      </c>
      <c r="H423" s="5" t="e">
        <f>IF((COUNTIFS(#REF!,$C423,#REF!,"*605*"))&gt;=1,"SIM","")</f>
        <v>#REF!</v>
      </c>
      <c r="I423" s="5" t="e">
        <f>IF((COUNTIFS(#REF!,$C423,#REF!,I$1))&gt;=1,"SIM","")</f>
        <v>#REF!</v>
      </c>
      <c r="J423" s="5" t="e">
        <f>IF((COUNTIFS(#REF!,$C423,#REF!,J$1))&gt;=1,"SIM","")</f>
        <v>#REF!</v>
      </c>
      <c r="K423" s="5" t="e">
        <f>IF((COUNTIFS(#REF!,$C423,#REF!,K$1))&gt;=1,"SIM","")</f>
        <v>#REF!</v>
      </c>
      <c r="L423" s="5" t="e">
        <f>IF((COUNTIFS(#REF!,$C423,#REF!,L$1))&gt;=1,"SIM","")</f>
        <v>#REF!</v>
      </c>
      <c r="M423" s="5" t="e">
        <f>IF((COUNTIFS(#REF!,$C423,#REF!,M$1))&gt;=1,"SIM","")</f>
        <v>#REF!</v>
      </c>
      <c r="N423" s="5" t="e">
        <f>IF((COUNTIFS(#REF!,$C423,#REF!,N$1))&gt;=1,"SIM","")</f>
        <v>#REF!</v>
      </c>
      <c r="O423" s="5"/>
      <c r="P423" s="5" t="e">
        <f>IF((COUNTIFS(#REF!,$C423,#REF!,P$1))&gt;=1,"SIM","")</f>
        <v>#REF!</v>
      </c>
      <c r="Q423" s="5" t="e">
        <f>IF((COUNTIFS(#REF!,$C423,#REF!,Q$1))&gt;=1,"SIM","")</f>
        <v>#REF!</v>
      </c>
      <c r="R423" s="5" t="e">
        <f>IF((COUNTIFS(#REF!,$C423,#REF!,"*CARTA*"))&gt;=1,"SIM","")</f>
        <v>#REF!</v>
      </c>
      <c r="S423" s="5" t="e">
        <f>IF((COUNTIFS(#REF!,$C423,#REF!,"*CARTA NOTIFICAÇÃO/DEVOL*"))&gt;=1,"SIM","")</f>
        <v>#REF!</v>
      </c>
      <c r="T423" s="5" t="e">
        <f>IF((COUNTIFS(#REF!,$C423,#REF!,"*LIGAÇÃO ATIVA DEV PRIN/LOC*"))&gt;=1,"SIM","")</f>
        <v>#REF!</v>
      </c>
    </row>
    <row r="424" spans="1:20">
      <c r="A424" s="24" t="s">
        <v>2153</v>
      </c>
      <c r="B424" s="24" t="s">
        <v>680</v>
      </c>
      <c r="C424" s="24" t="s">
        <v>681</v>
      </c>
      <c r="D424" s="5" t="e">
        <f>IF((COUNTIFS(#REF!,$C424,#REF!,"*163*"))&gt;=1,"SIM","")</f>
        <v>#REF!</v>
      </c>
      <c r="E424" s="5" t="e">
        <f>IF((COUNTIFS(#REF!,$C424,#REF!,E$1))&gt;=1,"SIM","")</f>
        <v>#REF!</v>
      </c>
      <c r="F424" s="5" t="e">
        <f>IF((COUNTIFS(#REF!,$C424,#REF!,F$1))&gt;=1,"SIM","")</f>
        <v>#REF!</v>
      </c>
      <c r="G424" s="5" t="e">
        <f>IF((COUNTIFS(#REF!,$C424,#REF!,"*606*"))&gt;=1,"SIM","")</f>
        <v>#REF!</v>
      </c>
      <c r="H424" s="5" t="e">
        <f>IF((COUNTIFS(#REF!,$C424,#REF!,"*605*"))&gt;=1,"SIM","")</f>
        <v>#REF!</v>
      </c>
      <c r="I424" s="5" t="e">
        <f>IF((COUNTIFS(#REF!,$C424,#REF!,I$1))&gt;=1,"SIM","")</f>
        <v>#REF!</v>
      </c>
      <c r="J424" s="5" t="e">
        <f>IF((COUNTIFS(#REF!,$C424,#REF!,J$1))&gt;=1,"SIM","")</f>
        <v>#REF!</v>
      </c>
      <c r="K424" s="5" t="e">
        <f>IF((COUNTIFS(#REF!,$C424,#REF!,K$1))&gt;=1,"SIM","")</f>
        <v>#REF!</v>
      </c>
      <c r="L424" s="5" t="e">
        <f>IF((COUNTIFS(#REF!,$C424,#REF!,L$1))&gt;=1,"SIM","")</f>
        <v>#REF!</v>
      </c>
      <c r="M424" s="5" t="e">
        <f>IF((COUNTIFS(#REF!,$C424,#REF!,M$1))&gt;=1,"SIM","")</f>
        <v>#REF!</v>
      </c>
      <c r="N424" s="5" t="e">
        <f>IF((COUNTIFS(#REF!,$C424,#REF!,N$1))&gt;=1,"SIM","")</f>
        <v>#REF!</v>
      </c>
      <c r="O424" s="5"/>
      <c r="P424" s="5" t="e">
        <f>IF((COUNTIFS(#REF!,$C424,#REF!,P$1))&gt;=1,"SIM","")</f>
        <v>#REF!</v>
      </c>
      <c r="Q424" s="5" t="e">
        <f>IF((COUNTIFS(#REF!,$C424,#REF!,Q$1))&gt;=1,"SIM","")</f>
        <v>#REF!</v>
      </c>
      <c r="R424" s="5" t="e">
        <f>IF((COUNTIFS(#REF!,$C424,#REF!,"*CARTA*"))&gt;=1,"SIM","")</f>
        <v>#REF!</v>
      </c>
      <c r="S424" s="5" t="e">
        <f>IF((COUNTIFS(#REF!,$C424,#REF!,"*CARTA NOTIFICAÇÃO/DEVOL*"))&gt;=1,"SIM","")</f>
        <v>#REF!</v>
      </c>
      <c r="T424" s="5" t="e">
        <f>IF((COUNTIFS(#REF!,$C424,#REF!,"*LIGAÇÃO ATIVA DEV PRIN/LOC*"))&gt;=1,"SIM","")</f>
        <v>#REF!</v>
      </c>
    </row>
    <row r="425" spans="1:20">
      <c r="A425" s="24" t="s">
        <v>2157</v>
      </c>
      <c r="B425" s="24" t="s">
        <v>1256</v>
      </c>
      <c r="C425" s="24" t="s">
        <v>1257</v>
      </c>
      <c r="D425" s="5" t="e">
        <f>IF((COUNTIFS(#REF!,$C425,#REF!,"*163*"))&gt;=1,"SIM","")</f>
        <v>#REF!</v>
      </c>
      <c r="E425" s="5" t="e">
        <f>IF((COUNTIFS(#REF!,$C425,#REF!,E$1))&gt;=1,"SIM","")</f>
        <v>#REF!</v>
      </c>
      <c r="F425" s="5" t="e">
        <f>IF((COUNTIFS(#REF!,$C425,#REF!,F$1))&gt;=1,"SIM","")</f>
        <v>#REF!</v>
      </c>
      <c r="G425" s="5" t="e">
        <f>IF((COUNTIFS(#REF!,$C425,#REF!,"*606*"))&gt;=1,"SIM","")</f>
        <v>#REF!</v>
      </c>
      <c r="H425" s="5" t="e">
        <f>IF((COUNTIFS(#REF!,$C425,#REF!,"*605*"))&gt;=1,"SIM","")</f>
        <v>#REF!</v>
      </c>
      <c r="I425" s="5" t="e">
        <f>IF((COUNTIFS(#REF!,$C425,#REF!,I$1))&gt;=1,"SIM","")</f>
        <v>#REF!</v>
      </c>
      <c r="J425" s="5" t="e">
        <f>IF((COUNTIFS(#REF!,$C425,#REF!,J$1))&gt;=1,"SIM","")</f>
        <v>#REF!</v>
      </c>
      <c r="K425" s="5" t="e">
        <f>IF((COUNTIFS(#REF!,$C425,#REF!,K$1))&gt;=1,"SIM","")</f>
        <v>#REF!</v>
      </c>
      <c r="L425" s="5" t="e">
        <f>IF((COUNTIFS(#REF!,$C425,#REF!,L$1))&gt;=1,"SIM","")</f>
        <v>#REF!</v>
      </c>
      <c r="M425" s="5" t="e">
        <f>IF((COUNTIFS(#REF!,$C425,#REF!,M$1))&gt;=1,"SIM","")</f>
        <v>#REF!</v>
      </c>
      <c r="N425" s="5" t="e">
        <f>IF((COUNTIFS(#REF!,$C425,#REF!,N$1))&gt;=1,"SIM","")</f>
        <v>#REF!</v>
      </c>
      <c r="O425" s="5"/>
      <c r="P425" s="5" t="e">
        <f>IF((COUNTIFS(#REF!,$C425,#REF!,P$1))&gt;=1,"SIM","")</f>
        <v>#REF!</v>
      </c>
      <c r="Q425" s="5" t="e">
        <f>IF((COUNTIFS(#REF!,$C425,#REF!,Q$1))&gt;=1,"SIM","")</f>
        <v>#REF!</v>
      </c>
      <c r="R425" s="5" t="e">
        <f>IF((COUNTIFS(#REF!,$C425,#REF!,"*CARTA*"))&gt;=1,"SIM","")</f>
        <v>#REF!</v>
      </c>
      <c r="S425" s="5" t="e">
        <f>IF((COUNTIFS(#REF!,$C425,#REF!,"*CARTA NOTIFICAÇÃO/DEVOL*"))&gt;=1,"SIM","")</f>
        <v>#REF!</v>
      </c>
      <c r="T425" s="5" t="e">
        <f>IF((COUNTIFS(#REF!,$C425,#REF!,"*LIGAÇÃO ATIVA DEV PRIN/LOC*"))&gt;=1,"SIM","")</f>
        <v>#REF!</v>
      </c>
    </row>
    <row r="426" spans="1:20">
      <c r="A426" s="24" t="s">
        <v>2153</v>
      </c>
      <c r="B426" s="24" t="s">
        <v>569</v>
      </c>
      <c r="C426" s="24" t="s">
        <v>570</v>
      </c>
      <c r="D426" s="5" t="e">
        <f>IF((COUNTIFS(#REF!,$C426,#REF!,"*163*"))&gt;=1,"SIM","")</f>
        <v>#REF!</v>
      </c>
      <c r="E426" s="5" t="e">
        <f>IF((COUNTIFS(#REF!,$C426,#REF!,E$1))&gt;=1,"SIM","")</f>
        <v>#REF!</v>
      </c>
      <c r="F426" s="5" t="e">
        <f>IF((COUNTIFS(#REF!,$C426,#REF!,F$1))&gt;=1,"SIM","")</f>
        <v>#REF!</v>
      </c>
      <c r="G426" s="5" t="e">
        <f>IF((COUNTIFS(#REF!,$C426,#REF!,"*606*"))&gt;=1,"SIM","")</f>
        <v>#REF!</v>
      </c>
      <c r="H426" s="5" t="e">
        <f>IF((COUNTIFS(#REF!,$C426,#REF!,"*605*"))&gt;=1,"SIM","")</f>
        <v>#REF!</v>
      </c>
      <c r="I426" s="5" t="e">
        <f>IF((COUNTIFS(#REF!,$C426,#REF!,I$1))&gt;=1,"SIM","")</f>
        <v>#REF!</v>
      </c>
      <c r="J426" s="5" t="e">
        <f>IF((COUNTIFS(#REF!,$C426,#REF!,J$1))&gt;=1,"SIM","")</f>
        <v>#REF!</v>
      </c>
      <c r="K426" s="5" t="e">
        <f>IF((COUNTIFS(#REF!,$C426,#REF!,K$1))&gt;=1,"SIM","")</f>
        <v>#REF!</v>
      </c>
      <c r="L426" s="5" t="e">
        <f>IF((COUNTIFS(#REF!,$C426,#REF!,L$1))&gt;=1,"SIM","")</f>
        <v>#REF!</v>
      </c>
      <c r="M426" s="5" t="e">
        <f>IF((COUNTIFS(#REF!,$C426,#REF!,M$1))&gt;=1,"SIM","")</f>
        <v>#REF!</v>
      </c>
      <c r="N426" s="5" t="e">
        <f>IF((COUNTIFS(#REF!,$C426,#REF!,N$1))&gt;=1,"SIM","")</f>
        <v>#REF!</v>
      </c>
      <c r="O426" s="5"/>
      <c r="P426" s="5" t="e">
        <f>IF((COUNTIFS(#REF!,$C426,#REF!,P$1))&gt;=1,"SIM","")</f>
        <v>#REF!</v>
      </c>
      <c r="Q426" s="5" t="e">
        <f>IF((COUNTIFS(#REF!,$C426,#REF!,Q$1))&gt;=1,"SIM","")</f>
        <v>#REF!</v>
      </c>
      <c r="R426" s="5" t="e">
        <f>IF((COUNTIFS(#REF!,$C426,#REF!,"*CARTA*"))&gt;=1,"SIM","")</f>
        <v>#REF!</v>
      </c>
      <c r="S426" s="5" t="e">
        <f>IF((COUNTIFS(#REF!,$C426,#REF!,"*CARTA NOTIFICAÇÃO/DEVOL*"))&gt;=1,"SIM","")</f>
        <v>#REF!</v>
      </c>
      <c r="T426" s="5" t="e">
        <f>IF((COUNTIFS(#REF!,$C426,#REF!,"*LIGAÇÃO ATIVA DEV PRIN/LOC*"))&gt;=1,"SIM","")</f>
        <v>#REF!</v>
      </c>
    </row>
    <row r="427" spans="1:20">
      <c r="A427" s="24" t="s">
        <v>2158</v>
      </c>
      <c r="B427" s="24" t="s">
        <v>2076</v>
      </c>
      <c r="C427" s="24" t="s">
        <v>2077</v>
      </c>
      <c r="D427" s="5" t="e">
        <f>IF((COUNTIFS(#REF!,$C427,#REF!,"*163*"))&gt;=1,"SIM","")</f>
        <v>#REF!</v>
      </c>
      <c r="E427" s="5" t="e">
        <f>IF((COUNTIFS(#REF!,$C427,#REF!,E$1))&gt;=1,"SIM","")</f>
        <v>#REF!</v>
      </c>
      <c r="F427" s="5" t="e">
        <f>IF((COUNTIFS(#REF!,$C427,#REF!,F$1))&gt;=1,"SIM","")</f>
        <v>#REF!</v>
      </c>
      <c r="G427" s="5" t="e">
        <f>IF((COUNTIFS(#REF!,$C427,#REF!,"*606*"))&gt;=1,"SIM","")</f>
        <v>#REF!</v>
      </c>
      <c r="H427" s="5" t="e">
        <f>IF((COUNTIFS(#REF!,$C427,#REF!,"*605*"))&gt;=1,"SIM","")</f>
        <v>#REF!</v>
      </c>
      <c r="I427" s="5" t="e">
        <f>IF((COUNTIFS(#REF!,$C427,#REF!,I$1))&gt;=1,"SIM","")</f>
        <v>#REF!</v>
      </c>
      <c r="J427" s="5" t="e">
        <f>IF((COUNTIFS(#REF!,$C427,#REF!,J$1))&gt;=1,"SIM","")</f>
        <v>#REF!</v>
      </c>
      <c r="K427" s="5" t="e">
        <f>IF((COUNTIFS(#REF!,$C427,#REF!,K$1))&gt;=1,"SIM","")</f>
        <v>#REF!</v>
      </c>
      <c r="L427" s="5" t="e">
        <f>IF((COUNTIFS(#REF!,$C427,#REF!,L$1))&gt;=1,"SIM","")</f>
        <v>#REF!</v>
      </c>
      <c r="M427" s="5" t="e">
        <f>IF((COUNTIFS(#REF!,$C427,#REF!,M$1))&gt;=1,"SIM","")</f>
        <v>#REF!</v>
      </c>
      <c r="N427" s="5" t="e">
        <f>IF((COUNTIFS(#REF!,$C427,#REF!,N$1))&gt;=1,"SIM","")</f>
        <v>#REF!</v>
      </c>
      <c r="O427" s="5"/>
      <c r="P427" s="5" t="e">
        <f>IF((COUNTIFS(#REF!,$C427,#REF!,P$1))&gt;=1,"SIM","")</f>
        <v>#REF!</v>
      </c>
      <c r="Q427" s="5" t="e">
        <f>IF((COUNTIFS(#REF!,$C427,#REF!,Q$1))&gt;=1,"SIM","")</f>
        <v>#REF!</v>
      </c>
      <c r="R427" s="5" t="e">
        <f>IF((COUNTIFS(#REF!,$C427,#REF!,"*CARTA*"))&gt;=1,"SIM","")</f>
        <v>#REF!</v>
      </c>
      <c r="S427" s="5" t="e">
        <f>IF((COUNTIFS(#REF!,$C427,#REF!,"*CARTA NOTIFICAÇÃO/DEVOL*"))&gt;=1,"SIM","")</f>
        <v>#REF!</v>
      </c>
      <c r="T427" s="5" t="e">
        <f>IF((COUNTIFS(#REF!,$C427,#REF!,"*LIGAÇÃO ATIVA DEV PRIN/LOC*"))&gt;=1,"SIM","")</f>
        <v>#REF!</v>
      </c>
    </row>
    <row r="428" spans="1:20">
      <c r="A428" s="24" t="s">
        <v>2153</v>
      </c>
      <c r="B428" s="24" t="s">
        <v>355</v>
      </c>
      <c r="C428" s="24" t="s">
        <v>356</v>
      </c>
      <c r="D428" s="5" t="e">
        <f>IF((COUNTIFS(#REF!,$C428,#REF!,"*163*"))&gt;=1,"SIM","")</f>
        <v>#REF!</v>
      </c>
      <c r="E428" s="5" t="e">
        <f>IF((COUNTIFS(#REF!,$C428,#REF!,E$1))&gt;=1,"SIM","")</f>
        <v>#REF!</v>
      </c>
      <c r="F428" s="5" t="e">
        <f>IF((COUNTIFS(#REF!,$C428,#REF!,F$1))&gt;=1,"SIM","")</f>
        <v>#REF!</v>
      </c>
      <c r="G428" s="5" t="e">
        <f>IF((COUNTIFS(#REF!,$C428,#REF!,"*606*"))&gt;=1,"SIM","")</f>
        <v>#REF!</v>
      </c>
      <c r="H428" s="5" t="e">
        <f>IF((COUNTIFS(#REF!,$C428,#REF!,"*605*"))&gt;=1,"SIM","")</f>
        <v>#REF!</v>
      </c>
      <c r="I428" s="5" t="e">
        <f>IF((COUNTIFS(#REF!,$C428,#REF!,I$1))&gt;=1,"SIM","")</f>
        <v>#REF!</v>
      </c>
      <c r="J428" s="5" t="e">
        <f>IF((COUNTIFS(#REF!,$C428,#REF!,J$1))&gt;=1,"SIM","")</f>
        <v>#REF!</v>
      </c>
      <c r="K428" s="5" t="e">
        <f>IF((COUNTIFS(#REF!,$C428,#REF!,K$1))&gt;=1,"SIM","")</f>
        <v>#REF!</v>
      </c>
      <c r="L428" s="5" t="e">
        <f>IF((COUNTIFS(#REF!,$C428,#REF!,L$1))&gt;=1,"SIM","")</f>
        <v>#REF!</v>
      </c>
      <c r="M428" s="5" t="e">
        <f>IF((COUNTIFS(#REF!,$C428,#REF!,M$1))&gt;=1,"SIM","")</f>
        <v>#REF!</v>
      </c>
      <c r="N428" s="5" t="e">
        <f>IF((COUNTIFS(#REF!,$C428,#REF!,N$1))&gt;=1,"SIM","")</f>
        <v>#REF!</v>
      </c>
      <c r="O428" s="5"/>
      <c r="P428" s="5" t="e">
        <f>IF((COUNTIFS(#REF!,$C428,#REF!,P$1))&gt;=1,"SIM","")</f>
        <v>#REF!</v>
      </c>
      <c r="Q428" s="5" t="e">
        <f>IF((COUNTIFS(#REF!,$C428,#REF!,Q$1))&gt;=1,"SIM","")</f>
        <v>#REF!</v>
      </c>
      <c r="R428" s="5" t="e">
        <f>IF((COUNTIFS(#REF!,$C428,#REF!,"*CARTA*"))&gt;=1,"SIM","")</f>
        <v>#REF!</v>
      </c>
      <c r="S428" s="5" t="e">
        <f>IF((COUNTIFS(#REF!,$C428,#REF!,"*CARTA NOTIFICAÇÃO/DEVOL*"))&gt;=1,"SIM","")</f>
        <v>#REF!</v>
      </c>
      <c r="T428" s="5" t="e">
        <f>IF((COUNTIFS(#REF!,$C428,#REF!,"*LIGAÇÃO ATIVA DEV PRIN/LOC*"))&gt;=1,"SIM","")</f>
        <v>#REF!</v>
      </c>
    </row>
    <row r="429" spans="1:20">
      <c r="A429" s="24" t="s">
        <v>2159</v>
      </c>
      <c r="B429" s="24" t="s">
        <v>1888</v>
      </c>
      <c r="C429" s="24" t="s">
        <v>1889</v>
      </c>
      <c r="D429" s="5" t="e">
        <f>IF((COUNTIFS(#REF!,$C429,#REF!,"*163*"))&gt;=1,"SIM","")</f>
        <v>#REF!</v>
      </c>
      <c r="E429" s="5" t="e">
        <f>IF((COUNTIFS(#REF!,$C429,#REF!,E$1))&gt;=1,"SIM","")</f>
        <v>#REF!</v>
      </c>
      <c r="F429" s="5" t="e">
        <f>IF((COUNTIFS(#REF!,$C429,#REF!,F$1))&gt;=1,"SIM","")</f>
        <v>#REF!</v>
      </c>
      <c r="G429" s="5" t="e">
        <f>IF((COUNTIFS(#REF!,$C429,#REF!,"*606*"))&gt;=1,"SIM","")</f>
        <v>#REF!</v>
      </c>
      <c r="H429" s="5" t="e">
        <f>IF((COUNTIFS(#REF!,$C429,#REF!,"*605*"))&gt;=1,"SIM","")</f>
        <v>#REF!</v>
      </c>
      <c r="I429" s="5" t="e">
        <f>IF((COUNTIFS(#REF!,$C429,#REF!,I$1))&gt;=1,"SIM","")</f>
        <v>#REF!</v>
      </c>
      <c r="J429" s="5" t="e">
        <f>IF((COUNTIFS(#REF!,$C429,#REF!,J$1))&gt;=1,"SIM","")</f>
        <v>#REF!</v>
      </c>
      <c r="K429" s="5" t="e">
        <f>IF((COUNTIFS(#REF!,$C429,#REF!,K$1))&gt;=1,"SIM","")</f>
        <v>#REF!</v>
      </c>
      <c r="L429" s="5" t="e">
        <f>IF((COUNTIFS(#REF!,$C429,#REF!,L$1))&gt;=1,"SIM","")</f>
        <v>#REF!</v>
      </c>
      <c r="M429" s="5" t="e">
        <f>IF((COUNTIFS(#REF!,$C429,#REF!,M$1))&gt;=1,"SIM","")</f>
        <v>#REF!</v>
      </c>
      <c r="N429" s="5" t="e">
        <f>IF((COUNTIFS(#REF!,$C429,#REF!,N$1))&gt;=1,"SIM","")</f>
        <v>#REF!</v>
      </c>
      <c r="O429" s="5"/>
      <c r="P429" s="5" t="e">
        <f>IF((COUNTIFS(#REF!,$C429,#REF!,P$1))&gt;=1,"SIM","")</f>
        <v>#REF!</v>
      </c>
      <c r="Q429" s="5" t="e">
        <f>IF((COUNTIFS(#REF!,$C429,#REF!,Q$1))&gt;=1,"SIM","")</f>
        <v>#REF!</v>
      </c>
      <c r="R429" s="5" t="e">
        <f>IF((COUNTIFS(#REF!,$C429,#REF!,"*CARTA*"))&gt;=1,"SIM","")</f>
        <v>#REF!</v>
      </c>
      <c r="S429" s="5" t="e">
        <f>IF((COUNTIFS(#REF!,$C429,#REF!,"*CARTA NOTIFICAÇÃO/DEVOL*"))&gt;=1,"SIM","")</f>
        <v>#REF!</v>
      </c>
      <c r="T429" s="5" t="e">
        <f>IF((COUNTIFS(#REF!,$C429,#REF!,"*LIGAÇÃO ATIVA DEV PRIN/LOC*"))&gt;=1,"SIM","")</f>
        <v>#REF!</v>
      </c>
    </row>
    <row r="430" spans="1:20">
      <c r="A430" s="24" t="s">
        <v>2153</v>
      </c>
      <c r="B430" s="24" t="s">
        <v>403</v>
      </c>
      <c r="C430" s="24" t="s">
        <v>2286</v>
      </c>
      <c r="D430" s="5" t="e">
        <f>IF((COUNTIFS(#REF!,$C430,#REF!,"*163*"))&gt;=1,"SIM","")</f>
        <v>#REF!</v>
      </c>
      <c r="E430" s="5" t="e">
        <f>IF((COUNTIFS(#REF!,$C430,#REF!,E$1))&gt;=1,"SIM","")</f>
        <v>#REF!</v>
      </c>
      <c r="F430" s="5" t="e">
        <f>IF((COUNTIFS(#REF!,$C430,#REF!,F$1))&gt;=1,"SIM","")</f>
        <v>#REF!</v>
      </c>
      <c r="G430" s="5" t="e">
        <f>IF((COUNTIFS(#REF!,$C430,#REF!,"*606*"))&gt;=1,"SIM","")</f>
        <v>#REF!</v>
      </c>
      <c r="H430" s="5" t="e">
        <f>IF((COUNTIFS(#REF!,$C430,#REF!,"*605*"))&gt;=1,"SIM","")</f>
        <v>#REF!</v>
      </c>
      <c r="I430" s="5" t="e">
        <f>IF((COUNTIFS(#REF!,$C430,#REF!,I$1))&gt;=1,"SIM","")</f>
        <v>#REF!</v>
      </c>
      <c r="J430" s="5" t="e">
        <f>IF((COUNTIFS(#REF!,$C430,#REF!,J$1))&gt;=1,"SIM","")</f>
        <v>#REF!</v>
      </c>
      <c r="K430" s="5" t="e">
        <f>IF((COUNTIFS(#REF!,$C430,#REF!,K$1))&gt;=1,"SIM","")</f>
        <v>#REF!</v>
      </c>
      <c r="L430" s="5" t="e">
        <f>IF((COUNTIFS(#REF!,$C430,#REF!,L$1))&gt;=1,"SIM","")</f>
        <v>#REF!</v>
      </c>
      <c r="M430" s="5" t="e">
        <f>IF((COUNTIFS(#REF!,$C430,#REF!,M$1))&gt;=1,"SIM","")</f>
        <v>#REF!</v>
      </c>
      <c r="N430" s="5" t="e">
        <f>IF((COUNTIFS(#REF!,$C430,#REF!,N$1))&gt;=1,"SIM","")</f>
        <v>#REF!</v>
      </c>
      <c r="O430" s="5"/>
      <c r="P430" s="5" t="e">
        <f>IF((COUNTIFS(#REF!,$C430,#REF!,P$1))&gt;=1,"SIM","")</f>
        <v>#REF!</v>
      </c>
      <c r="Q430" s="5" t="e">
        <f>IF((COUNTIFS(#REF!,$C430,#REF!,Q$1))&gt;=1,"SIM","")</f>
        <v>#REF!</v>
      </c>
      <c r="R430" s="5" t="e">
        <f>IF((COUNTIFS(#REF!,$C430,#REF!,"*CARTA*"))&gt;=1,"SIM","")</f>
        <v>#REF!</v>
      </c>
      <c r="S430" s="5" t="e">
        <f>IF((COUNTIFS(#REF!,$C430,#REF!,"*CARTA NOTIFICAÇÃO/DEVOL*"))&gt;=1,"SIM","")</f>
        <v>#REF!</v>
      </c>
      <c r="T430" s="5" t="e">
        <f>IF((COUNTIFS(#REF!,$C430,#REF!,"*LIGAÇÃO ATIVA DEV PRIN/LOC*"))&gt;=1,"SIM","")</f>
        <v>#REF!</v>
      </c>
    </row>
    <row r="431" spans="1:20">
      <c r="A431" s="24" t="s">
        <v>2158</v>
      </c>
      <c r="B431" s="24" t="s">
        <v>1341</v>
      </c>
      <c r="C431" s="24" t="s">
        <v>1342</v>
      </c>
      <c r="D431" s="5" t="e">
        <f>IF((COUNTIFS(#REF!,$C431,#REF!,"*163*"))&gt;=1,"SIM","")</f>
        <v>#REF!</v>
      </c>
      <c r="E431" s="5" t="e">
        <f>IF((COUNTIFS(#REF!,$C431,#REF!,E$1))&gt;=1,"SIM","")</f>
        <v>#REF!</v>
      </c>
      <c r="F431" s="5" t="e">
        <f>IF((COUNTIFS(#REF!,$C431,#REF!,F$1))&gt;=1,"SIM","")</f>
        <v>#REF!</v>
      </c>
      <c r="G431" s="5" t="e">
        <f>IF((COUNTIFS(#REF!,$C431,#REF!,"*606*"))&gt;=1,"SIM","")</f>
        <v>#REF!</v>
      </c>
      <c r="H431" s="5" t="e">
        <f>IF((COUNTIFS(#REF!,$C431,#REF!,"*605*"))&gt;=1,"SIM","")</f>
        <v>#REF!</v>
      </c>
      <c r="I431" s="5" t="e">
        <f>IF((COUNTIFS(#REF!,$C431,#REF!,I$1))&gt;=1,"SIM","")</f>
        <v>#REF!</v>
      </c>
      <c r="J431" s="5" t="e">
        <f>IF((COUNTIFS(#REF!,$C431,#REF!,J$1))&gt;=1,"SIM","")</f>
        <v>#REF!</v>
      </c>
      <c r="K431" s="5" t="e">
        <f>IF((COUNTIFS(#REF!,$C431,#REF!,K$1))&gt;=1,"SIM","")</f>
        <v>#REF!</v>
      </c>
      <c r="L431" s="5" t="e">
        <f>IF((COUNTIFS(#REF!,$C431,#REF!,L$1))&gt;=1,"SIM","")</f>
        <v>#REF!</v>
      </c>
      <c r="M431" s="5" t="e">
        <f>IF((COUNTIFS(#REF!,$C431,#REF!,M$1))&gt;=1,"SIM","")</f>
        <v>#REF!</v>
      </c>
      <c r="N431" s="5" t="e">
        <f>IF((COUNTIFS(#REF!,$C431,#REF!,N$1))&gt;=1,"SIM","")</f>
        <v>#REF!</v>
      </c>
      <c r="O431" s="5"/>
      <c r="P431" s="5" t="e">
        <f>IF((COUNTIFS(#REF!,$C431,#REF!,P$1))&gt;=1,"SIM","")</f>
        <v>#REF!</v>
      </c>
      <c r="Q431" s="5" t="e">
        <f>IF((COUNTIFS(#REF!,$C431,#REF!,Q$1))&gt;=1,"SIM","")</f>
        <v>#REF!</v>
      </c>
      <c r="R431" s="5" t="e">
        <f>IF((COUNTIFS(#REF!,$C431,#REF!,"*CARTA*"))&gt;=1,"SIM","")</f>
        <v>#REF!</v>
      </c>
      <c r="S431" s="5" t="e">
        <f>IF((COUNTIFS(#REF!,$C431,#REF!,"*CARTA NOTIFICAÇÃO/DEVOL*"))&gt;=1,"SIM","")</f>
        <v>#REF!</v>
      </c>
      <c r="T431" s="5" t="e">
        <f>IF((COUNTIFS(#REF!,$C431,#REF!,"*LIGAÇÃO ATIVA DEV PRIN/LOC*"))&gt;=1,"SIM","")</f>
        <v>#REF!</v>
      </c>
    </row>
    <row r="432" spans="1:20">
      <c r="A432" s="24" t="s">
        <v>2157</v>
      </c>
      <c r="B432" s="24" t="s">
        <v>1785</v>
      </c>
      <c r="C432" s="24" t="s">
        <v>1786</v>
      </c>
      <c r="D432" s="5" t="e">
        <f>IF((COUNTIFS(#REF!,$C432,#REF!,"*163*"))&gt;=1,"SIM","")</f>
        <v>#REF!</v>
      </c>
      <c r="E432" s="5" t="e">
        <f>IF((COUNTIFS(#REF!,$C432,#REF!,E$1))&gt;=1,"SIM","")</f>
        <v>#REF!</v>
      </c>
      <c r="F432" s="5" t="e">
        <f>IF((COUNTIFS(#REF!,$C432,#REF!,F$1))&gt;=1,"SIM","")</f>
        <v>#REF!</v>
      </c>
      <c r="G432" s="5" t="e">
        <f>IF((COUNTIFS(#REF!,$C432,#REF!,"*606*"))&gt;=1,"SIM","")</f>
        <v>#REF!</v>
      </c>
      <c r="H432" s="5" t="e">
        <f>IF((COUNTIFS(#REF!,$C432,#REF!,"*605*"))&gt;=1,"SIM","")</f>
        <v>#REF!</v>
      </c>
      <c r="I432" s="5" t="e">
        <f>IF((COUNTIFS(#REF!,$C432,#REF!,I$1))&gt;=1,"SIM","")</f>
        <v>#REF!</v>
      </c>
      <c r="J432" s="5" t="e">
        <f>IF((COUNTIFS(#REF!,$C432,#REF!,J$1))&gt;=1,"SIM","")</f>
        <v>#REF!</v>
      </c>
      <c r="K432" s="5" t="e">
        <f>IF((COUNTIFS(#REF!,$C432,#REF!,K$1))&gt;=1,"SIM","")</f>
        <v>#REF!</v>
      </c>
      <c r="L432" s="5" t="e">
        <f>IF((COUNTIFS(#REF!,$C432,#REF!,L$1))&gt;=1,"SIM","")</f>
        <v>#REF!</v>
      </c>
      <c r="M432" s="5" t="e">
        <f>IF((COUNTIFS(#REF!,$C432,#REF!,M$1))&gt;=1,"SIM","")</f>
        <v>#REF!</v>
      </c>
      <c r="N432" s="5" t="e">
        <f>IF((COUNTIFS(#REF!,$C432,#REF!,N$1))&gt;=1,"SIM","")</f>
        <v>#REF!</v>
      </c>
      <c r="O432" s="5"/>
      <c r="P432" s="5" t="e">
        <f>IF((COUNTIFS(#REF!,$C432,#REF!,P$1))&gt;=1,"SIM","")</f>
        <v>#REF!</v>
      </c>
      <c r="Q432" s="5" t="e">
        <f>IF((COUNTIFS(#REF!,$C432,#REF!,Q$1))&gt;=1,"SIM","")</f>
        <v>#REF!</v>
      </c>
      <c r="R432" s="5" t="e">
        <f>IF((COUNTIFS(#REF!,$C432,#REF!,"*CARTA*"))&gt;=1,"SIM","")</f>
        <v>#REF!</v>
      </c>
      <c r="S432" s="5" t="e">
        <f>IF((COUNTIFS(#REF!,$C432,#REF!,"*CARTA NOTIFICAÇÃO/DEVOL*"))&gt;=1,"SIM","")</f>
        <v>#REF!</v>
      </c>
      <c r="T432" s="5" t="e">
        <f>IF((COUNTIFS(#REF!,$C432,#REF!,"*LIGAÇÃO ATIVA DEV PRIN/LOC*"))&gt;=1,"SIM","")</f>
        <v>#REF!</v>
      </c>
    </row>
    <row r="433" spans="1:20">
      <c r="A433" s="24" t="s">
        <v>2159</v>
      </c>
      <c r="B433" s="24" t="s">
        <v>2108</v>
      </c>
      <c r="C433" s="24" t="s">
        <v>2109</v>
      </c>
      <c r="D433" s="5" t="e">
        <f>IF((COUNTIFS(#REF!,$C433,#REF!,"*163*"))&gt;=1,"SIM","")</f>
        <v>#REF!</v>
      </c>
      <c r="E433" s="5" t="e">
        <f>IF((COUNTIFS(#REF!,$C433,#REF!,E$1))&gt;=1,"SIM","")</f>
        <v>#REF!</v>
      </c>
      <c r="F433" s="5" t="e">
        <f>IF((COUNTIFS(#REF!,$C433,#REF!,F$1))&gt;=1,"SIM","")</f>
        <v>#REF!</v>
      </c>
      <c r="G433" s="5" t="e">
        <f>IF((COUNTIFS(#REF!,$C433,#REF!,"*606*"))&gt;=1,"SIM","")</f>
        <v>#REF!</v>
      </c>
      <c r="H433" s="5" t="e">
        <f>IF((COUNTIFS(#REF!,$C433,#REF!,"*605*"))&gt;=1,"SIM","")</f>
        <v>#REF!</v>
      </c>
      <c r="I433" s="5" t="e">
        <f>IF((COUNTIFS(#REF!,$C433,#REF!,I$1))&gt;=1,"SIM","")</f>
        <v>#REF!</v>
      </c>
      <c r="J433" s="5" t="e">
        <f>IF((COUNTIFS(#REF!,$C433,#REF!,J$1))&gt;=1,"SIM","")</f>
        <v>#REF!</v>
      </c>
      <c r="K433" s="5" t="e">
        <f>IF((COUNTIFS(#REF!,$C433,#REF!,K$1))&gt;=1,"SIM","")</f>
        <v>#REF!</v>
      </c>
      <c r="L433" s="5" t="e">
        <f>IF((COUNTIFS(#REF!,$C433,#REF!,L$1))&gt;=1,"SIM","")</f>
        <v>#REF!</v>
      </c>
      <c r="M433" s="5" t="e">
        <f>IF((COUNTIFS(#REF!,$C433,#REF!,M$1))&gt;=1,"SIM","")</f>
        <v>#REF!</v>
      </c>
      <c r="N433" s="5" t="e">
        <f>IF((COUNTIFS(#REF!,$C433,#REF!,N$1))&gt;=1,"SIM","")</f>
        <v>#REF!</v>
      </c>
      <c r="O433" s="5"/>
      <c r="P433" s="5" t="e">
        <f>IF((COUNTIFS(#REF!,$C433,#REF!,P$1))&gt;=1,"SIM","")</f>
        <v>#REF!</v>
      </c>
      <c r="Q433" s="5" t="e">
        <f>IF((COUNTIFS(#REF!,$C433,#REF!,Q$1))&gt;=1,"SIM","")</f>
        <v>#REF!</v>
      </c>
      <c r="R433" s="5" t="e">
        <f>IF((COUNTIFS(#REF!,$C433,#REF!,"*CARTA*"))&gt;=1,"SIM","")</f>
        <v>#REF!</v>
      </c>
      <c r="S433" s="5" t="e">
        <f>IF((COUNTIFS(#REF!,$C433,#REF!,"*CARTA NOTIFICAÇÃO/DEVOL*"))&gt;=1,"SIM","")</f>
        <v>#REF!</v>
      </c>
      <c r="T433" s="5" t="e">
        <f>IF((COUNTIFS(#REF!,$C433,#REF!,"*LIGAÇÃO ATIVA DEV PRIN/LOC*"))&gt;=1,"SIM","")</f>
        <v>#REF!</v>
      </c>
    </row>
    <row r="434" spans="1:20">
      <c r="A434" s="24" t="s">
        <v>2153</v>
      </c>
      <c r="B434" s="24" t="s">
        <v>634</v>
      </c>
      <c r="C434" s="24" t="s">
        <v>635</v>
      </c>
      <c r="D434" s="5" t="e">
        <f>IF((COUNTIFS(#REF!,$C434,#REF!,"*163*"))&gt;=1,"SIM","")</f>
        <v>#REF!</v>
      </c>
      <c r="E434" s="5" t="e">
        <f>IF((COUNTIFS(#REF!,$C434,#REF!,E$1))&gt;=1,"SIM","")</f>
        <v>#REF!</v>
      </c>
      <c r="F434" s="5" t="e">
        <f>IF((COUNTIFS(#REF!,$C434,#REF!,F$1))&gt;=1,"SIM","")</f>
        <v>#REF!</v>
      </c>
      <c r="G434" s="5" t="e">
        <f>IF((COUNTIFS(#REF!,$C434,#REF!,"*606*"))&gt;=1,"SIM","")</f>
        <v>#REF!</v>
      </c>
      <c r="H434" s="5" t="e">
        <f>IF((COUNTIFS(#REF!,$C434,#REF!,"*605*"))&gt;=1,"SIM","")</f>
        <v>#REF!</v>
      </c>
      <c r="I434" s="5" t="e">
        <f>IF((COUNTIFS(#REF!,$C434,#REF!,I$1))&gt;=1,"SIM","")</f>
        <v>#REF!</v>
      </c>
      <c r="J434" s="5" t="e">
        <f>IF((COUNTIFS(#REF!,$C434,#REF!,J$1))&gt;=1,"SIM","")</f>
        <v>#REF!</v>
      </c>
      <c r="K434" s="5" t="e">
        <f>IF((COUNTIFS(#REF!,$C434,#REF!,K$1))&gt;=1,"SIM","")</f>
        <v>#REF!</v>
      </c>
      <c r="L434" s="5" t="e">
        <f>IF((COUNTIFS(#REF!,$C434,#REF!,L$1))&gt;=1,"SIM","")</f>
        <v>#REF!</v>
      </c>
      <c r="M434" s="5" t="e">
        <f>IF((COUNTIFS(#REF!,$C434,#REF!,M$1))&gt;=1,"SIM","")</f>
        <v>#REF!</v>
      </c>
      <c r="N434" s="5" t="e">
        <f>IF((COUNTIFS(#REF!,$C434,#REF!,N$1))&gt;=1,"SIM","")</f>
        <v>#REF!</v>
      </c>
      <c r="O434" s="5"/>
      <c r="P434" s="5" t="e">
        <f>IF((COUNTIFS(#REF!,$C434,#REF!,P$1))&gt;=1,"SIM","")</f>
        <v>#REF!</v>
      </c>
      <c r="Q434" s="5" t="e">
        <f>IF((COUNTIFS(#REF!,$C434,#REF!,Q$1))&gt;=1,"SIM","")</f>
        <v>#REF!</v>
      </c>
      <c r="R434" s="5" t="e">
        <f>IF((COUNTIFS(#REF!,$C434,#REF!,"*CARTA*"))&gt;=1,"SIM","")</f>
        <v>#REF!</v>
      </c>
      <c r="S434" s="5" t="e">
        <f>IF((COUNTIFS(#REF!,$C434,#REF!,"*CARTA NOTIFICAÇÃO/DEVOL*"))&gt;=1,"SIM","")</f>
        <v>#REF!</v>
      </c>
      <c r="T434" s="5" t="e">
        <f>IF((COUNTIFS(#REF!,$C434,#REF!,"*LIGAÇÃO ATIVA DEV PRIN/LOC*"))&gt;=1,"SIM","")</f>
        <v>#REF!</v>
      </c>
    </row>
    <row r="435" spans="1:20">
      <c r="A435" s="24" t="s">
        <v>2153</v>
      </c>
      <c r="B435" s="24" t="s">
        <v>656</v>
      </c>
      <c r="C435" s="24" t="s">
        <v>657</v>
      </c>
      <c r="D435" s="5" t="e">
        <f>IF((COUNTIFS(#REF!,$C435,#REF!,"*163*"))&gt;=1,"SIM","")</f>
        <v>#REF!</v>
      </c>
      <c r="E435" s="5" t="e">
        <f>IF((COUNTIFS(#REF!,$C435,#REF!,E$1))&gt;=1,"SIM","")</f>
        <v>#REF!</v>
      </c>
      <c r="F435" s="5" t="e">
        <f>IF((COUNTIFS(#REF!,$C435,#REF!,F$1))&gt;=1,"SIM","")</f>
        <v>#REF!</v>
      </c>
      <c r="G435" s="5" t="e">
        <f>IF((COUNTIFS(#REF!,$C435,#REF!,"*606*"))&gt;=1,"SIM","")</f>
        <v>#REF!</v>
      </c>
      <c r="H435" s="5" t="e">
        <f>IF((COUNTIFS(#REF!,$C435,#REF!,"*605*"))&gt;=1,"SIM","")</f>
        <v>#REF!</v>
      </c>
      <c r="I435" s="5" t="e">
        <f>IF((COUNTIFS(#REF!,$C435,#REF!,I$1))&gt;=1,"SIM","")</f>
        <v>#REF!</v>
      </c>
      <c r="J435" s="5" t="e">
        <f>IF((COUNTIFS(#REF!,$C435,#REF!,J$1))&gt;=1,"SIM","")</f>
        <v>#REF!</v>
      </c>
      <c r="K435" s="5" t="e">
        <f>IF((COUNTIFS(#REF!,$C435,#REF!,K$1))&gt;=1,"SIM","")</f>
        <v>#REF!</v>
      </c>
      <c r="L435" s="5" t="e">
        <f>IF((COUNTIFS(#REF!,$C435,#REF!,L$1))&gt;=1,"SIM","")</f>
        <v>#REF!</v>
      </c>
      <c r="M435" s="5" t="e">
        <f>IF((COUNTIFS(#REF!,$C435,#REF!,M$1))&gt;=1,"SIM","")</f>
        <v>#REF!</v>
      </c>
      <c r="N435" s="5" t="e">
        <f>IF((COUNTIFS(#REF!,$C435,#REF!,N$1))&gt;=1,"SIM","")</f>
        <v>#REF!</v>
      </c>
      <c r="O435" s="5"/>
      <c r="P435" s="5" t="e">
        <f>IF((COUNTIFS(#REF!,$C435,#REF!,P$1))&gt;=1,"SIM","")</f>
        <v>#REF!</v>
      </c>
      <c r="Q435" s="5" t="e">
        <f>IF((COUNTIFS(#REF!,$C435,#REF!,Q$1))&gt;=1,"SIM","")</f>
        <v>#REF!</v>
      </c>
      <c r="R435" s="5" t="e">
        <f>IF((COUNTIFS(#REF!,$C435,#REF!,"*CARTA*"))&gt;=1,"SIM","")</f>
        <v>#REF!</v>
      </c>
      <c r="S435" s="5" t="e">
        <f>IF((COUNTIFS(#REF!,$C435,#REF!,"*CARTA NOTIFICAÇÃO/DEVOL*"))&gt;=1,"SIM","")</f>
        <v>#REF!</v>
      </c>
      <c r="T435" s="5" t="e">
        <f>IF((COUNTIFS(#REF!,$C435,#REF!,"*LIGAÇÃO ATIVA DEV PRIN/LOC*"))&gt;=1,"SIM","")</f>
        <v>#REF!</v>
      </c>
    </row>
    <row r="436" spans="1:20">
      <c r="A436" s="24" t="s">
        <v>2153</v>
      </c>
      <c r="B436" s="24" t="s">
        <v>783</v>
      </c>
      <c r="C436" s="24" t="s">
        <v>784</v>
      </c>
      <c r="D436" s="5" t="e">
        <f>IF((COUNTIFS(#REF!,$C436,#REF!,"*163*"))&gt;=1,"SIM","")</f>
        <v>#REF!</v>
      </c>
      <c r="E436" s="5" t="e">
        <f>IF((COUNTIFS(#REF!,$C436,#REF!,E$1))&gt;=1,"SIM","")</f>
        <v>#REF!</v>
      </c>
      <c r="F436" s="5" t="e">
        <f>IF((COUNTIFS(#REF!,$C436,#REF!,F$1))&gt;=1,"SIM","")</f>
        <v>#REF!</v>
      </c>
      <c r="G436" s="5" t="e">
        <f>IF((COUNTIFS(#REF!,$C436,#REF!,"*606*"))&gt;=1,"SIM","")</f>
        <v>#REF!</v>
      </c>
      <c r="H436" s="5" t="e">
        <f>IF((COUNTIFS(#REF!,$C436,#REF!,"*605*"))&gt;=1,"SIM","")</f>
        <v>#REF!</v>
      </c>
      <c r="I436" s="5" t="e">
        <f>IF((COUNTIFS(#REF!,$C436,#REF!,I$1))&gt;=1,"SIM","")</f>
        <v>#REF!</v>
      </c>
      <c r="J436" s="5" t="e">
        <f>IF((COUNTIFS(#REF!,$C436,#REF!,J$1))&gt;=1,"SIM","")</f>
        <v>#REF!</v>
      </c>
      <c r="K436" s="5" t="e">
        <f>IF((COUNTIFS(#REF!,$C436,#REF!,K$1))&gt;=1,"SIM","")</f>
        <v>#REF!</v>
      </c>
      <c r="L436" s="5" t="e">
        <f>IF((COUNTIFS(#REF!,$C436,#REF!,L$1))&gt;=1,"SIM","")</f>
        <v>#REF!</v>
      </c>
      <c r="M436" s="5" t="e">
        <f>IF((COUNTIFS(#REF!,$C436,#REF!,M$1))&gt;=1,"SIM","")</f>
        <v>#REF!</v>
      </c>
      <c r="N436" s="5" t="e">
        <f>IF((COUNTIFS(#REF!,$C436,#REF!,N$1))&gt;=1,"SIM","")</f>
        <v>#REF!</v>
      </c>
      <c r="O436" s="5"/>
      <c r="P436" s="5" t="e">
        <f>IF((COUNTIFS(#REF!,$C436,#REF!,P$1))&gt;=1,"SIM","")</f>
        <v>#REF!</v>
      </c>
      <c r="Q436" s="5" t="e">
        <f>IF((COUNTIFS(#REF!,$C436,#REF!,Q$1))&gt;=1,"SIM","")</f>
        <v>#REF!</v>
      </c>
      <c r="R436" s="5" t="e">
        <f>IF((COUNTIFS(#REF!,$C436,#REF!,"*CARTA*"))&gt;=1,"SIM","")</f>
        <v>#REF!</v>
      </c>
      <c r="S436" s="5" t="e">
        <f>IF((COUNTIFS(#REF!,$C436,#REF!,"*CARTA NOTIFICAÇÃO/DEVOL*"))&gt;=1,"SIM","")</f>
        <v>#REF!</v>
      </c>
      <c r="T436" s="5" t="e">
        <f>IF((COUNTIFS(#REF!,$C436,#REF!,"*LIGAÇÃO ATIVA DEV PRIN/LOC*"))&gt;=1,"SIM","")</f>
        <v>#REF!</v>
      </c>
    </row>
    <row r="437" spans="1:20">
      <c r="A437" s="24" t="s">
        <v>2159</v>
      </c>
      <c r="B437" s="24" t="s">
        <v>1354</v>
      </c>
      <c r="C437" s="24" t="s">
        <v>1355</v>
      </c>
      <c r="D437" s="5" t="e">
        <f>IF((COUNTIFS(#REF!,$C437,#REF!,"*163*"))&gt;=1,"SIM","")</f>
        <v>#REF!</v>
      </c>
      <c r="E437" s="5" t="e">
        <f>IF((COUNTIFS(#REF!,$C437,#REF!,E$1))&gt;=1,"SIM","")</f>
        <v>#REF!</v>
      </c>
      <c r="F437" s="5" t="e">
        <f>IF((COUNTIFS(#REF!,$C437,#REF!,F$1))&gt;=1,"SIM","")</f>
        <v>#REF!</v>
      </c>
      <c r="G437" s="5" t="e">
        <f>IF((COUNTIFS(#REF!,$C437,#REF!,"*606*"))&gt;=1,"SIM","")</f>
        <v>#REF!</v>
      </c>
      <c r="H437" s="5" t="e">
        <f>IF((COUNTIFS(#REF!,$C437,#REF!,"*605*"))&gt;=1,"SIM","")</f>
        <v>#REF!</v>
      </c>
      <c r="I437" s="5" t="e">
        <f>IF((COUNTIFS(#REF!,$C437,#REF!,I$1))&gt;=1,"SIM","")</f>
        <v>#REF!</v>
      </c>
      <c r="J437" s="5" t="e">
        <f>IF((COUNTIFS(#REF!,$C437,#REF!,J$1))&gt;=1,"SIM","")</f>
        <v>#REF!</v>
      </c>
      <c r="K437" s="5" t="e">
        <f>IF((COUNTIFS(#REF!,$C437,#REF!,K$1))&gt;=1,"SIM","")</f>
        <v>#REF!</v>
      </c>
      <c r="L437" s="5" t="e">
        <f>IF((COUNTIFS(#REF!,$C437,#REF!,L$1))&gt;=1,"SIM","")</f>
        <v>#REF!</v>
      </c>
      <c r="M437" s="5" t="e">
        <f>IF((COUNTIFS(#REF!,$C437,#REF!,M$1))&gt;=1,"SIM","")</f>
        <v>#REF!</v>
      </c>
      <c r="N437" s="5" t="e">
        <f>IF((COUNTIFS(#REF!,$C437,#REF!,N$1))&gt;=1,"SIM","")</f>
        <v>#REF!</v>
      </c>
      <c r="O437" s="5"/>
      <c r="P437" s="5" t="e">
        <f>IF((COUNTIFS(#REF!,$C437,#REF!,P$1))&gt;=1,"SIM","")</f>
        <v>#REF!</v>
      </c>
      <c r="Q437" s="5" t="e">
        <f>IF((COUNTIFS(#REF!,$C437,#REF!,Q$1))&gt;=1,"SIM","")</f>
        <v>#REF!</v>
      </c>
      <c r="R437" s="5" t="e">
        <f>IF((COUNTIFS(#REF!,$C437,#REF!,"*CARTA*"))&gt;=1,"SIM","")</f>
        <v>#REF!</v>
      </c>
      <c r="S437" s="5" t="e">
        <f>IF((COUNTIFS(#REF!,$C437,#REF!,"*CARTA NOTIFICAÇÃO/DEVOL*"))&gt;=1,"SIM","")</f>
        <v>#REF!</v>
      </c>
      <c r="T437" s="5" t="e">
        <f>IF((COUNTIFS(#REF!,$C437,#REF!,"*LIGAÇÃO ATIVA DEV PRIN/LOC*"))&gt;=1,"SIM","")</f>
        <v>#REF!</v>
      </c>
    </row>
    <row r="438" spans="1:20">
      <c r="A438" s="24" t="s">
        <v>2153</v>
      </c>
      <c r="B438" s="24" t="s">
        <v>203</v>
      </c>
      <c r="C438" s="24" t="s">
        <v>204</v>
      </c>
      <c r="D438" s="5" t="e">
        <f>IF((COUNTIFS(#REF!,$C438,#REF!,"*163*"))&gt;=1,"SIM","")</f>
        <v>#REF!</v>
      </c>
      <c r="E438" s="5" t="e">
        <f>IF((COUNTIFS(#REF!,$C438,#REF!,E$1))&gt;=1,"SIM","")</f>
        <v>#REF!</v>
      </c>
      <c r="F438" s="5" t="e">
        <f>IF((COUNTIFS(#REF!,$C438,#REF!,F$1))&gt;=1,"SIM","")</f>
        <v>#REF!</v>
      </c>
      <c r="G438" s="5" t="e">
        <f>IF((COUNTIFS(#REF!,$C438,#REF!,"*606*"))&gt;=1,"SIM","")</f>
        <v>#REF!</v>
      </c>
      <c r="H438" s="5" t="e">
        <f>IF((COUNTIFS(#REF!,$C438,#REF!,"*605*"))&gt;=1,"SIM","")</f>
        <v>#REF!</v>
      </c>
      <c r="I438" s="5" t="e">
        <f>IF((COUNTIFS(#REF!,$C438,#REF!,I$1))&gt;=1,"SIM","")</f>
        <v>#REF!</v>
      </c>
      <c r="J438" s="5" t="e">
        <f>IF((COUNTIFS(#REF!,$C438,#REF!,J$1))&gt;=1,"SIM","")</f>
        <v>#REF!</v>
      </c>
      <c r="K438" s="5" t="e">
        <f>IF((COUNTIFS(#REF!,$C438,#REF!,K$1))&gt;=1,"SIM","")</f>
        <v>#REF!</v>
      </c>
      <c r="L438" s="5" t="e">
        <f>IF((COUNTIFS(#REF!,$C438,#REF!,L$1))&gt;=1,"SIM","")</f>
        <v>#REF!</v>
      </c>
      <c r="M438" s="5" t="e">
        <f>IF((COUNTIFS(#REF!,$C438,#REF!,M$1))&gt;=1,"SIM","")</f>
        <v>#REF!</v>
      </c>
      <c r="N438" s="5" t="e">
        <f>IF((COUNTIFS(#REF!,$C438,#REF!,N$1))&gt;=1,"SIM","")</f>
        <v>#REF!</v>
      </c>
      <c r="O438" s="5"/>
      <c r="P438" s="5" t="e">
        <f>IF((COUNTIFS(#REF!,$C438,#REF!,P$1))&gt;=1,"SIM","")</f>
        <v>#REF!</v>
      </c>
      <c r="Q438" s="5" t="e">
        <f>IF((COUNTIFS(#REF!,$C438,#REF!,Q$1))&gt;=1,"SIM","")</f>
        <v>#REF!</v>
      </c>
      <c r="R438" s="5" t="e">
        <f>IF((COUNTIFS(#REF!,$C438,#REF!,"*CARTA*"))&gt;=1,"SIM","")</f>
        <v>#REF!</v>
      </c>
      <c r="S438" s="5" t="e">
        <f>IF((COUNTIFS(#REF!,$C438,#REF!,"*CARTA NOTIFICAÇÃO/DEVOL*"))&gt;=1,"SIM","")</f>
        <v>#REF!</v>
      </c>
      <c r="T438" s="5" t="e">
        <f>IF((COUNTIFS(#REF!,$C438,#REF!,"*LIGAÇÃO ATIVA DEV PRIN/LOC*"))&gt;=1,"SIM","")</f>
        <v>#REF!</v>
      </c>
    </row>
    <row r="439" spans="1:20">
      <c r="A439" s="24" t="s">
        <v>2153</v>
      </c>
      <c r="B439" s="24" t="s">
        <v>320</v>
      </c>
      <c r="C439" s="24" t="s">
        <v>321</v>
      </c>
      <c r="D439" s="5" t="e">
        <f>IF((COUNTIFS(#REF!,$C439,#REF!,"*163*"))&gt;=1,"SIM","")</f>
        <v>#REF!</v>
      </c>
      <c r="E439" s="5" t="e">
        <f>IF((COUNTIFS(#REF!,$C439,#REF!,E$1))&gt;=1,"SIM","")</f>
        <v>#REF!</v>
      </c>
      <c r="F439" s="5" t="e">
        <f>IF((COUNTIFS(#REF!,$C439,#REF!,F$1))&gt;=1,"SIM","")</f>
        <v>#REF!</v>
      </c>
      <c r="G439" s="5" t="e">
        <f>IF((COUNTIFS(#REF!,$C439,#REF!,"*606*"))&gt;=1,"SIM","")</f>
        <v>#REF!</v>
      </c>
      <c r="H439" s="5" t="e">
        <f>IF((COUNTIFS(#REF!,$C439,#REF!,"*605*"))&gt;=1,"SIM","")</f>
        <v>#REF!</v>
      </c>
      <c r="I439" s="5" t="e">
        <f>IF((COUNTIFS(#REF!,$C439,#REF!,I$1))&gt;=1,"SIM","")</f>
        <v>#REF!</v>
      </c>
      <c r="J439" s="5" t="e">
        <f>IF((COUNTIFS(#REF!,$C439,#REF!,J$1))&gt;=1,"SIM","")</f>
        <v>#REF!</v>
      </c>
      <c r="K439" s="5" t="e">
        <f>IF((COUNTIFS(#REF!,$C439,#REF!,K$1))&gt;=1,"SIM","")</f>
        <v>#REF!</v>
      </c>
      <c r="L439" s="5" t="e">
        <f>IF((COUNTIFS(#REF!,$C439,#REF!,L$1))&gt;=1,"SIM","")</f>
        <v>#REF!</v>
      </c>
      <c r="M439" s="5" t="e">
        <f>IF((COUNTIFS(#REF!,$C439,#REF!,M$1))&gt;=1,"SIM","")</f>
        <v>#REF!</v>
      </c>
      <c r="N439" s="5" t="e">
        <f>IF((COUNTIFS(#REF!,$C439,#REF!,N$1))&gt;=1,"SIM","")</f>
        <v>#REF!</v>
      </c>
      <c r="O439" s="5"/>
      <c r="P439" s="5" t="e">
        <f>IF((COUNTIFS(#REF!,$C439,#REF!,P$1))&gt;=1,"SIM","")</f>
        <v>#REF!</v>
      </c>
      <c r="Q439" s="5" t="e">
        <f>IF((COUNTIFS(#REF!,$C439,#REF!,Q$1))&gt;=1,"SIM","")</f>
        <v>#REF!</v>
      </c>
      <c r="R439" s="5" t="e">
        <f>IF((COUNTIFS(#REF!,$C439,#REF!,"*CARTA*"))&gt;=1,"SIM","")</f>
        <v>#REF!</v>
      </c>
      <c r="S439" s="5" t="e">
        <f>IF((COUNTIFS(#REF!,$C439,#REF!,"*CARTA NOTIFICAÇÃO/DEVOL*"))&gt;=1,"SIM","")</f>
        <v>#REF!</v>
      </c>
      <c r="T439" s="5" t="e">
        <f>IF((COUNTIFS(#REF!,$C439,#REF!,"*LIGAÇÃO ATIVA DEV PRIN/LOC*"))&gt;=1,"SIM","")</f>
        <v>#REF!</v>
      </c>
    </row>
    <row r="440" spans="1:20">
      <c r="A440" s="24" t="s">
        <v>2153</v>
      </c>
      <c r="B440" s="24" t="s">
        <v>1736</v>
      </c>
      <c r="C440" s="24" t="s">
        <v>1737</v>
      </c>
      <c r="D440" s="5" t="e">
        <f>IF((COUNTIFS(#REF!,$C440,#REF!,"*163*"))&gt;=1,"SIM","")</f>
        <v>#REF!</v>
      </c>
      <c r="E440" s="5" t="e">
        <f>IF((COUNTIFS(#REF!,$C440,#REF!,E$1))&gt;=1,"SIM","")</f>
        <v>#REF!</v>
      </c>
      <c r="F440" s="5" t="e">
        <f>IF((COUNTIFS(#REF!,$C440,#REF!,F$1))&gt;=1,"SIM","")</f>
        <v>#REF!</v>
      </c>
      <c r="G440" s="5" t="e">
        <f>IF((COUNTIFS(#REF!,$C440,#REF!,"*606*"))&gt;=1,"SIM","")</f>
        <v>#REF!</v>
      </c>
      <c r="H440" s="5" t="e">
        <f>IF((COUNTIFS(#REF!,$C440,#REF!,"*605*"))&gt;=1,"SIM","")</f>
        <v>#REF!</v>
      </c>
      <c r="I440" s="5" t="e">
        <f>IF((COUNTIFS(#REF!,$C440,#REF!,I$1))&gt;=1,"SIM","")</f>
        <v>#REF!</v>
      </c>
      <c r="J440" s="5" t="e">
        <f>IF((COUNTIFS(#REF!,$C440,#REF!,J$1))&gt;=1,"SIM","")</f>
        <v>#REF!</v>
      </c>
      <c r="K440" s="5" t="e">
        <f>IF((COUNTIFS(#REF!,$C440,#REF!,K$1))&gt;=1,"SIM","")</f>
        <v>#REF!</v>
      </c>
      <c r="L440" s="5" t="e">
        <f>IF((COUNTIFS(#REF!,$C440,#REF!,L$1))&gt;=1,"SIM","")</f>
        <v>#REF!</v>
      </c>
      <c r="M440" s="5" t="e">
        <f>IF((COUNTIFS(#REF!,$C440,#REF!,M$1))&gt;=1,"SIM","")</f>
        <v>#REF!</v>
      </c>
      <c r="N440" s="5" t="e">
        <f>IF((COUNTIFS(#REF!,$C440,#REF!,N$1))&gt;=1,"SIM","")</f>
        <v>#REF!</v>
      </c>
      <c r="O440" s="5"/>
      <c r="P440" s="5" t="e">
        <f>IF((COUNTIFS(#REF!,$C440,#REF!,P$1))&gt;=1,"SIM","")</f>
        <v>#REF!</v>
      </c>
      <c r="Q440" s="5" t="e">
        <f>IF((COUNTIFS(#REF!,$C440,#REF!,Q$1))&gt;=1,"SIM","")</f>
        <v>#REF!</v>
      </c>
      <c r="R440" s="5" t="e">
        <f>IF((COUNTIFS(#REF!,$C440,#REF!,"*CARTA*"))&gt;=1,"SIM","")</f>
        <v>#REF!</v>
      </c>
      <c r="S440" s="5" t="e">
        <f>IF((COUNTIFS(#REF!,$C440,#REF!,"*CARTA NOTIFICAÇÃO/DEVOL*"))&gt;=1,"SIM","")</f>
        <v>#REF!</v>
      </c>
      <c r="T440" s="5" t="e">
        <f>IF((COUNTIFS(#REF!,$C440,#REF!,"*LIGAÇÃO ATIVA DEV PRIN/LOC*"))&gt;=1,"SIM","")</f>
        <v>#REF!</v>
      </c>
    </row>
    <row r="441" spans="1:20">
      <c r="A441" s="24" t="s">
        <v>2154</v>
      </c>
      <c r="B441" s="24" t="s">
        <v>108</v>
      </c>
      <c r="C441" s="24" t="s">
        <v>109</v>
      </c>
      <c r="D441" s="5" t="e">
        <f>IF((COUNTIFS(#REF!,$C441,#REF!,"*163*"))&gt;=1,"SIM","")</f>
        <v>#REF!</v>
      </c>
      <c r="E441" s="5" t="e">
        <f>IF((COUNTIFS(#REF!,$C441,#REF!,E$1))&gt;=1,"SIM","")</f>
        <v>#REF!</v>
      </c>
      <c r="F441" s="5" t="e">
        <f>IF((COUNTIFS(#REF!,$C441,#REF!,F$1))&gt;=1,"SIM","")</f>
        <v>#REF!</v>
      </c>
      <c r="G441" s="5" t="e">
        <f>IF((COUNTIFS(#REF!,$C441,#REF!,"*606*"))&gt;=1,"SIM","")</f>
        <v>#REF!</v>
      </c>
      <c r="H441" s="5" t="e">
        <f>IF((COUNTIFS(#REF!,$C441,#REF!,"*605*"))&gt;=1,"SIM","")</f>
        <v>#REF!</v>
      </c>
      <c r="I441" s="5" t="e">
        <f>IF((COUNTIFS(#REF!,$C441,#REF!,I$1))&gt;=1,"SIM","")</f>
        <v>#REF!</v>
      </c>
      <c r="J441" s="5" t="e">
        <f>IF((COUNTIFS(#REF!,$C441,#REF!,J$1))&gt;=1,"SIM","")</f>
        <v>#REF!</v>
      </c>
      <c r="K441" s="5" t="e">
        <f>IF((COUNTIFS(#REF!,$C441,#REF!,K$1))&gt;=1,"SIM","")</f>
        <v>#REF!</v>
      </c>
      <c r="L441" s="5" t="e">
        <f>IF((COUNTIFS(#REF!,$C441,#REF!,L$1))&gt;=1,"SIM","")</f>
        <v>#REF!</v>
      </c>
      <c r="M441" s="5" t="e">
        <f>IF((COUNTIFS(#REF!,$C441,#REF!,M$1))&gt;=1,"SIM","")</f>
        <v>#REF!</v>
      </c>
      <c r="N441" s="5" t="e">
        <f>IF((COUNTIFS(#REF!,$C441,#REF!,N$1))&gt;=1,"SIM","")</f>
        <v>#REF!</v>
      </c>
      <c r="O441" s="5"/>
      <c r="P441" s="5" t="e">
        <f>IF((COUNTIFS(#REF!,$C441,#REF!,P$1))&gt;=1,"SIM","")</f>
        <v>#REF!</v>
      </c>
      <c r="Q441" s="5" t="e">
        <f>IF((COUNTIFS(#REF!,$C441,#REF!,Q$1))&gt;=1,"SIM","")</f>
        <v>#REF!</v>
      </c>
      <c r="R441" s="5" t="e">
        <f>IF((COUNTIFS(#REF!,$C441,#REF!,"*CARTA*"))&gt;=1,"SIM","")</f>
        <v>#REF!</v>
      </c>
      <c r="S441" s="5" t="e">
        <f>IF((COUNTIFS(#REF!,$C441,#REF!,"*CARTA NOTIFICAÇÃO/DEVOL*"))&gt;=1,"SIM","")</f>
        <v>#REF!</v>
      </c>
      <c r="T441" s="5" t="e">
        <f>IF((COUNTIFS(#REF!,$C441,#REF!,"*LIGAÇÃO ATIVA DEV PRIN/LOC*"))&gt;=1,"SIM","")</f>
        <v>#REF!</v>
      </c>
    </row>
    <row r="442" spans="1:20">
      <c r="A442" s="24" t="s">
        <v>2153</v>
      </c>
      <c r="B442" s="24" t="s">
        <v>676</v>
      </c>
      <c r="C442" s="24" t="s">
        <v>677</v>
      </c>
      <c r="D442" s="5" t="e">
        <f>IF((COUNTIFS(#REF!,$C442,#REF!,"*163*"))&gt;=1,"SIM","")</f>
        <v>#REF!</v>
      </c>
      <c r="E442" s="5" t="e">
        <f>IF((COUNTIFS(#REF!,$C442,#REF!,E$1))&gt;=1,"SIM","")</f>
        <v>#REF!</v>
      </c>
      <c r="F442" s="5" t="e">
        <f>IF((COUNTIFS(#REF!,$C442,#REF!,F$1))&gt;=1,"SIM","")</f>
        <v>#REF!</v>
      </c>
      <c r="G442" s="5" t="e">
        <f>IF((COUNTIFS(#REF!,$C442,#REF!,"*606*"))&gt;=1,"SIM","")</f>
        <v>#REF!</v>
      </c>
      <c r="H442" s="5" t="e">
        <f>IF((COUNTIFS(#REF!,$C442,#REF!,"*605*"))&gt;=1,"SIM","")</f>
        <v>#REF!</v>
      </c>
      <c r="I442" s="5" t="e">
        <f>IF((COUNTIFS(#REF!,$C442,#REF!,I$1))&gt;=1,"SIM","")</f>
        <v>#REF!</v>
      </c>
      <c r="J442" s="5" t="e">
        <f>IF((COUNTIFS(#REF!,$C442,#REF!,J$1))&gt;=1,"SIM","")</f>
        <v>#REF!</v>
      </c>
      <c r="K442" s="5" t="e">
        <f>IF((COUNTIFS(#REF!,$C442,#REF!,K$1))&gt;=1,"SIM","")</f>
        <v>#REF!</v>
      </c>
      <c r="L442" s="5" t="e">
        <f>IF((COUNTIFS(#REF!,$C442,#REF!,L$1))&gt;=1,"SIM","")</f>
        <v>#REF!</v>
      </c>
      <c r="M442" s="5" t="e">
        <f>IF((COUNTIFS(#REF!,$C442,#REF!,M$1))&gt;=1,"SIM","")</f>
        <v>#REF!</v>
      </c>
      <c r="N442" s="5" t="e">
        <f>IF((COUNTIFS(#REF!,$C442,#REF!,N$1))&gt;=1,"SIM","")</f>
        <v>#REF!</v>
      </c>
      <c r="O442" s="5"/>
      <c r="P442" s="5" t="e">
        <f>IF((COUNTIFS(#REF!,$C442,#REF!,P$1))&gt;=1,"SIM","")</f>
        <v>#REF!</v>
      </c>
      <c r="Q442" s="5" t="e">
        <f>IF((COUNTIFS(#REF!,$C442,#REF!,Q$1))&gt;=1,"SIM","")</f>
        <v>#REF!</v>
      </c>
      <c r="R442" s="5" t="e">
        <f>IF((COUNTIFS(#REF!,$C442,#REF!,"*CARTA*"))&gt;=1,"SIM","")</f>
        <v>#REF!</v>
      </c>
      <c r="S442" s="5" t="e">
        <f>IF((COUNTIFS(#REF!,$C442,#REF!,"*CARTA NOTIFICAÇÃO/DEVOL*"))&gt;=1,"SIM","")</f>
        <v>#REF!</v>
      </c>
      <c r="T442" s="5" t="e">
        <f>IF((COUNTIFS(#REF!,$C442,#REF!,"*LIGAÇÃO ATIVA DEV PRIN/LOC*"))&gt;=1,"SIM","")</f>
        <v>#REF!</v>
      </c>
    </row>
    <row r="443" spans="1:20">
      <c r="A443" s="24" t="s">
        <v>2153</v>
      </c>
      <c r="B443" s="24" t="s">
        <v>512</v>
      </c>
      <c r="C443" s="24" t="s">
        <v>513</v>
      </c>
      <c r="D443" s="5" t="e">
        <f>IF((COUNTIFS(#REF!,$C443,#REF!,"*163*"))&gt;=1,"SIM","")</f>
        <v>#REF!</v>
      </c>
      <c r="E443" s="5" t="e">
        <f>IF((COUNTIFS(#REF!,$C443,#REF!,E$1))&gt;=1,"SIM","")</f>
        <v>#REF!</v>
      </c>
      <c r="F443" s="5" t="e">
        <f>IF((COUNTIFS(#REF!,$C443,#REF!,F$1))&gt;=1,"SIM","")</f>
        <v>#REF!</v>
      </c>
      <c r="G443" s="5" t="e">
        <f>IF((COUNTIFS(#REF!,$C443,#REF!,"*606*"))&gt;=1,"SIM","")</f>
        <v>#REF!</v>
      </c>
      <c r="H443" s="5" t="e">
        <f>IF((COUNTIFS(#REF!,$C443,#REF!,"*605*"))&gt;=1,"SIM","")</f>
        <v>#REF!</v>
      </c>
      <c r="I443" s="5" t="e">
        <f>IF((COUNTIFS(#REF!,$C443,#REF!,I$1))&gt;=1,"SIM","")</f>
        <v>#REF!</v>
      </c>
      <c r="J443" s="5" t="e">
        <f>IF((COUNTIFS(#REF!,$C443,#REF!,J$1))&gt;=1,"SIM","")</f>
        <v>#REF!</v>
      </c>
      <c r="K443" s="5" t="e">
        <f>IF((COUNTIFS(#REF!,$C443,#REF!,K$1))&gt;=1,"SIM","")</f>
        <v>#REF!</v>
      </c>
      <c r="L443" s="5" t="e">
        <f>IF((COUNTIFS(#REF!,$C443,#REF!,L$1))&gt;=1,"SIM","")</f>
        <v>#REF!</v>
      </c>
      <c r="M443" s="5" t="e">
        <f>IF((COUNTIFS(#REF!,$C443,#REF!,M$1))&gt;=1,"SIM","")</f>
        <v>#REF!</v>
      </c>
      <c r="N443" s="5" t="e">
        <f>IF((COUNTIFS(#REF!,$C443,#REF!,N$1))&gt;=1,"SIM","")</f>
        <v>#REF!</v>
      </c>
      <c r="O443" s="5"/>
      <c r="P443" s="5" t="e">
        <f>IF((COUNTIFS(#REF!,$C443,#REF!,P$1))&gt;=1,"SIM","")</f>
        <v>#REF!</v>
      </c>
      <c r="Q443" s="5" t="e">
        <f>IF((COUNTIFS(#REF!,$C443,#REF!,Q$1))&gt;=1,"SIM","")</f>
        <v>#REF!</v>
      </c>
      <c r="R443" s="5" t="e">
        <f>IF((COUNTIFS(#REF!,$C443,#REF!,"*CARTA*"))&gt;=1,"SIM","")</f>
        <v>#REF!</v>
      </c>
      <c r="S443" s="5" t="e">
        <f>IF((COUNTIFS(#REF!,$C443,#REF!,"*CARTA NOTIFICAÇÃO/DEVOL*"))&gt;=1,"SIM","")</f>
        <v>#REF!</v>
      </c>
      <c r="T443" s="5" t="e">
        <f>IF((COUNTIFS(#REF!,$C443,#REF!,"*LIGAÇÃO ATIVA DEV PRIN/LOC*"))&gt;=1,"SIM","")</f>
        <v>#REF!</v>
      </c>
    </row>
    <row r="444" spans="1:20">
      <c r="A444" s="24" t="s">
        <v>2153</v>
      </c>
      <c r="B444" s="24" t="s">
        <v>692</v>
      </c>
      <c r="C444" s="24" t="s">
        <v>693</v>
      </c>
      <c r="D444" s="5" t="e">
        <f>IF((COUNTIFS(#REF!,$C444,#REF!,"*163*"))&gt;=1,"SIM","")</f>
        <v>#REF!</v>
      </c>
      <c r="E444" s="5" t="e">
        <f>IF((COUNTIFS(#REF!,$C444,#REF!,E$1))&gt;=1,"SIM","")</f>
        <v>#REF!</v>
      </c>
      <c r="F444" s="5" t="e">
        <f>IF((COUNTIFS(#REF!,$C444,#REF!,F$1))&gt;=1,"SIM","")</f>
        <v>#REF!</v>
      </c>
      <c r="G444" s="5" t="e">
        <f>IF((COUNTIFS(#REF!,$C444,#REF!,"*606*"))&gt;=1,"SIM","")</f>
        <v>#REF!</v>
      </c>
      <c r="H444" s="5" t="e">
        <f>IF((COUNTIFS(#REF!,$C444,#REF!,"*605*"))&gt;=1,"SIM","")</f>
        <v>#REF!</v>
      </c>
      <c r="I444" s="5" t="e">
        <f>IF((COUNTIFS(#REF!,$C444,#REF!,I$1))&gt;=1,"SIM","")</f>
        <v>#REF!</v>
      </c>
      <c r="J444" s="5" t="e">
        <f>IF((COUNTIFS(#REF!,$C444,#REF!,J$1))&gt;=1,"SIM","")</f>
        <v>#REF!</v>
      </c>
      <c r="K444" s="5" t="e">
        <f>IF((COUNTIFS(#REF!,$C444,#REF!,K$1))&gt;=1,"SIM","")</f>
        <v>#REF!</v>
      </c>
      <c r="L444" s="5" t="e">
        <f>IF((COUNTIFS(#REF!,$C444,#REF!,L$1))&gt;=1,"SIM","")</f>
        <v>#REF!</v>
      </c>
      <c r="M444" s="5" t="e">
        <f>IF((COUNTIFS(#REF!,$C444,#REF!,M$1))&gt;=1,"SIM","")</f>
        <v>#REF!</v>
      </c>
      <c r="N444" s="5" t="e">
        <f>IF((COUNTIFS(#REF!,$C444,#REF!,N$1))&gt;=1,"SIM","")</f>
        <v>#REF!</v>
      </c>
      <c r="O444" s="5"/>
      <c r="P444" s="5" t="e">
        <f>IF((COUNTIFS(#REF!,$C444,#REF!,P$1))&gt;=1,"SIM","")</f>
        <v>#REF!</v>
      </c>
      <c r="Q444" s="5" t="e">
        <f>IF((COUNTIFS(#REF!,$C444,#REF!,Q$1))&gt;=1,"SIM","")</f>
        <v>#REF!</v>
      </c>
      <c r="R444" s="5" t="e">
        <f>IF((COUNTIFS(#REF!,$C444,#REF!,"*CARTA*"))&gt;=1,"SIM","")</f>
        <v>#REF!</v>
      </c>
      <c r="S444" s="5" t="e">
        <f>IF((COUNTIFS(#REF!,$C444,#REF!,"*CARTA NOTIFICAÇÃO/DEVOL*"))&gt;=1,"SIM","")</f>
        <v>#REF!</v>
      </c>
      <c r="T444" s="5" t="e">
        <f>IF((COUNTIFS(#REF!,$C444,#REF!,"*LIGAÇÃO ATIVA DEV PRIN/LOC*"))&gt;=1,"SIM","")</f>
        <v>#REF!</v>
      </c>
    </row>
    <row r="445" spans="1:20">
      <c r="A445" s="24" t="s">
        <v>2153</v>
      </c>
      <c r="B445" s="24" t="s">
        <v>916</v>
      </c>
      <c r="C445" s="24" t="s">
        <v>917</v>
      </c>
      <c r="D445" s="5" t="e">
        <f>IF((COUNTIFS(#REF!,$C445,#REF!,"*163*"))&gt;=1,"SIM","")</f>
        <v>#REF!</v>
      </c>
      <c r="E445" s="5" t="e">
        <f>IF((COUNTIFS(#REF!,$C445,#REF!,E$1))&gt;=1,"SIM","")</f>
        <v>#REF!</v>
      </c>
      <c r="F445" s="5" t="e">
        <f>IF((COUNTIFS(#REF!,$C445,#REF!,F$1))&gt;=1,"SIM","")</f>
        <v>#REF!</v>
      </c>
      <c r="G445" s="5" t="e">
        <f>IF((COUNTIFS(#REF!,$C445,#REF!,"*606*"))&gt;=1,"SIM","")</f>
        <v>#REF!</v>
      </c>
      <c r="H445" s="5" t="e">
        <f>IF((COUNTIFS(#REF!,$C445,#REF!,"*605*"))&gt;=1,"SIM","")</f>
        <v>#REF!</v>
      </c>
      <c r="I445" s="5" t="e">
        <f>IF((COUNTIFS(#REF!,$C445,#REF!,I$1))&gt;=1,"SIM","")</f>
        <v>#REF!</v>
      </c>
      <c r="J445" s="5" t="e">
        <f>IF((COUNTIFS(#REF!,$C445,#REF!,J$1))&gt;=1,"SIM","")</f>
        <v>#REF!</v>
      </c>
      <c r="K445" s="5" t="e">
        <f>IF((COUNTIFS(#REF!,$C445,#REF!,K$1))&gt;=1,"SIM","")</f>
        <v>#REF!</v>
      </c>
      <c r="L445" s="5" t="e">
        <f>IF((COUNTIFS(#REF!,$C445,#REF!,L$1))&gt;=1,"SIM","")</f>
        <v>#REF!</v>
      </c>
      <c r="M445" s="5" t="e">
        <f>IF((COUNTIFS(#REF!,$C445,#REF!,M$1))&gt;=1,"SIM","")</f>
        <v>#REF!</v>
      </c>
      <c r="N445" s="5" t="e">
        <f>IF((COUNTIFS(#REF!,$C445,#REF!,N$1))&gt;=1,"SIM","")</f>
        <v>#REF!</v>
      </c>
      <c r="O445" s="5"/>
      <c r="P445" s="5" t="e">
        <f>IF((COUNTIFS(#REF!,$C445,#REF!,P$1))&gt;=1,"SIM","")</f>
        <v>#REF!</v>
      </c>
      <c r="Q445" s="5" t="e">
        <f>IF((COUNTIFS(#REF!,$C445,#REF!,Q$1))&gt;=1,"SIM","")</f>
        <v>#REF!</v>
      </c>
      <c r="R445" s="5" t="e">
        <f>IF((COUNTIFS(#REF!,$C445,#REF!,"*CARTA*"))&gt;=1,"SIM","")</f>
        <v>#REF!</v>
      </c>
      <c r="S445" s="5" t="e">
        <f>IF((COUNTIFS(#REF!,$C445,#REF!,"*CARTA NOTIFICAÇÃO/DEVOL*"))&gt;=1,"SIM","")</f>
        <v>#REF!</v>
      </c>
      <c r="T445" s="5" t="e">
        <f>IF((COUNTIFS(#REF!,$C445,#REF!,"*LIGAÇÃO ATIVA DEV PRIN/LOC*"))&gt;=1,"SIM","")</f>
        <v>#REF!</v>
      </c>
    </row>
    <row r="446" spans="1:20">
      <c r="A446" s="24" t="s">
        <v>2153</v>
      </c>
      <c r="B446" s="24" t="s">
        <v>324</v>
      </c>
      <c r="C446" s="24" t="s">
        <v>325</v>
      </c>
      <c r="D446" s="5" t="e">
        <f>IF((COUNTIFS(#REF!,$C446,#REF!,"*163*"))&gt;=1,"SIM","")</f>
        <v>#REF!</v>
      </c>
      <c r="E446" s="5" t="e">
        <f>IF((COUNTIFS(#REF!,$C446,#REF!,E$1))&gt;=1,"SIM","")</f>
        <v>#REF!</v>
      </c>
      <c r="F446" s="5" t="e">
        <f>IF((COUNTIFS(#REF!,$C446,#REF!,F$1))&gt;=1,"SIM","")</f>
        <v>#REF!</v>
      </c>
      <c r="G446" s="5" t="e">
        <f>IF((COUNTIFS(#REF!,$C446,#REF!,"*606*"))&gt;=1,"SIM","")</f>
        <v>#REF!</v>
      </c>
      <c r="H446" s="5" t="e">
        <f>IF((COUNTIFS(#REF!,$C446,#REF!,"*605*"))&gt;=1,"SIM","")</f>
        <v>#REF!</v>
      </c>
      <c r="I446" s="5" t="e">
        <f>IF((COUNTIFS(#REF!,$C446,#REF!,I$1))&gt;=1,"SIM","")</f>
        <v>#REF!</v>
      </c>
      <c r="J446" s="5" t="e">
        <f>IF((COUNTIFS(#REF!,$C446,#REF!,J$1))&gt;=1,"SIM","")</f>
        <v>#REF!</v>
      </c>
      <c r="K446" s="5" t="e">
        <f>IF((COUNTIFS(#REF!,$C446,#REF!,K$1))&gt;=1,"SIM","")</f>
        <v>#REF!</v>
      </c>
      <c r="L446" s="5" t="e">
        <f>IF((COUNTIFS(#REF!,$C446,#REF!,L$1))&gt;=1,"SIM","")</f>
        <v>#REF!</v>
      </c>
      <c r="M446" s="5" t="e">
        <f>IF((COUNTIFS(#REF!,$C446,#REF!,M$1))&gt;=1,"SIM","")</f>
        <v>#REF!</v>
      </c>
      <c r="N446" s="5" t="e">
        <f>IF((COUNTIFS(#REF!,$C446,#REF!,N$1))&gt;=1,"SIM","")</f>
        <v>#REF!</v>
      </c>
      <c r="O446" s="5"/>
      <c r="P446" s="5" t="e">
        <f>IF((COUNTIFS(#REF!,$C446,#REF!,P$1))&gt;=1,"SIM","")</f>
        <v>#REF!</v>
      </c>
      <c r="Q446" s="5" t="e">
        <f>IF((COUNTIFS(#REF!,$C446,#REF!,Q$1))&gt;=1,"SIM","")</f>
        <v>#REF!</v>
      </c>
      <c r="R446" s="5" t="e">
        <f>IF((COUNTIFS(#REF!,$C446,#REF!,"*CARTA*"))&gt;=1,"SIM","")</f>
        <v>#REF!</v>
      </c>
      <c r="S446" s="5" t="e">
        <f>IF((COUNTIFS(#REF!,$C446,#REF!,"*CARTA NOTIFICAÇÃO/DEVOL*"))&gt;=1,"SIM","")</f>
        <v>#REF!</v>
      </c>
      <c r="T446" s="5" t="e">
        <f>IF((COUNTIFS(#REF!,$C446,#REF!,"*LIGAÇÃO ATIVA DEV PRIN/LOC*"))&gt;=1,"SIM","")</f>
        <v>#REF!</v>
      </c>
    </row>
    <row r="447" spans="1:20">
      <c r="A447" s="24" t="s">
        <v>2159</v>
      </c>
      <c r="B447" s="24" t="s">
        <v>1008</v>
      </c>
      <c r="C447" s="24" t="s">
        <v>1009</v>
      </c>
      <c r="D447" s="5" t="e">
        <f>IF((COUNTIFS(#REF!,$C447,#REF!,"*163*"))&gt;=1,"SIM","")</f>
        <v>#REF!</v>
      </c>
      <c r="E447" s="5" t="e">
        <f>IF((COUNTIFS(#REF!,$C447,#REF!,E$1))&gt;=1,"SIM","")</f>
        <v>#REF!</v>
      </c>
      <c r="F447" s="5" t="e">
        <f>IF((COUNTIFS(#REF!,$C447,#REF!,F$1))&gt;=1,"SIM","")</f>
        <v>#REF!</v>
      </c>
      <c r="G447" s="5" t="e">
        <f>IF((COUNTIFS(#REF!,$C447,#REF!,"*606*"))&gt;=1,"SIM","")</f>
        <v>#REF!</v>
      </c>
      <c r="H447" s="5" t="e">
        <f>IF((COUNTIFS(#REF!,$C447,#REF!,"*605*"))&gt;=1,"SIM","")</f>
        <v>#REF!</v>
      </c>
      <c r="I447" s="5" t="e">
        <f>IF((COUNTIFS(#REF!,$C447,#REF!,I$1))&gt;=1,"SIM","")</f>
        <v>#REF!</v>
      </c>
      <c r="J447" s="5" t="e">
        <f>IF((COUNTIFS(#REF!,$C447,#REF!,J$1))&gt;=1,"SIM","")</f>
        <v>#REF!</v>
      </c>
      <c r="K447" s="5" t="e">
        <f>IF((COUNTIFS(#REF!,$C447,#REF!,K$1))&gt;=1,"SIM","")</f>
        <v>#REF!</v>
      </c>
      <c r="L447" s="5" t="e">
        <f>IF((COUNTIFS(#REF!,$C447,#REF!,L$1))&gt;=1,"SIM","")</f>
        <v>#REF!</v>
      </c>
      <c r="M447" s="5" t="e">
        <f>IF((COUNTIFS(#REF!,$C447,#REF!,M$1))&gt;=1,"SIM","")</f>
        <v>#REF!</v>
      </c>
      <c r="N447" s="5" t="e">
        <f>IF((COUNTIFS(#REF!,$C447,#REF!,N$1))&gt;=1,"SIM","")</f>
        <v>#REF!</v>
      </c>
      <c r="O447" s="5"/>
      <c r="P447" s="5" t="e">
        <f>IF((COUNTIFS(#REF!,$C447,#REF!,P$1))&gt;=1,"SIM","")</f>
        <v>#REF!</v>
      </c>
      <c r="Q447" s="5" t="e">
        <f>IF((COUNTIFS(#REF!,$C447,#REF!,Q$1))&gt;=1,"SIM","")</f>
        <v>#REF!</v>
      </c>
      <c r="R447" s="5" t="e">
        <f>IF((COUNTIFS(#REF!,$C447,#REF!,"*CARTA*"))&gt;=1,"SIM","")</f>
        <v>#REF!</v>
      </c>
      <c r="S447" s="5" t="e">
        <f>IF((COUNTIFS(#REF!,$C447,#REF!,"*CARTA NOTIFICAÇÃO/DEVOL*"))&gt;=1,"SIM","")</f>
        <v>#REF!</v>
      </c>
      <c r="T447" s="5" t="e">
        <f>IF((COUNTIFS(#REF!,$C447,#REF!,"*LIGAÇÃO ATIVA DEV PRIN/LOC*"))&gt;=1,"SIM","")</f>
        <v>#REF!</v>
      </c>
    </row>
    <row r="448" spans="1:20">
      <c r="A448" s="24" t="s">
        <v>2159</v>
      </c>
      <c r="B448" s="24" t="s">
        <v>1177</v>
      </c>
      <c r="C448" s="24" t="s">
        <v>2272</v>
      </c>
      <c r="D448" s="5" t="e">
        <f>IF((COUNTIFS(#REF!,$C448,#REF!,"*163*"))&gt;=1,"SIM","")</f>
        <v>#REF!</v>
      </c>
      <c r="E448" s="5" t="e">
        <f>IF((COUNTIFS(#REF!,$C448,#REF!,E$1))&gt;=1,"SIM","")</f>
        <v>#REF!</v>
      </c>
      <c r="F448" s="5" t="e">
        <f>IF((COUNTIFS(#REF!,$C448,#REF!,F$1))&gt;=1,"SIM","")</f>
        <v>#REF!</v>
      </c>
      <c r="G448" s="5" t="e">
        <f>IF((COUNTIFS(#REF!,$C448,#REF!,"*606*"))&gt;=1,"SIM","")</f>
        <v>#REF!</v>
      </c>
      <c r="H448" s="5" t="e">
        <f>IF((COUNTIFS(#REF!,$C448,#REF!,"*605*"))&gt;=1,"SIM","")</f>
        <v>#REF!</v>
      </c>
      <c r="I448" s="5" t="e">
        <f>IF((COUNTIFS(#REF!,$C448,#REF!,I$1))&gt;=1,"SIM","")</f>
        <v>#REF!</v>
      </c>
      <c r="J448" s="5" t="e">
        <f>IF((COUNTIFS(#REF!,$C448,#REF!,J$1))&gt;=1,"SIM","")</f>
        <v>#REF!</v>
      </c>
      <c r="K448" s="5" t="e">
        <f>IF((COUNTIFS(#REF!,$C448,#REF!,K$1))&gt;=1,"SIM","")</f>
        <v>#REF!</v>
      </c>
      <c r="L448" s="5" t="e">
        <f>IF((COUNTIFS(#REF!,$C448,#REF!,L$1))&gt;=1,"SIM","")</f>
        <v>#REF!</v>
      </c>
      <c r="M448" s="5" t="e">
        <f>IF((COUNTIFS(#REF!,$C448,#REF!,M$1))&gt;=1,"SIM","")</f>
        <v>#REF!</v>
      </c>
      <c r="N448" s="5" t="e">
        <f>IF((COUNTIFS(#REF!,$C448,#REF!,N$1))&gt;=1,"SIM","")</f>
        <v>#REF!</v>
      </c>
      <c r="O448" s="5"/>
      <c r="P448" s="5" t="e">
        <f>IF((COUNTIFS(#REF!,$C448,#REF!,P$1))&gt;=1,"SIM","")</f>
        <v>#REF!</v>
      </c>
      <c r="Q448" s="5" t="e">
        <f>IF((COUNTIFS(#REF!,$C448,#REF!,Q$1))&gt;=1,"SIM","")</f>
        <v>#REF!</v>
      </c>
      <c r="R448" s="5" t="e">
        <f>IF((COUNTIFS(#REF!,$C448,#REF!,"*CARTA*"))&gt;=1,"SIM","")</f>
        <v>#REF!</v>
      </c>
      <c r="S448" s="5" t="e">
        <f>IF((COUNTIFS(#REF!,$C448,#REF!,"*CARTA NOTIFICAÇÃO/DEVOL*"))&gt;=1,"SIM","")</f>
        <v>#REF!</v>
      </c>
      <c r="T448" s="5" t="e">
        <f>IF((COUNTIFS(#REF!,$C448,#REF!,"*LIGAÇÃO ATIVA DEV PRIN/LOC*"))&gt;=1,"SIM","")</f>
        <v>#REF!</v>
      </c>
    </row>
    <row r="449" spans="1:20">
      <c r="A449" s="24" t="s">
        <v>2153</v>
      </c>
      <c r="B449" s="24" t="s">
        <v>2460</v>
      </c>
      <c r="C449" s="24" t="s">
        <v>2461</v>
      </c>
      <c r="D449" s="5" t="e">
        <f>IF((COUNTIFS(#REF!,$C449,#REF!,"*163*"))&gt;=1,"SIM","")</f>
        <v>#REF!</v>
      </c>
      <c r="E449" s="5" t="e">
        <f>IF((COUNTIFS(#REF!,$C449,#REF!,E$1))&gt;=1,"SIM","")</f>
        <v>#REF!</v>
      </c>
      <c r="F449" s="5" t="e">
        <f>IF((COUNTIFS(#REF!,$C449,#REF!,F$1))&gt;=1,"SIM","")</f>
        <v>#REF!</v>
      </c>
      <c r="G449" s="5" t="e">
        <f>IF((COUNTIFS(#REF!,$C449,#REF!,"*606*"))&gt;=1,"SIM","")</f>
        <v>#REF!</v>
      </c>
      <c r="H449" s="5" t="e">
        <f>IF((COUNTIFS(#REF!,$C449,#REF!,"*605*"))&gt;=1,"SIM","")</f>
        <v>#REF!</v>
      </c>
      <c r="I449" s="5" t="e">
        <f>IF((COUNTIFS(#REF!,$C449,#REF!,I$1))&gt;=1,"SIM","")</f>
        <v>#REF!</v>
      </c>
      <c r="J449" s="5" t="e">
        <f>IF((COUNTIFS(#REF!,$C449,#REF!,J$1))&gt;=1,"SIM","")</f>
        <v>#REF!</v>
      </c>
      <c r="K449" s="5" t="e">
        <f>IF((COUNTIFS(#REF!,$C449,#REF!,K$1))&gt;=1,"SIM","")</f>
        <v>#REF!</v>
      </c>
      <c r="L449" s="5" t="e">
        <f>IF((COUNTIFS(#REF!,$C449,#REF!,L$1))&gt;=1,"SIM","")</f>
        <v>#REF!</v>
      </c>
      <c r="M449" s="5" t="e">
        <f>IF((COUNTIFS(#REF!,$C449,#REF!,M$1))&gt;=1,"SIM","")</f>
        <v>#REF!</v>
      </c>
      <c r="N449" s="5" t="e">
        <f>IF((COUNTIFS(#REF!,$C449,#REF!,N$1))&gt;=1,"SIM","")</f>
        <v>#REF!</v>
      </c>
      <c r="O449" s="5"/>
      <c r="P449" s="5" t="e">
        <f>IF((COUNTIFS(#REF!,$C449,#REF!,P$1))&gt;=1,"SIM","")</f>
        <v>#REF!</v>
      </c>
      <c r="Q449" s="5" t="e">
        <f>IF((COUNTIFS(#REF!,$C449,#REF!,Q$1))&gt;=1,"SIM","")</f>
        <v>#REF!</v>
      </c>
      <c r="R449" s="5" t="e">
        <f>IF((COUNTIFS(#REF!,$C449,#REF!,"*CARTA*"))&gt;=1,"SIM","")</f>
        <v>#REF!</v>
      </c>
      <c r="S449" s="5" t="e">
        <f>IF((COUNTIFS(#REF!,$C449,#REF!,"*CARTA NOTIFICAÇÃO/DEVOL*"))&gt;=1,"SIM","")</f>
        <v>#REF!</v>
      </c>
      <c r="T449" s="5" t="e">
        <f>IF((COUNTIFS(#REF!,$C449,#REF!,"*LIGAÇÃO ATIVA DEV PRIN/LOC*"))&gt;=1,"SIM","")</f>
        <v>#REF!</v>
      </c>
    </row>
    <row r="450" spans="1:20">
      <c r="A450" s="24" t="s">
        <v>2156</v>
      </c>
      <c r="B450" s="24" t="s">
        <v>100</v>
      </c>
      <c r="C450" s="24" t="s">
        <v>101</v>
      </c>
      <c r="D450" s="5" t="e">
        <f>IF((COUNTIFS(#REF!,$C450,#REF!,"*163*"))&gt;=1,"SIM","")</f>
        <v>#REF!</v>
      </c>
      <c r="E450" s="5" t="e">
        <f>IF((COUNTIFS(#REF!,$C450,#REF!,E$1))&gt;=1,"SIM","")</f>
        <v>#REF!</v>
      </c>
      <c r="F450" s="5" t="e">
        <f>IF((COUNTIFS(#REF!,$C450,#REF!,F$1))&gt;=1,"SIM","")</f>
        <v>#REF!</v>
      </c>
      <c r="G450" s="5" t="e">
        <f>IF((COUNTIFS(#REF!,$C450,#REF!,"*606*"))&gt;=1,"SIM","")</f>
        <v>#REF!</v>
      </c>
      <c r="H450" s="5" t="e">
        <f>IF((COUNTIFS(#REF!,$C450,#REF!,"*605*"))&gt;=1,"SIM","")</f>
        <v>#REF!</v>
      </c>
      <c r="I450" s="5" t="e">
        <f>IF((COUNTIFS(#REF!,$C450,#REF!,I$1))&gt;=1,"SIM","")</f>
        <v>#REF!</v>
      </c>
      <c r="J450" s="5" t="e">
        <f>IF((COUNTIFS(#REF!,$C450,#REF!,J$1))&gt;=1,"SIM","")</f>
        <v>#REF!</v>
      </c>
      <c r="K450" s="5" t="e">
        <f>IF((COUNTIFS(#REF!,$C450,#REF!,K$1))&gt;=1,"SIM","")</f>
        <v>#REF!</v>
      </c>
      <c r="L450" s="5" t="e">
        <f>IF((COUNTIFS(#REF!,$C450,#REF!,L$1))&gt;=1,"SIM","")</f>
        <v>#REF!</v>
      </c>
      <c r="M450" s="5" t="e">
        <f>IF((COUNTIFS(#REF!,$C450,#REF!,M$1))&gt;=1,"SIM","")</f>
        <v>#REF!</v>
      </c>
      <c r="N450" s="5" t="e">
        <f>IF((COUNTIFS(#REF!,$C450,#REF!,N$1))&gt;=1,"SIM","")</f>
        <v>#REF!</v>
      </c>
      <c r="O450" s="5"/>
      <c r="P450" s="5" t="e">
        <f>IF((COUNTIFS(#REF!,$C450,#REF!,P$1))&gt;=1,"SIM","")</f>
        <v>#REF!</v>
      </c>
      <c r="Q450" s="5" t="e">
        <f>IF((COUNTIFS(#REF!,$C450,#REF!,Q$1))&gt;=1,"SIM","")</f>
        <v>#REF!</v>
      </c>
      <c r="R450" s="5" t="e">
        <f>IF((COUNTIFS(#REF!,$C450,#REF!,"*CARTA*"))&gt;=1,"SIM","")</f>
        <v>#REF!</v>
      </c>
      <c r="S450" s="5" t="e">
        <f>IF((COUNTIFS(#REF!,$C450,#REF!,"*CARTA NOTIFICAÇÃO/DEVOL*"))&gt;=1,"SIM","")</f>
        <v>#REF!</v>
      </c>
      <c r="T450" s="5" t="e">
        <f>IF((COUNTIFS(#REF!,$C450,#REF!,"*LIGAÇÃO ATIVA DEV PRIN/LOC*"))&gt;=1,"SIM","")</f>
        <v>#REF!</v>
      </c>
    </row>
    <row r="451" spans="1:20">
      <c r="A451" s="24" t="s">
        <v>2153</v>
      </c>
      <c r="B451" s="24" t="s">
        <v>818</v>
      </c>
      <c r="C451" s="24" t="s">
        <v>819</v>
      </c>
      <c r="D451" s="5" t="e">
        <f>IF((COUNTIFS(#REF!,$C451,#REF!,"*163*"))&gt;=1,"SIM","")</f>
        <v>#REF!</v>
      </c>
      <c r="E451" s="5" t="e">
        <f>IF((COUNTIFS(#REF!,$C451,#REF!,E$1))&gt;=1,"SIM","")</f>
        <v>#REF!</v>
      </c>
      <c r="F451" s="5" t="e">
        <f>IF((COUNTIFS(#REF!,$C451,#REF!,F$1))&gt;=1,"SIM","")</f>
        <v>#REF!</v>
      </c>
      <c r="G451" s="5" t="e">
        <f>IF((COUNTIFS(#REF!,$C451,#REF!,"*606*"))&gt;=1,"SIM","")</f>
        <v>#REF!</v>
      </c>
      <c r="H451" s="5" t="e">
        <f>IF((COUNTIFS(#REF!,$C451,#REF!,"*605*"))&gt;=1,"SIM","")</f>
        <v>#REF!</v>
      </c>
      <c r="I451" s="5" t="e">
        <f>IF((COUNTIFS(#REF!,$C451,#REF!,I$1))&gt;=1,"SIM","")</f>
        <v>#REF!</v>
      </c>
      <c r="J451" s="5" t="e">
        <f>IF((COUNTIFS(#REF!,$C451,#REF!,J$1))&gt;=1,"SIM","")</f>
        <v>#REF!</v>
      </c>
      <c r="K451" s="5" t="e">
        <f>IF((COUNTIFS(#REF!,$C451,#REF!,K$1))&gt;=1,"SIM","")</f>
        <v>#REF!</v>
      </c>
      <c r="L451" s="5" t="e">
        <f>IF((COUNTIFS(#REF!,$C451,#REF!,L$1))&gt;=1,"SIM","")</f>
        <v>#REF!</v>
      </c>
      <c r="M451" s="5" t="e">
        <f>IF((COUNTIFS(#REF!,$C451,#REF!,M$1))&gt;=1,"SIM","")</f>
        <v>#REF!</v>
      </c>
      <c r="N451" s="5" t="e">
        <f>IF((COUNTIFS(#REF!,$C451,#REF!,N$1))&gt;=1,"SIM","")</f>
        <v>#REF!</v>
      </c>
      <c r="O451" s="5"/>
      <c r="P451" s="5" t="e">
        <f>IF((COUNTIFS(#REF!,$C451,#REF!,P$1))&gt;=1,"SIM","")</f>
        <v>#REF!</v>
      </c>
      <c r="Q451" s="5" t="e">
        <f>IF((COUNTIFS(#REF!,$C451,#REF!,Q$1))&gt;=1,"SIM","")</f>
        <v>#REF!</v>
      </c>
      <c r="R451" s="5" t="e">
        <f>IF((COUNTIFS(#REF!,$C451,#REF!,"*CARTA*"))&gt;=1,"SIM","")</f>
        <v>#REF!</v>
      </c>
      <c r="S451" s="5" t="e">
        <f>IF((COUNTIFS(#REF!,$C451,#REF!,"*CARTA NOTIFICAÇÃO/DEVOL*"))&gt;=1,"SIM","")</f>
        <v>#REF!</v>
      </c>
      <c r="T451" s="5" t="e">
        <f>IF((COUNTIFS(#REF!,$C451,#REF!,"*LIGAÇÃO ATIVA DEV PRIN/LOC*"))&gt;=1,"SIM","")</f>
        <v>#REF!</v>
      </c>
    </row>
    <row r="452" spans="1:20">
      <c r="A452" s="24" t="s">
        <v>2159</v>
      </c>
      <c r="B452" s="24" t="s">
        <v>2237</v>
      </c>
      <c r="C452" s="24" t="s">
        <v>2238</v>
      </c>
      <c r="D452" s="5" t="e">
        <f>IF((COUNTIFS(#REF!,$C452,#REF!,"*163*"))&gt;=1,"SIM","")</f>
        <v>#REF!</v>
      </c>
      <c r="E452" s="5" t="e">
        <f>IF((COUNTIFS(#REF!,$C452,#REF!,E$1))&gt;=1,"SIM","")</f>
        <v>#REF!</v>
      </c>
      <c r="F452" s="5" t="e">
        <f>IF((COUNTIFS(#REF!,$C452,#REF!,F$1))&gt;=1,"SIM","")</f>
        <v>#REF!</v>
      </c>
      <c r="G452" s="5" t="e">
        <f>IF((COUNTIFS(#REF!,$C452,#REF!,"*606*"))&gt;=1,"SIM","")</f>
        <v>#REF!</v>
      </c>
      <c r="H452" s="5" t="e">
        <f>IF((COUNTIFS(#REF!,$C452,#REF!,"*605*"))&gt;=1,"SIM","")</f>
        <v>#REF!</v>
      </c>
      <c r="I452" s="5" t="e">
        <f>IF((COUNTIFS(#REF!,$C452,#REF!,I$1))&gt;=1,"SIM","")</f>
        <v>#REF!</v>
      </c>
      <c r="J452" s="5" t="e">
        <f>IF((COUNTIFS(#REF!,$C452,#REF!,J$1))&gt;=1,"SIM","")</f>
        <v>#REF!</v>
      </c>
      <c r="K452" s="5" t="e">
        <f>IF((COUNTIFS(#REF!,$C452,#REF!,K$1))&gt;=1,"SIM","")</f>
        <v>#REF!</v>
      </c>
      <c r="L452" s="5" t="e">
        <f>IF((COUNTIFS(#REF!,$C452,#REF!,L$1))&gt;=1,"SIM","")</f>
        <v>#REF!</v>
      </c>
      <c r="M452" s="5" t="e">
        <f>IF((COUNTIFS(#REF!,$C452,#REF!,M$1))&gt;=1,"SIM","")</f>
        <v>#REF!</v>
      </c>
      <c r="N452" s="5" t="e">
        <f>IF((COUNTIFS(#REF!,$C452,#REF!,N$1))&gt;=1,"SIM","")</f>
        <v>#REF!</v>
      </c>
      <c r="O452" s="5"/>
      <c r="P452" s="5" t="e">
        <f>IF((COUNTIFS(#REF!,$C452,#REF!,P$1))&gt;=1,"SIM","")</f>
        <v>#REF!</v>
      </c>
      <c r="Q452" s="5" t="e">
        <f>IF((COUNTIFS(#REF!,$C452,#REF!,Q$1))&gt;=1,"SIM","")</f>
        <v>#REF!</v>
      </c>
      <c r="R452" s="5" t="e">
        <f>IF((COUNTIFS(#REF!,$C452,#REF!,"*CARTA*"))&gt;=1,"SIM","")</f>
        <v>#REF!</v>
      </c>
      <c r="S452" s="5" t="e">
        <f>IF((COUNTIFS(#REF!,$C452,#REF!,"*CARTA NOTIFICAÇÃO/DEVOL*"))&gt;=1,"SIM","")</f>
        <v>#REF!</v>
      </c>
      <c r="T452" s="5" t="e">
        <f>IF((COUNTIFS(#REF!,$C452,#REF!,"*LIGAÇÃO ATIVA DEV PRIN/LOC*"))&gt;=1,"SIM","")</f>
        <v>#REF!</v>
      </c>
    </row>
    <row r="453" spans="1:20">
      <c r="A453" s="24" t="s">
        <v>2159</v>
      </c>
      <c r="B453" s="24" t="s">
        <v>1069</v>
      </c>
      <c r="C453" s="24" t="s">
        <v>1070</v>
      </c>
      <c r="D453" s="5" t="e">
        <f>IF((COUNTIFS(#REF!,$C453,#REF!,"*163*"))&gt;=1,"SIM","")</f>
        <v>#REF!</v>
      </c>
      <c r="E453" s="5" t="e">
        <f>IF((COUNTIFS(#REF!,$C453,#REF!,E$1))&gt;=1,"SIM","")</f>
        <v>#REF!</v>
      </c>
      <c r="F453" s="5" t="e">
        <f>IF((COUNTIFS(#REF!,$C453,#REF!,F$1))&gt;=1,"SIM","")</f>
        <v>#REF!</v>
      </c>
      <c r="G453" s="5" t="e">
        <f>IF((COUNTIFS(#REF!,$C453,#REF!,"*606*"))&gt;=1,"SIM","")</f>
        <v>#REF!</v>
      </c>
      <c r="H453" s="5" t="e">
        <f>IF((COUNTIFS(#REF!,$C453,#REF!,"*605*"))&gt;=1,"SIM","")</f>
        <v>#REF!</v>
      </c>
      <c r="I453" s="5" t="e">
        <f>IF((COUNTIFS(#REF!,$C453,#REF!,I$1))&gt;=1,"SIM","")</f>
        <v>#REF!</v>
      </c>
      <c r="J453" s="5" t="e">
        <f>IF((COUNTIFS(#REF!,$C453,#REF!,J$1))&gt;=1,"SIM","")</f>
        <v>#REF!</v>
      </c>
      <c r="K453" s="5" t="e">
        <f>IF((COUNTIFS(#REF!,$C453,#REF!,K$1))&gt;=1,"SIM","")</f>
        <v>#REF!</v>
      </c>
      <c r="L453" s="5" t="e">
        <f>IF((COUNTIFS(#REF!,$C453,#REF!,L$1))&gt;=1,"SIM","")</f>
        <v>#REF!</v>
      </c>
      <c r="M453" s="5" t="e">
        <f>IF((COUNTIFS(#REF!,$C453,#REF!,M$1))&gt;=1,"SIM","")</f>
        <v>#REF!</v>
      </c>
      <c r="N453" s="5" t="e">
        <f>IF((COUNTIFS(#REF!,$C453,#REF!,N$1))&gt;=1,"SIM","")</f>
        <v>#REF!</v>
      </c>
      <c r="O453" s="5"/>
      <c r="P453" s="5" t="e">
        <f>IF((COUNTIFS(#REF!,$C453,#REF!,P$1))&gt;=1,"SIM","")</f>
        <v>#REF!</v>
      </c>
      <c r="Q453" s="5" t="e">
        <f>IF((COUNTIFS(#REF!,$C453,#REF!,Q$1))&gt;=1,"SIM","")</f>
        <v>#REF!</v>
      </c>
      <c r="R453" s="5" t="e">
        <f>IF((COUNTIFS(#REF!,$C453,#REF!,"*CARTA*"))&gt;=1,"SIM","")</f>
        <v>#REF!</v>
      </c>
      <c r="S453" s="5" t="e">
        <f>IF((COUNTIFS(#REF!,$C453,#REF!,"*CARTA NOTIFICAÇÃO/DEVOL*"))&gt;=1,"SIM","")</f>
        <v>#REF!</v>
      </c>
      <c r="T453" s="5" t="e">
        <f>IF((COUNTIFS(#REF!,$C453,#REF!,"*LIGAÇÃO ATIVA DEV PRIN/LOC*"))&gt;=1,"SIM","")</f>
        <v>#REF!</v>
      </c>
    </row>
    <row r="454" spans="1:20">
      <c r="A454" s="24" t="s">
        <v>2157</v>
      </c>
      <c r="B454" s="24" t="s">
        <v>1961</v>
      </c>
      <c r="C454" s="24" t="s">
        <v>1962</v>
      </c>
      <c r="D454" s="5" t="e">
        <f>IF((COUNTIFS(#REF!,$C454,#REF!,"*163*"))&gt;=1,"SIM","")</f>
        <v>#REF!</v>
      </c>
      <c r="E454" s="5" t="e">
        <f>IF((COUNTIFS(#REF!,$C454,#REF!,E$1))&gt;=1,"SIM","")</f>
        <v>#REF!</v>
      </c>
      <c r="F454" s="5" t="e">
        <f>IF((COUNTIFS(#REF!,$C454,#REF!,F$1))&gt;=1,"SIM","")</f>
        <v>#REF!</v>
      </c>
      <c r="G454" s="5" t="e">
        <f>IF((COUNTIFS(#REF!,$C454,#REF!,"*606*"))&gt;=1,"SIM","")</f>
        <v>#REF!</v>
      </c>
      <c r="H454" s="5" t="e">
        <f>IF((COUNTIFS(#REF!,$C454,#REF!,"*605*"))&gt;=1,"SIM","")</f>
        <v>#REF!</v>
      </c>
      <c r="I454" s="5" t="e">
        <f>IF((COUNTIFS(#REF!,$C454,#REF!,I$1))&gt;=1,"SIM","")</f>
        <v>#REF!</v>
      </c>
      <c r="J454" s="5" t="e">
        <f>IF((COUNTIFS(#REF!,$C454,#REF!,J$1))&gt;=1,"SIM","")</f>
        <v>#REF!</v>
      </c>
      <c r="K454" s="5" t="e">
        <f>IF((COUNTIFS(#REF!,$C454,#REF!,K$1))&gt;=1,"SIM","")</f>
        <v>#REF!</v>
      </c>
      <c r="L454" s="5" t="e">
        <f>IF((COUNTIFS(#REF!,$C454,#REF!,L$1))&gt;=1,"SIM","")</f>
        <v>#REF!</v>
      </c>
      <c r="M454" s="5" t="e">
        <f>IF((COUNTIFS(#REF!,$C454,#REF!,M$1))&gt;=1,"SIM","")</f>
        <v>#REF!</v>
      </c>
      <c r="N454" s="5" t="e">
        <f>IF((COUNTIFS(#REF!,$C454,#REF!,N$1))&gt;=1,"SIM","")</f>
        <v>#REF!</v>
      </c>
      <c r="O454" s="5"/>
      <c r="P454" s="5" t="e">
        <f>IF((COUNTIFS(#REF!,$C454,#REF!,P$1))&gt;=1,"SIM","")</f>
        <v>#REF!</v>
      </c>
      <c r="Q454" s="5" t="e">
        <f>IF((COUNTIFS(#REF!,$C454,#REF!,Q$1))&gt;=1,"SIM","")</f>
        <v>#REF!</v>
      </c>
      <c r="R454" s="5" t="e">
        <f>IF((COUNTIFS(#REF!,$C454,#REF!,"*CARTA*"))&gt;=1,"SIM","")</f>
        <v>#REF!</v>
      </c>
      <c r="S454" s="5" t="e">
        <f>IF((COUNTIFS(#REF!,$C454,#REF!,"*CARTA NOTIFICAÇÃO/DEVOL*"))&gt;=1,"SIM","")</f>
        <v>#REF!</v>
      </c>
      <c r="T454" s="5" t="e">
        <f>IF((COUNTIFS(#REF!,$C454,#REF!,"*LIGAÇÃO ATIVA DEV PRIN/LOC*"))&gt;=1,"SIM","")</f>
        <v>#REF!</v>
      </c>
    </row>
    <row r="455" spans="1:20">
      <c r="A455" s="24" t="s">
        <v>2155</v>
      </c>
      <c r="B455" s="24" t="s">
        <v>76</v>
      </c>
      <c r="C455" s="24" t="s">
        <v>77</v>
      </c>
      <c r="D455" s="5" t="e">
        <f>IF((COUNTIFS(#REF!,$C455,#REF!,"*163*"))&gt;=1,"SIM","")</f>
        <v>#REF!</v>
      </c>
      <c r="E455" s="5" t="e">
        <f>IF((COUNTIFS(#REF!,$C455,#REF!,E$1))&gt;=1,"SIM","")</f>
        <v>#REF!</v>
      </c>
      <c r="F455" s="5" t="e">
        <f>IF((COUNTIFS(#REF!,$C455,#REF!,F$1))&gt;=1,"SIM","")</f>
        <v>#REF!</v>
      </c>
      <c r="G455" s="5" t="e">
        <f>IF((COUNTIFS(#REF!,$C455,#REF!,"*606*"))&gt;=1,"SIM","")</f>
        <v>#REF!</v>
      </c>
      <c r="H455" s="5" t="e">
        <f>IF((COUNTIFS(#REF!,$C455,#REF!,"*605*"))&gt;=1,"SIM","")</f>
        <v>#REF!</v>
      </c>
      <c r="I455" s="5" t="e">
        <f>IF((COUNTIFS(#REF!,$C455,#REF!,I$1))&gt;=1,"SIM","")</f>
        <v>#REF!</v>
      </c>
      <c r="J455" s="5" t="e">
        <f>IF((COUNTIFS(#REF!,$C455,#REF!,J$1))&gt;=1,"SIM","")</f>
        <v>#REF!</v>
      </c>
      <c r="K455" s="5" t="e">
        <f>IF((COUNTIFS(#REF!,$C455,#REF!,K$1))&gt;=1,"SIM","")</f>
        <v>#REF!</v>
      </c>
      <c r="L455" s="5" t="e">
        <f>IF((COUNTIFS(#REF!,$C455,#REF!,L$1))&gt;=1,"SIM","")</f>
        <v>#REF!</v>
      </c>
      <c r="M455" s="5" t="e">
        <f>IF((COUNTIFS(#REF!,$C455,#REF!,M$1))&gt;=1,"SIM","")</f>
        <v>#REF!</v>
      </c>
      <c r="N455" s="5" t="e">
        <f>IF((COUNTIFS(#REF!,$C455,#REF!,N$1))&gt;=1,"SIM","")</f>
        <v>#REF!</v>
      </c>
      <c r="O455" s="5"/>
      <c r="P455" s="5" t="e">
        <f>IF((COUNTIFS(#REF!,$C455,#REF!,P$1))&gt;=1,"SIM","")</f>
        <v>#REF!</v>
      </c>
      <c r="Q455" s="5" t="e">
        <f>IF((COUNTIFS(#REF!,$C455,#REF!,Q$1))&gt;=1,"SIM","")</f>
        <v>#REF!</v>
      </c>
      <c r="R455" s="5" t="e">
        <f>IF((COUNTIFS(#REF!,$C455,#REF!,"*CARTA*"))&gt;=1,"SIM","")</f>
        <v>#REF!</v>
      </c>
      <c r="S455" s="5" t="e">
        <f>IF((COUNTIFS(#REF!,$C455,#REF!,"*CARTA NOTIFICAÇÃO/DEVOL*"))&gt;=1,"SIM","")</f>
        <v>#REF!</v>
      </c>
      <c r="T455" s="5" t="e">
        <f>IF((COUNTIFS(#REF!,$C455,#REF!,"*LIGAÇÃO ATIVA DEV PRIN/LOC*"))&gt;=1,"SIM","")</f>
        <v>#REF!</v>
      </c>
    </row>
    <row r="456" spans="1:20">
      <c r="A456" s="24" t="s">
        <v>2153</v>
      </c>
      <c r="B456" s="24" t="s">
        <v>744</v>
      </c>
      <c r="C456" s="24" t="s">
        <v>745</v>
      </c>
      <c r="D456" s="5" t="e">
        <f>IF((COUNTIFS(#REF!,$C456,#REF!,"*163*"))&gt;=1,"SIM","")</f>
        <v>#REF!</v>
      </c>
      <c r="E456" s="5" t="e">
        <f>IF((COUNTIFS(#REF!,$C456,#REF!,E$1))&gt;=1,"SIM","")</f>
        <v>#REF!</v>
      </c>
      <c r="F456" s="5" t="e">
        <f>IF((COUNTIFS(#REF!,$C456,#REF!,F$1))&gt;=1,"SIM","")</f>
        <v>#REF!</v>
      </c>
      <c r="G456" s="5" t="e">
        <f>IF((COUNTIFS(#REF!,$C456,#REF!,"*606*"))&gt;=1,"SIM","")</f>
        <v>#REF!</v>
      </c>
      <c r="H456" s="5" t="e">
        <f>IF((COUNTIFS(#REF!,$C456,#REF!,"*605*"))&gt;=1,"SIM","")</f>
        <v>#REF!</v>
      </c>
      <c r="I456" s="5" t="e">
        <f>IF((COUNTIFS(#REF!,$C456,#REF!,I$1))&gt;=1,"SIM","")</f>
        <v>#REF!</v>
      </c>
      <c r="J456" s="5" t="e">
        <f>IF((COUNTIFS(#REF!,$C456,#REF!,J$1))&gt;=1,"SIM","")</f>
        <v>#REF!</v>
      </c>
      <c r="K456" s="5" t="e">
        <f>IF((COUNTIFS(#REF!,$C456,#REF!,K$1))&gt;=1,"SIM","")</f>
        <v>#REF!</v>
      </c>
      <c r="L456" s="5" t="e">
        <f>IF((COUNTIFS(#REF!,$C456,#REF!,L$1))&gt;=1,"SIM","")</f>
        <v>#REF!</v>
      </c>
      <c r="M456" s="5" t="e">
        <f>IF((COUNTIFS(#REF!,$C456,#REF!,M$1))&gt;=1,"SIM","")</f>
        <v>#REF!</v>
      </c>
      <c r="N456" s="5" t="e">
        <f>IF((COUNTIFS(#REF!,$C456,#REF!,N$1))&gt;=1,"SIM","")</f>
        <v>#REF!</v>
      </c>
      <c r="O456" s="5"/>
      <c r="P456" s="5" t="e">
        <f>IF((COUNTIFS(#REF!,$C456,#REF!,P$1))&gt;=1,"SIM","")</f>
        <v>#REF!</v>
      </c>
      <c r="Q456" s="5" t="e">
        <f>IF((COUNTIFS(#REF!,$C456,#REF!,Q$1))&gt;=1,"SIM","")</f>
        <v>#REF!</v>
      </c>
      <c r="R456" s="5" t="e">
        <f>IF((COUNTIFS(#REF!,$C456,#REF!,"*CARTA*"))&gt;=1,"SIM","")</f>
        <v>#REF!</v>
      </c>
      <c r="S456" s="5" t="e">
        <f>IF((COUNTIFS(#REF!,$C456,#REF!,"*CARTA NOTIFICAÇÃO/DEVOL*"))&gt;=1,"SIM","")</f>
        <v>#REF!</v>
      </c>
      <c r="T456" s="5" t="e">
        <f>IF((COUNTIFS(#REF!,$C456,#REF!,"*LIGAÇÃO ATIVA DEV PRIN/LOC*"))&gt;=1,"SIM","")</f>
        <v>#REF!</v>
      </c>
    </row>
    <row r="457" spans="1:20">
      <c r="A457" s="24" t="s">
        <v>2159</v>
      </c>
      <c r="B457" s="24" t="s">
        <v>1554</v>
      </c>
      <c r="C457" s="24" t="s">
        <v>1555</v>
      </c>
      <c r="D457" s="5" t="e">
        <f>IF((COUNTIFS(#REF!,$C457,#REF!,"*163*"))&gt;=1,"SIM","")</f>
        <v>#REF!</v>
      </c>
      <c r="E457" s="5" t="e">
        <f>IF((COUNTIFS(#REF!,$C457,#REF!,E$1))&gt;=1,"SIM","")</f>
        <v>#REF!</v>
      </c>
      <c r="F457" s="5" t="e">
        <f>IF((COUNTIFS(#REF!,$C457,#REF!,F$1))&gt;=1,"SIM","")</f>
        <v>#REF!</v>
      </c>
      <c r="G457" s="5" t="e">
        <f>IF((COUNTIFS(#REF!,$C457,#REF!,"*606*"))&gt;=1,"SIM","")</f>
        <v>#REF!</v>
      </c>
      <c r="H457" s="5" t="e">
        <f>IF((COUNTIFS(#REF!,$C457,#REF!,"*605*"))&gt;=1,"SIM","")</f>
        <v>#REF!</v>
      </c>
      <c r="I457" s="5" t="e">
        <f>IF((COUNTIFS(#REF!,$C457,#REF!,I$1))&gt;=1,"SIM","")</f>
        <v>#REF!</v>
      </c>
      <c r="J457" s="5" t="e">
        <f>IF((COUNTIFS(#REF!,$C457,#REF!,J$1))&gt;=1,"SIM","")</f>
        <v>#REF!</v>
      </c>
      <c r="K457" s="5" t="e">
        <f>IF((COUNTIFS(#REF!,$C457,#REF!,K$1))&gt;=1,"SIM","")</f>
        <v>#REF!</v>
      </c>
      <c r="L457" s="5" t="e">
        <f>IF((COUNTIFS(#REF!,$C457,#REF!,L$1))&gt;=1,"SIM","")</f>
        <v>#REF!</v>
      </c>
      <c r="M457" s="5" t="e">
        <f>IF((COUNTIFS(#REF!,$C457,#REF!,M$1))&gt;=1,"SIM","")</f>
        <v>#REF!</v>
      </c>
      <c r="N457" s="5" t="e">
        <f>IF((COUNTIFS(#REF!,$C457,#REF!,N$1))&gt;=1,"SIM","")</f>
        <v>#REF!</v>
      </c>
      <c r="O457" s="5"/>
      <c r="P457" s="5" t="e">
        <f>IF((COUNTIFS(#REF!,$C457,#REF!,P$1))&gt;=1,"SIM","")</f>
        <v>#REF!</v>
      </c>
      <c r="Q457" s="5" t="e">
        <f>IF((COUNTIFS(#REF!,$C457,#REF!,Q$1))&gt;=1,"SIM","")</f>
        <v>#REF!</v>
      </c>
      <c r="R457" s="5" t="e">
        <f>IF((COUNTIFS(#REF!,$C457,#REF!,"*CARTA*"))&gt;=1,"SIM","")</f>
        <v>#REF!</v>
      </c>
      <c r="S457" s="5" t="e">
        <f>IF((COUNTIFS(#REF!,$C457,#REF!,"*CARTA NOTIFICAÇÃO/DEVOL*"))&gt;=1,"SIM","")</f>
        <v>#REF!</v>
      </c>
      <c r="T457" s="5" t="e">
        <f>IF((COUNTIFS(#REF!,$C457,#REF!,"*LIGAÇÃO ATIVA DEV PRIN/LOC*"))&gt;=1,"SIM","")</f>
        <v>#REF!</v>
      </c>
    </row>
    <row r="458" spans="1:20">
      <c r="A458" s="24" t="s">
        <v>2153</v>
      </c>
      <c r="B458" s="24" t="s">
        <v>966</v>
      </c>
      <c r="C458" s="24" t="s">
        <v>967</v>
      </c>
      <c r="D458" s="5" t="e">
        <f>IF((COUNTIFS(#REF!,$C458,#REF!,"*163*"))&gt;=1,"SIM","")</f>
        <v>#REF!</v>
      </c>
      <c r="E458" s="5" t="e">
        <f>IF((COUNTIFS(#REF!,$C458,#REF!,E$1))&gt;=1,"SIM","")</f>
        <v>#REF!</v>
      </c>
      <c r="F458" s="5" t="e">
        <f>IF((COUNTIFS(#REF!,$C458,#REF!,F$1))&gt;=1,"SIM","")</f>
        <v>#REF!</v>
      </c>
      <c r="G458" s="5" t="e">
        <f>IF((COUNTIFS(#REF!,$C458,#REF!,"*606*"))&gt;=1,"SIM","")</f>
        <v>#REF!</v>
      </c>
      <c r="H458" s="5" t="e">
        <f>IF((COUNTIFS(#REF!,$C458,#REF!,"*605*"))&gt;=1,"SIM","")</f>
        <v>#REF!</v>
      </c>
      <c r="I458" s="5" t="e">
        <f>IF((COUNTIFS(#REF!,$C458,#REF!,I$1))&gt;=1,"SIM","")</f>
        <v>#REF!</v>
      </c>
      <c r="J458" s="5" t="e">
        <f>IF((COUNTIFS(#REF!,$C458,#REF!,J$1))&gt;=1,"SIM","")</f>
        <v>#REF!</v>
      </c>
      <c r="K458" s="5" t="e">
        <f>IF((COUNTIFS(#REF!,$C458,#REF!,K$1))&gt;=1,"SIM","")</f>
        <v>#REF!</v>
      </c>
      <c r="L458" s="5" t="e">
        <f>IF((COUNTIFS(#REF!,$C458,#REF!,L$1))&gt;=1,"SIM","")</f>
        <v>#REF!</v>
      </c>
      <c r="M458" s="5" t="e">
        <f>IF((COUNTIFS(#REF!,$C458,#REF!,M$1))&gt;=1,"SIM","")</f>
        <v>#REF!</v>
      </c>
      <c r="N458" s="5" t="e">
        <f>IF((COUNTIFS(#REF!,$C458,#REF!,N$1))&gt;=1,"SIM","")</f>
        <v>#REF!</v>
      </c>
      <c r="O458" s="5"/>
      <c r="P458" s="5" t="e">
        <f>IF((COUNTIFS(#REF!,$C458,#REF!,P$1))&gt;=1,"SIM","")</f>
        <v>#REF!</v>
      </c>
      <c r="Q458" s="5" t="e">
        <f>IF((COUNTIFS(#REF!,$C458,#REF!,Q$1))&gt;=1,"SIM","")</f>
        <v>#REF!</v>
      </c>
      <c r="R458" s="5" t="e">
        <f>IF((COUNTIFS(#REF!,$C458,#REF!,"*CARTA*"))&gt;=1,"SIM","")</f>
        <v>#REF!</v>
      </c>
      <c r="S458" s="5" t="e">
        <f>IF((COUNTIFS(#REF!,$C458,#REF!,"*CARTA NOTIFICAÇÃO/DEVOL*"))&gt;=1,"SIM","")</f>
        <v>#REF!</v>
      </c>
      <c r="T458" s="5" t="e">
        <f>IF((COUNTIFS(#REF!,$C458,#REF!,"*LIGAÇÃO ATIVA DEV PRIN/LOC*"))&gt;=1,"SIM","")</f>
        <v>#REF!</v>
      </c>
    </row>
    <row r="459" spans="1:20">
      <c r="A459" s="24" t="s">
        <v>2159</v>
      </c>
      <c r="B459" s="24" t="s">
        <v>867</v>
      </c>
      <c r="C459" s="24" t="s">
        <v>868</v>
      </c>
      <c r="D459" s="5" t="e">
        <f>IF((COUNTIFS(#REF!,$C459,#REF!,"*163*"))&gt;=1,"SIM","")</f>
        <v>#REF!</v>
      </c>
      <c r="E459" s="5" t="e">
        <f>IF((COUNTIFS(#REF!,$C459,#REF!,E$1))&gt;=1,"SIM","")</f>
        <v>#REF!</v>
      </c>
      <c r="F459" s="5" t="e">
        <f>IF((COUNTIFS(#REF!,$C459,#REF!,F$1))&gt;=1,"SIM","")</f>
        <v>#REF!</v>
      </c>
      <c r="G459" s="5" t="e">
        <f>IF((COUNTIFS(#REF!,$C459,#REF!,"*606*"))&gt;=1,"SIM","")</f>
        <v>#REF!</v>
      </c>
      <c r="H459" s="5" t="e">
        <f>IF((COUNTIFS(#REF!,$C459,#REF!,"*605*"))&gt;=1,"SIM","")</f>
        <v>#REF!</v>
      </c>
      <c r="I459" s="5" t="e">
        <f>IF((COUNTIFS(#REF!,$C459,#REF!,I$1))&gt;=1,"SIM","")</f>
        <v>#REF!</v>
      </c>
      <c r="J459" s="5" t="e">
        <f>IF((COUNTIFS(#REF!,$C459,#REF!,J$1))&gt;=1,"SIM","")</f>
        <v>#REF!</v>
      </c>
      <c r="K459" s="5" t="e">
        <f>IF((COUNTIFS(#REF!,$C459,#REF!,K$1))&gt;=1,"SIM","")</f>
        <v>#REF!</v>
      </c>
      <c r="L459" s="5" t="e">
        <f>IF((COUNTIFS(#REF!,$C459,#REF!,L$1))&gt;=1,"SIM","")</f>
        <v>#REF!</v>
      </c>
      <c r="M459" s="5" t="e">
        <f>IF((COUNTIFS(#REF!,$C459,#REF!,M$1))&gt;=1,"SIM","")</f>
        <v>#REF!</v>
      </c>
      <c r="N459" s="5" t="e">
        <f>IF((COUNTIFS(#REF!,$C459,#REF!,N$1))&gt;=1,"SIM","")</f>
        <v>#REF!</v>
      </c>
      <c r="O459" s="5"/>
      <c r="P459" s="5" t="e">
        <f>IF((COUNTIFS(#REF!,$C459,#REF!,P$1))&gt;=1,"SIM","")</f>
        <v>#REF!</v>
      </c>
      <c r="Q459" s="5" t="e">
        <f>IF((COUNTIFS(#REF!,$C459,#REF!,Q$1))&gt;=1,"SIM","")</f>
        <v>#REF!</v>
      </c>
      <c r="R459" s="5" t="e">
        <f>IF((COUNTIFS(#REF!,$C459,#REF!,"*CARTA*"))&gt;=1,"SIM","")</f>
        <v>#REF!</v>
      </c>
      <c r="S459" s="5" t="e">
        <f>IF((COUNTIFS(#REF!,$C459,#REF!,"*CARTA NOTIFICAÇÃO/DEVOL*"))&gt;=1,"SIM","")</f>
        <v>#REF!</v>
      </c>
      <c r="T459" s="5" t="e">
        <f>IF((COUNTIFS(#REF!,$C459,#REF!,"*LIGAÇÃO ATIVA DEV PRIN/LOC*"))&gt;=1,"SIM","")</f>
        <v>#REF!</v>
      </c>
    </row>
    <row r="460" spans="1:20">
      <c r="A460" s="24" t="s">
        <v>2153</v>
      </c>
      <c r="B460" s="24" t="s">
        <v>956</v>
      </c>
      <c r="C460" s="24" t="s">
        <v>957</v>
      </c>
      <c r="D460" s="5" t="e">
        <f>IF((COUNTIFS(#REF!,$C460,#REF!,"*163*"))&gt;=1,"SIM","")</f>
        <v>#REF!</v>
      </c>
      <c r="E460" s="5" t="e">
        <f>IF((COUNTIFS(#REF!,$C460,#REF!,E$1))&gt;=1,"SIM","")</f>
        <v>#REF!</v>
      </c>
      <c r="F460" s="5" t="e">
        <f>IF((COUNTIFS(#REF!,$C460,#REF!,F$1))&gt;=1,"SIM","")</f>
        <v>#REF!</v>
      </c>
      <c r="G460" s="5" t="e">
        <f>IF((COUNTIFS(#REF!,$C460,#REF!,"*606*"))&gt;=1,"SIM","")</f>
        <v>#REF!</v>
      </c>
      <c r="H460" s="5" t="e">
        <f>IF((COUNTIFS(#REF!,$C460,#REF!,"*605*"))&gt;=1,"SIM","")</f>
        <v>#REF!</v>
      </c>
      <c r="I460" s="5" t="e">
        <f>IF((COUNTIFS(#REF!,$C460,#REF!,I$1))&gt;=1,"SIM","")</f>
        <v>#REF!</v>
      </c>
      <c r="J460" s="5" t="e">
        <f>IF((COUNTIFS(#REF!,$C460,#REF!,J$1))&gt;=1,"SIM","")</f>
        <v>#REF!</v>
      </c>
      <c r="K460" s="5" t="e">
        <f>IF((COUNTIFS(#REF!,$C460,#REF!,K$1))&gt;=1,"SIM","")</f>
        <v>#REF!</v>
      </c>
      <c r="L460" s="5" t="e">
        <f>IF((COUNTIFS(#REF!,$C460,#REF!,L$1))&gt;=1,"SIM","")</f>
        <v>#REF!</v>
      </c>
      <c r="M460" s="5" t="e">
        <f>IF((COUNTIFS(#REF!,$C460,#REF!,M$1))&gt;=1,"SIM","")</f>
        <v>#REF!</v>
      </c>
      <c r="N460" s="5" t="e">
        <f>IF((COUNTIFS(#REF!,$C460,#REF!,N$1))&gt;=1,"SIM","")</f>
        <v>#REF!</v>
      </c>
      <c r="O460" s="5"/>
      <c r="P460" s="5" t="e">
        <f>IF((COUNTIFS(#REF!,$C460,#REF!,P$1))&gt;=1,"SIM","")</f>
        <v>#REF!</v>
      </c>
      <c r="Q460" s="5" t="e">
        <f>IF((COUNTIFS(#REF!,$C460,#REF!,Q$1))&gt;=1,"SIM","")</f>
        <v>#REF!</v>
      </c>
      <c r="R460" s="5" t="e">
        <f>IF((COUNTIFS(#REF!,$C460,#REF!,"*CARTA*"))&gt;=1,"SIM","")</f>
        <v>#REF!</v>
      </c>
      <c r="S460" s="5" t="e">
        <f>IF((COUNTIFS(#REF!,$C460,#REF!,"*CARTA NOTIFICAÇÃO/DEVOL*"))&gt;=1,"SIM","")</f>
        <v>#REF!</v>
      </c>
      <c r="T460" s="5" t="e">
        <f>IF((COUNTIFS(#REF!,$C460,#REF!,"*LIGAÇÃO ATIVA DEV PRIN/LOC*"))&gt;=1,"SIM","")</f>
        <v>#REF!</v>
      </c>
    </row>
    <row r="461" spans="1:20">
      <c r="A461" s="24" t="s">
        <v>2155</v>
      </c>
      <c r="B461" s="24" t="s">
        <v>183</v>
      </c>
      <c r="C461" s="24" t="s">
        <v>2146</v>
      </c>
      <c r="D461" s="5" t="e">
        <f>IF((COUNTIFS(#REF!,$C461,#REF!,"*163*"))&gt;=1,"SIM","")</f>
        <v>#REF!</v>
      </c>
      <c r="E461" s="5" t="e">
        <f>IF((COUNTIFS(#REF!,$C461,#REF!,E$1))&gt;=1,"SIM","")</f>
        <v>#REF!</v>
      </c>
      <c r="F461" s="5" t="e">
        <f>IF((COUNTIFS(#REF!,$C461,#REF!,F$1))&gt;=1,"SIM","")</f>
        <v>#REF!</v>
      </c>
      <c r="G461" s="5" t="e">
        <f>IF((COUNTIFS(#REF!,$C461,#REF!,"*606*"))&gt;=1,"SIM","")</f>
        <v>#REF!</v>
      </c>
      <c r="H461" s="5" t="e">
        <f>IF((COUNTIFS(#REF!,$C461,#REF!,"*605*"))&gt;=1,"SIM","")</f>
        <v>#REF!</v>
      </c>
      <c r="I461" s="5" t="e">
        <f>IF((COUNTIFS(#REF!,$C461,#REF!,I$1))&gt;=1,"SIM","")</f>
        <v>#REF!</v>
      </c>
      <c r="J461" s="5" t="e">
        <f>IF((COUNTIFS(#REF!,$C461,#REF!,J$1))&gt;=1,"SIM","")</f>
        <v>#REF!</v>
      </c>
      <c r="K461" s="5" t="e">
        <f>IF((COUNTIFS(#REF!,$C461,#REF!,K$1))&gt;=1,"SIM","")</f>
        <v>#REF!</v>
      </c>
      <c r="L461" s="5" t="e">
        <f>IF((COUNTIFS(#REF!,$C461,#REF!,L$1))&gt;=1,"SIM","")</f>
        <v>#REF!</v>
      </c>
      <c r="M461" s="5" t="e">
        <f>IF((COUNTIFS(#REF!,$C461,#REF!,M$1))&gt;=1,"SIM","")</f>
        <v>#REF!</v>
      </c>
      <c r="N461" s="5" t="e">
        <f>IF((COUNTIFS(#REF!,$C461,#REF!,N$1))&gt;=1,"SIM","")</f>
        <v>#REF!</v>
      </c>
      <c r="O461" s="5"/>
      <c r="P461" s="5" t="e">
        <f>IF((COUNTIFS(#REF!,$C461,#REF!,P$1))&gt;=1,"SIM","")</f>
        <v>#REF!</v>
      </c>
      <c r="Q461" s="5" t="e">
        <f>IF((COUNTIFS(#REF!,$C461,#REF!,Q$1))&gt;=1,"SIM","")</f>
        <v>#REF!</v>
      </c>
      <c r="R461" s="5" t="e">
        <f>IF((COUNTIFS(#REF!,$C461,#REF!,"*CARTA*"))&gt;=1,"SIM","")</f>
        <v>#REF!</v>
      </c>
      <c r="S461" s="5" t="e">
        <f>IF((COUNTIFS(#REF!,$C461,#REF!,"*CARTA NOTIFICAÇÃO/DEVOL*"))&gt;=1,"SIM","")</f>
        <v>#REF!</v>
      </c>
      <c r="T461" s="5" t="e">
        <f>IF((COUNTIFS(#REF!,$C461,#REF!,"*LIGAÇÃO ATIVA DEV PRIN/LOC*"))&gt;=1,"SIM","")</f>
        <v>#REF!</v>
      </c>
    </row>
    <row r="462" spans="1:20">
      <c r="A462" s="24" t="s">
        <v>2155</v>
      </c>
      <c r="B462" s="24" t="s">
        <v>2388</v>
      </c>
      <c r="C462" s="24" t="s">
        <v>2389</v>
      </c>
      <c r="D462" s="5" t="e">
        <f>IF((COUNTIFS(#REF!,$C462,#REF!,"*163*"))&gt;=1,"SIM","")</f>
        <v>#REF!</v>
      </c>
      <c r="E462" s="5" t="e">
        <f>IF((COUNTIFS(#REF!,$C462,#REF!,E$1))&gt;=1,"SIM","")</f>
        <v>#REF!</v>
      </c>
      <c r="F462" s="5" t="e">
        <f>IF((COUNTIFS(#REF!,$C462,#REF!,F$1))&gt;=1,"SIM","")</f>
        <v>#REF!</v>
      </c>
      <c r="G462" s="5" t="e">
        <f>IF((COUNTIFS(#REF!,$C462,#REF!,"*606*"))&gt;=1,"SIM","")</f>
        <v>#REF!</v>
      </c>
      <c r="H462" s="5" t="e">
        <f>IF((COUNTIFS(#REF!,$C462,#REF!,"*605*"))&gt;=1,"SIM","")</f>
        <v>#REF!</v>
      </c>
      <c r="I462" s="5" t="e">
        <f>IF((COUNTIFS(#REF!,$C462,#REF!,I$1))&gt;=1,"SIM","")</f>
        <v>#REF!</v>
      </c>
      <c r="J462" s="5" t="e">
        <f>IF((COUNTIFS(#REF!,$C462,#REF!,J$1))&gt;=1,"SIM","")</f>
        <v>#REF!</v>
      </c>
      <c r="K462" s="5" t="e">
        <f>IF((COUNTIFS(#REF!,$C462,#REF!,K$1))&gt;=1,"SIM","")</f>
        <v>#REF!</v>
      </c>
      <c r="L462" s="5" t="e">
        <f>IF((COUNTIFS(#REF!,$C462,#REF!,L$1))&gt;=1,"SIM","")</f>
        <v>#REF!</v>
      </c>
      <c r="M462" s="5" t="e">
        <f>IF((COUNTIFS(#REF!,$C462,#REF!,M$1))&gt;=1,"SIM","")</f>
        <v>#REF!</v>
      </c>
      <c r="N462" s="5" t="e">
        <f>IF((COUNTIFS(#REF!,$C462,#REF!,N$1))&gt;=1,"SIM","")</f>
        <v>#REF!</v>
      </c>
      <c r="O462" s="5"/>
      <c r="P462" s="5" t="e">
        <f>IF((COUNTIFS(#REF!,$C462,#REF!,P$1))&gt;=1,"SIM","")</f>
        <v>#REF!</v>
      </c>
      <c r="Q462" s="5" t="e">
        <f>IF((COUNTIFS(#REF!,$C462,#REF!,Q$1))&gt;=1,"SIM","")</f>
        <v>#REF!</v>
      </c>
      <c r="R462" s="5" t="e">
        <f>IF((COUNTIFS(#REF!,$C462,#REF!,"*CARTA*"))&gt;=1,"SIM","")</f>
        <v>#REF!</v>
      </c>
      <c r="S462" s="5" t="e">
        <f>IF((COUNTIFS(#REF!,$C462,#REF!,"*CARTA NOTIFICAÇÃO/DEVOL*"))&gt;=1,"SIM","")</f>
        <v>#REF!</v>
      </c>
      <c r="T462" s="5" t="e">
        <f>IF((COUNTIFS(#REF!,$C462,#REF!,"*LIGAÇÃO ATIVA DEV PRIN/LOC*"))&gt;=1,"SIM","")</f>
        <v>#REF!</v>
      </c>
    </row>
    <row r="463" spans="1:20">
      <c r="A463" s="24" t="s">
        <v>2155</v>
      </c>
      <c r="B463" s="24" t="s">
        <v>2215</v>
      </c>
      <c r="C463" s="24" t="s">
        <v>2216</v>
      </c>
      <c r="D463" s="5" t="e">
        <f>IF((COUNTIFS(#REF!,$C463,#REF!,"*163*"))&gt;=1,"SIM","")</f>
        <v>#REF!</v>
      </c>
      <c r="E463" s="5" t="e">
        <f>IF((COUNTIFS(#REF!,$C463,#REF!,E$1))&gt;=1,"SIM","")</f>
        <v>#REF!</v>
      </c>
      <c r="F463" s="5" t="e">
        <f>IF((COUNTIFS(#REF!,$C463,#REF!,F$1))&gt;=1,"SIM","")</f>
        <v>#REF!</v>
      </c>
      <c r="G463" s="5" t="e">
        <f>IF((COUNTIFS(#REF!,$C463,#REF!,"*606*"))&gt;=1,"SIM","")</f>
        <v>#REF!</v>
      </c>
      <c r="H463" s="5" t="e">
        <f>IF((COUNTIFS(#REF!,$C463,#REF!,"*605*"))&gt;=1,"SIM","")</f>
        <v>#REF!</v>
      </c>
      <c r="I463" s="5" t="e">
        <f>IF((COUNTIFS(#REF!,$C463,#REF!,I$1))&gt;=1,"SIM","")</f>
        <v>#REF!</v>
      </c>
      <c r="J463" s="5" t="e">
        <f>IF((COUNTIFS(#REF!,$C463,#REF!,J$1))&gt;=1,"SIM","")</f>
        <v>#REF!</v>
      </c>
      <c r="K463" s="5" t="e">
        <f>IF((COUNTIFS(#REF!,$C463,#REF!,K$1))&gt;=1,"SIM","")</f>
        <v>#REF!</v>
      </c>
      <c r="L463" s="5" t="e">
        <f>IF((COUNTIFS(#REF!,$C463,#REF!,L$1))&gt;=1,"SIM","")</f>
        <v>#REF!</v>
      </c>
      <c r="M463" s="5" t="e">
        <f>IF((COUNTIFS(#REF!,$C463,#REF!,M$1))&gt;=1,"SIM","")</f>
        <v>#REF!</v>
      </c>
      <c r="N463" s="5" t="e">
        <f>IF((COUNTIFS(#REF!,$C463,#REF!,N$1))&gt;=1,"SIM","")</f>
        <v>#REF!</v>
      </c>
      <c r="O463" s="5"/>
      <c r="P463" s="5" t="e">
        <f>IF((COUNTIFS(#REF!,$C463,#REF!,P$1))&gt;=1,"SIM","")</f>
        <v>#REF!</v>
      </c>
      <c r="Q463" s="5" t="e">
        <f>IF((COUNTIFS(#REF!,$C463,#REF!,Q$1))&gt;=1,"SIM","")</f>
        <v>#REF!</v>
      </c>
      <c r="R463" s="5" t="e">
        <f>IF((COUNTIFS(#REF!,$C463,#REF!,"*CARTA*"))&gt;=1,"SIM","")</f>
        <v>#REF!</v>
      </c>
      <c r="S463" s="5" t="e">
        <f>IF((COUNTIFS(#REF!,$C463,#REF!,"*CARTA NOTIFICAÇÃO/DEVOL*"))&gt;=1,"SIM","")</f>
        <v>#REF!</v>
      </c>
      <c r="T463" s="5" t="e">
        <f>IF((COUNTIFS(#REF!,$C463,#REF!,"*LIGAÇÃO ATIVA DEV PRIN/LOC*"))&gt;=1,"SIM","")</f>
        <v>#REF!</v>
      </c>
    </row>
    <row r="464" spans="1:20">
      <c r="A464" s="24" t="s">
        <v>2159</v>
      </c>
      <c r="B464" s="24" t="s">
        <v>1562</v>
      </c>
      <c r="C464" s="24" t="s">
        <v>1563</v>
      </c>
      <c r="D464" s="5" t="e">
        <f>IF((COUNTIFS(#REF!,$C464,#REF!,"*163*"))&gt;=1,"SIM","")</f>
        <v>#REF!</v>
      </c>
      <c r="E464" s="5" t="e">
        <f>IF((COUNTIFS(#REF!,$C464,#REF!,E$1))&gt;=1,"SIM","")</f>
        <v>#REF!</v>
      </c>
      <c r="F464" s="5" t="e">
        <f>IF((COUNTIFS(#REF!,$C464,#REF!,F$1))&gt;=1,"SIM","")</f>
        <v>#REF!</v>
      </c>
      <c r="G464" s="5" t="e">
        <f>IF((COUNTIFS(#REF!,$C464,#REF!,"*606*"))&gt;=1,"SIM","")</f>
        <v>#REF!</v>
      </c>
      <c r="H464" s="5" t="e">
        <f>IF((COUNTIFS(#REF!,$C464,#REF!,"*605*"))&gt;=1,"SIM","")</f>
        <v>#REF!</v>
      </c>
      <c r="I464" s="5" t="e">
        <f>IF((COUNTIFS(#REF!,$C464,#REF!,I$1))&gt;=1,"SIM","")</f>
        <v>#REF!</v>
      </c>
      <c r="J464" s="5" t="e">
        <f>IF((COUNTIFS(#REF!,$C464,#REF!,J$1))&gt;=1,"SIM","")</f>
        <v>#REF!</v>
      </c>
      <c r="K464" s="5" t="e">
        <f>IF((COUNTIFS(#REF!,$C464,#REF!,K$1))&gt;=1,"SIM","")</f>
        <v>#REF!</v>
      </c>
      <c r="L464" s="5" t="e">
        <f>IF((COUNTIFS(#REF!,$C464,#REF!,L$1))&gt;=1,"SIM","")</f>
        <v>#REF!</v>
      </c>
      <c r="M464" s="5" t="e">
        <f>IF((COUNTIFS(#REF!,$C464,#REF!,M$1))&gt;=1,"SIM","")</f>
        <v>#REF!</v>
      </c>
      <c r="N464" s="5" t="e">
        <f>IF((COUNTIFS(#REF!,$C464,#REF!,N$1))&gt;=1,"SIM","")</f>
        <v>#REF!</v>
      </c>
      <c r="O464" s="5"/>
      <c r="P464" s="5" t="e">
        <f>IF((COUNTIFS(#REF!,$C464,#REF!,P$1))&gt;=1,"SIM","")</f>
        <v>#REF!</v>
      </c>
      <c r="Q464" s="5" t="e">
        <f>IF((COUNTIFS(#REF!,$C464,#REF!,Q$1))&gt;=1,"SIM","")</f>
        <v>#REF!</v>
      </c>
      <c r="R464" s="5" t="e">
        <f>IF((COUNTIFS(#REF!,$C464,#REF!,"*CARTA*"))&gt;=1,"SIM","")</f>
        <v>#REF!</v>
      </c>
      <c r="S464" s="5" t="e">
        <f>IF((COUNTIFS(#REF!,$C464,#REF!,"*CARTA NOTIFICAÇÃO/DEVOL*"))&gt;=1,"SIM","")</f>
        <v>#REF!</v>
      </c>
      <c r="T464" s="5" t="e">
        <f>IF((COUNTIFS(#REF!,$C464,#REF!,"*LIGAÇÃO ATIVA DEV PRIN/LOC*"))&gt;=1,"SIM","")</f>
        <v>#REF!</v>
      </c>
    </row>
    <row r="465" spans="1:20">
      <c r="A465" s="24" t="s">
        <v>2153</v>
      </c>
      <c r="B465" s="24" t="s">
        <v>664</v>
      </c>
      <c r="C465" s="24" t="s">
        <v>665</v>
      </c>
      <c r="D465" s="5" t="e">
        <f>IF((COUNTIFS(#REF!,$C465,#REF!,"*163*"))&gt;=1,"SIM","")</f>
        <v>#REF!</v>
      </c>
      <c r="E465" s="5" t="e">
        <f>IF((COUNTIFS(#REF!,$C465,#REF!,E$1))&gt;=1,"SIM","")</f>
        <v>#REF!</v>
      </c>
      <c r="F465" s="5" t="e">
        <f>IF((COUNTIFS(#REF!,$C465,#REF!,F$1))&gt;=1,"SIM","")</f>
        <v>#REF!</v>
      </c>
      <c r="G465" s="5" t="e">
        <f>IF((COUNTIFS(#REF!,$C465,#REF!,"*606*"))&gt;=1,"SIM","")</f>
        <v>#REF!</v>
      </c>
      <c r="H465" s="5" t="e">
        <f>IF((COUNTIFS(#REF!,$C465,#REF!,"*605*"))&gt;=1,"SIM","")</f>
        <v>#REF!</v>
      </c>
      <c r="I465" s="5" t="e">
        <f>IF((COUNTIFS(#REF!,$C465,#REF!,I$1))&gt;=1,"SIM","")</f>
        <v>#REF!</v>
      </c>
      <c r="J465" s="5" t="e">
        <f>IF((COUNTIFS(#REF!,$C465,#REF!,J$1))&gt;=1,"SIM","")</f>
        <v>#REF!</v>
      </c>
      <c r="K465" s="5" t="e">
        <f>IF((COUNTIFS(#REF!,$C465,#REF!,K$1))&gt;=1,"SIM","")</f>
        <v>#REF!</v>
      </c>
      <c r="L465" s="5" t="e">
        <f>IF((COUNTIFS(#REF!,$C465,#REF!,L$1))&gt;=1,"SIM","")</f>
        <v>#REF!</v>
      </c>
      <c r="M465" s="5" t="e">
        <f>IF((COUNTIFS(#REF!,$C465,#REF!,M$1))&gt;=1,"SIM","")</f>
        <v>#REF!</v>
      </c>
      <c r="N465" s="5" t="e">
        <f>IF((COUNTIFS(#REF!,$C465,#REF!,N$1))&gt;=1,"SIM","")</f>
        <v>#REF!</v>
      </c>
      <c r="O465" s="5"/>
      <c r="P465" s="5" t="e">
        <f>IF((COUNTIFS(#REF!,$C465,#REF!,P$1))&gt;=1,"SIM","")</f>
        <v>#REF!</v>
      </c>
      <c r="Q465" s="5" t="e">
        <f>IF((COUNTIFS(#REF!,$C465,#REF!,Q$1))&gt;=1,"SIM","")</f>
        <v>#REF!</v>
      </c>
      <c r="R465" s="5" t="e">
        <f>IF((COUNTIFS(#REF!,$C465,#REF!,"*CARTA*"))&gt;=1,"SIM","")</f>
        <v>#REF!</v>
      </c>
      <c r="S465" s="5" t="e">
        <f>IF((COUNTIFS(#REF!,$C465,#REF!,"*CARTA NOTIFICAÇÃO/DEVOL*"))&gt;=1,"SIM","")</f>
        <v>#REF!</v>
      </c>
      <c r="T465" s="5" t="e">
        <f>IF((COUNTIFS(#REF!,$C465,#REF!,"*LIGAÇÃO ATIVA DEV PRIN/LOC*"))&gt;=1,"SIM","")</f>
        <v>#REF!</v>
      </c>
    </row>
    <row r="466" spans="1:20">
      <c r="A466" s="24" t="s">
        <v>2155</v>
      </c>
      <c r="B466" s="24" t="s">
        <v>110</v>
      </c>
      <c r="C466" s="24" t="s">
        <v>111</v>
      </c>
      <c r="D466" s="5" t="e">
        <f>IF((COUNTIFS(#REF!,$C466,#REF!,"*163*"))&gt;=1,"SIM","")</f>
        <v>#REF!</v>
      </c>
      <c r="E466" s="5" t="e">
        <f>IF((COUNTIFS(#REF!,$C466,#REF!,E$1))&gt;=1,"SIM","")</f>
        <v>#REF!</v>
      </c>
      <c r="F466" s="5" t="e">
        <f>IF((COUNTIFS(#REF!,$C466,#REF!,F$1))&gt;=1,"SIM","")</f>
        <v>#REF!</v>
      </c>
      <c r="G466" s="5" t="e">
        <f>IF((COUNTIFS(#REF!,$C466,#REF!,"*606*"))&gt;=1,"SIM","")</f>
        <v>#REF!</v>
      </c>
      <c r="H466" s="5" t="e">
        <f>IF((COUNTIFS(#REF!,$C466,#REF!,"*605*"))&gt;=1,"SIM","")</f>
        <v>#REF!</v>
      </c>
      <c r="I466" s="5" t="e">
        <f>IF((COUNTIFS(#REF!,$C466,#REF!,I$1))&gt;=1,"SIM","")</f>
        <v>#REF!</v>
      </c>
      <c r="J466" s="5" t="e">
        <f>IF((COUNTIFS(#REF!,$C466,#REF!,J$1))&gt;=1,"SIM","")</f>
        <v>#REF!</v>
      </c>
      <c r="K466" s="5" t="e">
        <f>IF((COUNTIFS(#REF!,$C466,#REF!,K$1))&gt;=1,"SIM","")</f>
        <v>#REF!</v>
      </c>
      <c r="L466" s="5" t="e">
        <f>IF((COUNTIFS(#REF!,$C466,#REF!,L$1))&gt;=1,"SIM","")</f>
        <v>#REF!</v>
      </c>
      <c r="M466" s="5" t="e">
        <f>IF((COUNTIFS(#REF!,$C466,#REF!,M$1))&gt;=1,"SIM","")</f>
        <v>#REF!</v>
      </c>
      <c r="N466" s="5" t="e">
        <f>IF((COUNTIFS(#REF!,$C466,#REF!,N$1))&gt;=1,"SIM","")</f>
        <v>#REF!</v>
      </c>
      <c r="O466" s="5"/>
      <c r="P466" s="5" t="e">
        <f>IF((COUNTIFS(#REF!,$C466,#REF!,P$1))&gt;=1,"SIM","")</f>
        <v>#REF!</v>
      </c>
      <c r="Q466" s="5" t="e">
        <f>IF((COUNTIFS(#REF!,$C466,#REF!,Q$1))&gt;=1,"SIM","")</f>
        <v>#REF!</v>
      </c>
      <c r="R466" s="5" t="e">
        <f>IF((COUNTIFS(#REF!,$C466,#REF!,"*CARTA*"))&gt;=1,"SIM","")</f>
        <v>#REF!</v>
      </c>
      <c r="S466" s="5" t="e">
        <f>IF((COUNTIFS(#REF!,$C466,#REF!,"*CARTA NOTIFICAÇÃO/DEVOL*"))&gt;=1,"SIM","")</f>
        <v>#REF!</v>
      </c>
      <c r="T466" s="5" t="e">
        <f>IF((COUNTIFS(#REF!,$C466,#REF!,"*LIGAÇÃO ATIVA DEV PRIN/LOC*"))&gt;=1,"SIM","")</f>
        <v>#REF!</v>
      </c>
    </row>
    <row r="467" spans="1:20">
      <c r="A467" s="24" t="s">
        <v>2159</v>
      </c>
      <c r="B467" s="24" t="s">
        <v>1380</v>
      </c>
      <c r="C467" s="24" t="s">
        <v>1381</v>
      </c>
      <c r="D467" s="5" t="e">
        <f>IF((COUNTIFS(#REF!,$C467,#REF!,"*163*"))&gt;=1,"SIM","")</f>
        <v>#REF!</v>
      </c>
      <c r="E467" s="5" t="e">
        <f>IF((COUNTIFS(#REF!,$C467,#REF!,E$1))&gt;=1,"SIM","")</f>
        <v>#REF!</v>
      </c>
      <c r="F467" s="5" t="e">
        <f>IF((COUNTIFS(#REF!,$C467,#REF!,F$1))&gt;=1,"SIM","")</f>
        <v>#REF!</v>
      </c>
      <c r="G467" s="5" t="e">
        <f>IF((COUNTIFS(#REF!,$C467,#REF!,"*606*"))&gt;=1,"SIM","")</f>
        <v>#REF!</v>
      </c>
      <c r="H467" s="5" t="e">
        <f>IF((COUNTIFS(#REF!,$C467,#REF!,"*605*"))&gt;=1,"SIM","")</f>
        <v>#REF!</v>
      </c>
      <c r="I467" s="5" t="e">
        <f>IF((COUNTIFS(#REF!,$C467,#REF!,I$1))&gt;=1,"SIM","")</f>
        <v>#REF!</v>
      </c>
      <c r="J467" s="5" t="e">
        <f>IF((COUNTIFS(#REF!,$C467,#REF!,J$1))&gt;=1,"SIM","")</f>
        <v>#REF!</v>
      </c>
      <c r="K467" s="5" t="e">
        <f>IF((COUNTIFS(#REF!,$C467,#REF!,K$1))&gt;=1,"SIM","")</f>
        <v>#REF!</v>
      </c>
      <c r="L467" s="5" t="e">
        <f>IF((COUNTIFS(#REF!,$C467,#REF!,L$1))&gt;=1,"SIM","")</f>
        <v>#REF!</v>
      </c>
      <c r="M467" s="5" t="e">
        <f>IF((COUNTIFS(#REF!,$C467,#REF!,M$1))&gt;=1,"SIM","")</f>
        <v>#REF!</v>
      </c>
      <c r="N467" s="5" t="e">
        <f>IF((COUNTIFS(#REF!,$C467,#REF!,N$1))&gt;=1,"SIM","")</f>
        <v>#REF!</v>
      </c>
      <c r="O467" s="5"/>
      <c r="P467" s="5" t="e">
        <f>IF((COUNTIFS(#REF!,$C467,#REF!,P$1))&gt;=1,"SIM","")</f>
        <v>#REF!</v>
      </c>
      <c r="Q467" s="5" t="e">
        <f>IF((COUNTIFS(#REF!,$C467,#REF!,Q$1))&gt;=1,"SIM","")</f>
        <v>#REF!</v>
      </c>
      <c r="R467" s="5" t="e">
        <f>IF((COUNTIFS(#REF!,$C467,#REF!,"*CARTA*"))&gt;=1,"SIM","")</f>
        <v>#REF!</v>
      </c>
      <c r="S467" s="5" t="e">
        <f>IF((COUNTIFS(#REF!,$C467,#REF!,"*CARTA NOTIFICAÇÃO/DEVOL*"))&gt;=1,"SIM","")</f>
        <v>#REF!</v>
      </c>
      <c r="T467" s="5" t="e">
        <f>IF((COUNTIFS(#REF!,$C467,#REF!,"*LIGAÇÃO ATIVA DEV PRIN/LOC*"))&gt;=1,"SIM","")</f>
        <v>#REF!</v>
      </c>
    </row>
    <row r="468" spans="1:20">
      <c r="A468" s="24" t="s">
        <v>2155</v>
      </c>
      <c r="B468" s="24" t="s">
        <v>106</v>
      </c>
      <c r="C468" s="24" t="s">
        <v>107</v>
      </c>
      <c r="D468" s="5" t="e">
        <f>IF((COUNTIFS(#REF!,$C468,#REF!,"*163*"))&gt;=1,"SIM","")</f>
        <v>#REF!</v>
      </c>
      <c r="E468" s="5" t="e">
        <f>IF((COUNTIFS(#REF!,$C468,#REF!,E$1))&gt;=1,"SIM","")</f>
        <v>#REF!</v>
      </c>
      <c r="F468" s="5" t="e">
        <f>IF((COUNTIFS(#REF!,$C468,#REF!,F$1))&gt;=1,"SIM","")</f>
        <v>#REF!</v>
      </c>
      <c r="G468" s="5" t="e">
        <f>IF((COUNTIFS(#REF!,$C468,#REF!,"*606*"))&gt;=1,"SIM","")</f>
        <v>#REF!</v>
      </c>
      <c r="H468" s="5" t="e">
        <f>IF((COUNTIFS(#REF!,$C468,#REF!,"*605*"))&gt;=1,"SIM","")</f>
        <v>#REF!</v>
      </c>
      <c r="I468" s="5" t="e">
        <f>IF((COUNTIFS(#REF!,$C468,#REF!,I$1))&gt;=1,"SIM","")</f>
        <v>#REF!</v>
      </c>
      <c r="J468" s="5" t="e">
        <f>IF((COUNTIFS(#REF!,$C468,#REF!,J$1))&gt;=1,"SIM","")</f>
        <v>#REF!</v>
      </c>
      <c r="K468" s="5" t="e">
        <f>IF((COUNTIFS(#REF!,$C468,#REF!,K$1))&gt;=1,"SIM","")</f>
        <v>#REF!</v>
      </c>
      <c r="L468" s="5" t="e">
        <f>IF((COUNTIFS(#REF!,$C468,#REF!,L$1))&gt;=1,"SIM","")</f>
        <v>#REF!</v>
      </c>
      <c r="M468" s="5" t="e">
        <f>IF((COUNTIFS(#REF!,$C468,#REF!,M$1))&gt;=1,"SIM","")</f>
        <v>#REF!</v>
      </c>
      <c r="N468" s="5" t="e">
        <f>IF((COUNTIFS(#REF!,$C468,#REF!,N$1))&gt;=1,"SIM","")</f>
        <v>#REF!</v>
      </c>
      <c r="O468" s="5"/>
      <c r="P468" s="5" t="e">
        <f>IF((COUNTIFS(#REF!,$C468,#REF!,P$1))&gt;=1,"SIM","")</f>
        <v>#REF!</v>
      </c>
      <c r="Q468" s="5" t="e">
        <f>IF((COUNTIFS(#REF!,$C468,#REF!,Q$1))&gt;=1,"SIM","")</f>
        <v>#REF!</v>
      </c>
      <c r="R468" s="5" t="e">
        <f>IF((COUNTIFS(#REF!,$C468,#REF!,"*CARTA*"))&gt;=1,"SIM","")</f>
        <v>#REF!</v>
      </c>
      <c r="S468" s="5" t="e">
        <f>IF((COUNTIFS(#REF!,$C468,#REF!,"*CARTA NOTIFICAÇÃO/DEVOL*"))&gt;=1,"SIM","")</f>
        <v>#REF!</v>
      </c>
      <c r="T468" s="5" t="e">
        <f>IF((COUNTIFS(#REF!,$C468,#REF!,"*LIGAÇÃO ATIVA DEV PRIN/LOC*"))&gt;=1,"SIM","")</f>
        <v>#REF!</v>
      </c>
    </row>
    <row r="469" spans="1:20">
      <c r="A469" s="24" t="s">
        <v>2153</v>
      </c>
      <c r="B469" s="24" t="s">
        <v>730</v>
      </c>
      <c r="C469" s="24" t="s">
        <v>731</v>
      </c>
      <c r="D469" s="5" t="e">
        <f>IF((COUNTIFS(#REF!,$C469,#REF!,"*163*"))&gt;=1,"SIM","")</f>
        <v>#REF!</v>
      </c>
      <c r="E469" s="5" t="e">
        <f>IF((COUNTIFS(#REF!,$C469,#REF!,E$1))&gt;=1,"SIM","")</f>
        <v>#REF!</v>
      </c>
      <c r="F469" s="5" t="e">
        <f>IF((COUNTIFS(#REF!,$C469,#REF!,F$1))&gt;=1,"SIM","")</f>
        <v>#REF!</v>
      </c>
      <c r="G469" s="5" t="e">
        <f>IF((COUNTIFS(#REF!,$C469,#REF!,"*606*"))&gt;=1,"SIM","")</f>
        <v>#REF!</v>
      </c>
      <c r="H469" s="5" t="e">
        <f>IF((COUNTIFS(#REF!,$C469,#REF!,"*605*"))&gt;=1,"SIM","")</f>
        <v>#REF!</v>
      </c>
      <c r="I469" s="5" t="e">
        <f>IF((COUNTIFS(#REF!,$C469,#REF!,I$1))&gt;=1,"SIM","")</f>
        <v>#REF!</v>
      </c>
      <c r="J469" s="5" t="e">
        <f>IF((COUNTIFS(#REF!,$C469,#REF!,J$1))&gt;=1,"SIM","")</f>
        <v>#REF!</v>
      </c>
      <c r="K469" s="5" t="e">
        <f>IF((COUNTIFS(#REF!,$C469,#REF!,K$1))&gt;=1,"SIM","")</f>
        <v>#REF!</v>
      </c>
      <c r="L469" s="5" t="e">
        <f>IF((COUNTIFS(#REF!,$C469,#REF!,L$1))&gt;=1,"SIM","")</f>
        <v>#REF!</v>
      </c>
      <c r="M469" s="5" t="e">
        <f>IF((COUNTIFS(#REF!,$C469,#REF!,M$1))&gt;=1,"SIM","")</f>
        <v>#REF!</v>
      </c>
      <c r="N469" s="5" t="e">
        <f>IF((COUNTIFS(#REF!,$C469,#REF!,N$1))&gt;=1,"SIM","")</f>
        <v>#REF!</v>
      </c>
      <c r="O469" s="5"/>
      <c r="P469" s="5" t="e">
        <f>IF((COUNTIFS(#REF!,$C469,#REF!,P$1))&gt;=1,"SIM","")</f>
        <v>#REF!</v>
      </c>
      <c r="Q469" s="5" t="e">
        <f>IF((COUNTIFS(#REF!,$C469,#REF!,Q$1))&gt;=1,"SIM","")</f>
        <v>#REF!</v>
      </c>
      <c r="R469" s="5" t="e">
        <f>IF((COUNTIFS(#REF!,$C469,#REF!,"*CARTA*"))&gt;=1,"SIM","")</f>
        <v>#REF!</v>
      </c>
      <c r="S469" s="5" t="e">
        <f>IF((COUNTIFS(#REF!,$C469,#REF!,"*CARTA NOTIFICAÇÃO/DEVOL*"))&gt;=1,"SIM","")</f>
        <v>#REF!</v>
      </c>
      <c r="T469" s="5" t="e">
        <f>IF((COUNTIFS(#REF!,$C469,#REF!,"*LIGAÇÃO ATIVA DEV PRIN/LOC*"))&gt;=1,"SIM","")</f>
        <v>#REF!</v>
      </c>
    </row>
    <row r="470" spans="1:20">
      <c r="A470" s="24" t="s">
        <v>2159</v>
      </c>
      <c r="B470" s="24" t="s">
        <v>2074</v>
      </c>
      <c r="C470" s="24" t="s">
        <v>2075</v>
      </c>
      <c r="D470" s="5" t="e">
        <f>IF((COUNTIFS(#REF!,$C470,#REF!,"*163*"))&gt;=1,"SIM","")</f>
        <v>#REF!</v>
      </c>
      <c r="E470" s="5" t="e">
        <f>IF((COUNTIFS(#REF!,$C470,#REF!,E$1))&gt;=1,"SIM","")</f>
        <v>#REF!</v>
      </c>
      <c r="F470" s="5" t="e">
        <f>IF((COUNTIFS(#REF!,$C470,#REF!,F$1))&gt;=1,"SIM","")</f>
        <v>#REF!</v>
      </c>
      <c r="G470" s="5" t="e">
        <f>IF((COUNTIFS(#REF!,$C470,#REF!,"*606*"))&gt;=1,"SIM","")</f>
        <v>#REF!</v>
      </c>
      <c r="H470" s="5" t="e">
        <f>IF((COUNTIFS(#REF!,$C470,#REF!,"*605*"))&gt;=1,"SIM","")</f>
        <v>#REF!</v>
      </c>
      <c r="I470" s="5" t="e">
        <f>IF((COUNTIFS(#REF!,$C470,#REF!,I$1))&gt;=1,"SIM","")</f>
        <v>#REF!</v>
      </c>
      <c r="J470" s="5" t="e">
        <f>IF((COUNTIFS(#REF!,$C470,#REF!,J$1))&gt;=1,"SIM","")</f>
        <v>#REF!</v>
      </c>
      <c r="K470" s="5" t="e">
        <f>IF((COUNTIFS(#REF!,$C470,#REF!,K$1))&gt;=1,"SIM","")</f>
        <v>#REF!</v>
      </c>
      <c r="L470" s="5" t="e">
        <f>IF((COUNTIFS(#REF!,$C470,#REF!,L$1))&gt;=1,"SIM","")</f>
        <v>#REF!</v>
      </c>
      <c r="M470" s="5" t="e">
        <f>IF((COUNTIFS(#REF!,$C470,#REF!,M$1))&gt;=1,"SIM","")</f>
        <v>#REF!</v>
      </c>
      <c r="N470" s="5" t="e">
        <f>IF((COUNTIFS(#REF!,$C470,#REF!,N$1))&gt;=1,"SIM","")</f>
        <v>#REF!</v>
      </c>
      <c r="O470" s="5"/>
      <c r="P470" s="5" t="e">
        <f>IF((COUNTIFS(#REF!,$C470,#REF!,P$1))&gt;=1,"SIM","")</f>
        <v>#REF!</v>
      </c>
      <c r="Q470" s="5" t="e">
        <f>IF((COUNTIFS(#REF!,$C470,#REF!,Q$1))&gt;=1,"SIM","")</f>
        <v>#REF!</v>
      </c>
      <c r="R470" s="5" t="e">
        <f>IF((COUNTIFS(#REF!,$C470,#REF!,"*CARTA*"))&gt;=1,"SIM","")</f>
        <v>#REF!</v>
      </c>
      <c r="S470" s="5" t="e">
        <f>IF((COUNTIFS(#REF!,$C470,#REF!,"*CARTA NOTIFICAÇÃO/DEVOL*"))&gt;=1,"SIM","")</f>
        <v>#REF!</v>
      </c>
      <c r="T470" s="5" t="e">
        <f>IF((COUNTIFS(#REF!,$C470,#REF!,"*LIGAÇÃO ATIVA DEV PRIN/LOC*"))&gt;=1,"SIM","")</f>
        <v>#REF!</v>
      </c>
    </row>
    <row r="471" spans="1:20">
      <c r="A471" s="24" t="s">
        <v>2158</v>
      </c>
      <c r="B471" s="24" t="s">
        <v>1770</v>
      </c>
      <c r="C471" s="24" t="s">
        <v>1771</v>
      </c>
      <c r="D471" s="5" t="e">
        <f>IF((COUNTIFS(#REF!,$C471,#REF!,"*163*"))&gt;=1,"SIM","")</f>
        <v>#REF!</v>
      </c>
      <c r="E471" s="5" t="e">
        <f>IF((COUNTIFS(#REF!,$C471,#REF!,E$1))&gt;=1,"SIM","")</f>
        <v>#REF!</v>
      </c>
      <c r="F471" s="5" t="e">
        <f>IF((COUNTIFS(#REF!,$C471,#REF!,F$1))&gt;=1,"SIM","")</f>
        <v>#REF!</v>
      </c>
      <c r="G471" s="5" t="e">
        <f>IF((COUNTIFS(#REF!,$C471,#REF!,"*606*"))&gt;=1,"SIM","")</f>
        <v>#REF!</v>
      </c>
      <c r="H471" s="5" t="e">
        <f>IF((COUNTIFS(#REF!,$C471,#REF!,"*605*"))&gt;=1,"SIM","")</f>
        <v>#REF!</v>
      </c>
      <c r="I471" s="5" t="e">
        <f>IF((COUNTIFS(#REF!,$C471,#REF!,I$1))&gt;=1,"SIM","")</f>
        <v>#REF!</v>
      </c>
      <c r="J471" s="5" t="e">
        <f>IF((COUNTIFS(#REF!,$C471,#REF!,J$1))&gt;=1,"SIM","")</f>
        <v>#REF!</v>
      </c>
      <c r="K471" s="5" t="e">
        <f>IF((COUNTIFS(#REF!,$C471,#REF!,K$1))&gt;=1,"SIM","")</f>
        <v>#REF!</v>
      </c>
      <c r="L471" s="5" t="e">
        <f>IF((COUNTIFS(#REF!,$C471,#REF!,L$1))&gt;=1,"SIM","")</f>
        <v>#REF!</v>
      </c>
      <c r="M471" s="5" t="e">
        <f>IF((COUNTIFS(#REF!,$C471,#REF!,M$1))&gt;=1,"SIM","")</f>
        <v>#REF!</v>
      </c>
      <c r="N471" s="5" t="e">
        <f>IF((COUNTIFS(#REF!,$C471,#REF!,N$1))&gt;=1,"SIM","")</f>
        <v>#REF!</v>
      </c>
      <c r="O471" s="5"/>
      <c r="P471" s="5" t="e">
        <f>IF((COUNTIFS(#REF!,$C471,#REF!,P$1))&gt;=1,"SIM","")</f>
        <v>#REF!</v>
      </c>
      <c r="Q471" s="5" t="e">
        <f>IF((COUNTIFS(#REF!,$C471,#REF!,Q$1))&gt;=1,"SIM","")</f>
        <v>#REF!</v>
      </c>
      <c r="R471" s="5" t="e">
        <f>IF((COUNTIFS(#REF!,$C471,#REF!,"*CARTA*"))&gt;=1,"SIM","")</f>
        <v>#REF!</v>
      </c>
      <c r="S471" s="5" t="e">
        <f>IF((COUNTIFS(#REF!,$C471,#REF!,"*CARTA NOTIFICAÇÃO/DEVOL*"))&gt;=1,"SIM","")</f>
        <v>#REF!</v>
      </c>
      <c r="T471" s="5" t="e">
        <f>IF((COUNTIFS(#REF!,$C471,#REF!,"*LIGAÇÃO ATIVA DEV PRIN/LOC*"))&gt;=1,"SIM","")</f>
        <v>#REF!</v>
      </c>
    </row>
    <row r="472" spans="1:20">
      <c r="A472" s="24" t="s">
        <v>2153</v>
      </c>
      <c r="B472" s="24" t="s">
        <v>1738</v>
      </c>
      <c r="C472" s="24" t="s">
        <v>1739</v>
      </c>
      <c r="D472" s="5" t="e">
        <f>IF((COUNTIFS(#REF!,$C472,#REF!,"*163*"))&gt;=1,"SIM","")</f>
        <v>#REF!</v>
      </c>
      <c r="E472" s="5" t="e">
        <f>IF((COUNTIFS(#REF!,$C472,#REF!,E$1))&gt;=1,"SIM","")</f>
        <v>#REF!</v>
      </c>
      <c r="F472" s="5" t="e">
        <f>IF((COUNTIFS(#REF!,$C472,#REF!,F$1))&gt;=1,"SIM","")</f>
        <v>#REF!</v>
      </c>
      <c r="G472" s="5" t="e">
        <f>IF((COUNTIFS(#REF!,$C472,#REF!,"*606*"))&gt;=1,"SIM","")</f>
        <v>#REF!</v>
      </c>
      <c r="H472" s="5" t="e">
        <f>IF((COUNTIFS(#REF!,$C472,#REF!,"*605*"))&gt;=1,"SIM","")</f>
        <v>#REF!</v>
      </c>
      <c r="I472" s="5" t="e">
        <f>IF((COUNTIFS(#REF!,$C472,#REF!,I$1))&gt;=1,"SIM","")</f>
        <v>#REF!</v>
      </c>
      <c r="J472" s="5" t="e">
        <f>IF((COUNTIFS(#REF!,$C472,#REF!,J$1))&gt;=1,"SIM","")</f>
        <v>#REF!</v>
      </c>
      <c r="K472" s="5" t="e">
        <f>IF((COUNTIFS(#REF!,$C472,#REF!,K$1))&gt;=1,"SIM","")</f>
        <v>#REF!</v>
      </c>
      <c r="L472" s="5" t="e">
        <f>IF((COUNTIFS(#REF!,$C472,#REF!,L$1))&gt;=1,"SIM","")</f>
        <v>#REF!</v>
      </c>
      <c r="M472" s="5" t="e">
        <f>IF((COUNTIFS(#REF!,$C472,#REF!,M$1))&gt;=1,"SIM","")</f>
        <v>#REF!</v>
      </c>
      <c r="N472" s="5" t="e">
        <f>IF((COUNTIFS(#REF!,$C472,#REF!,N$1))&gt;=1,"SIM","")</f>
        <v>#REF!</v>
      </c>
      <c r="O472" s="5"/>
      <c r="P472" s="5" t="e">
        <f>IF((COUNTIFS(#REF!,$C472,#REF!,P$1))&gt;=1,"SIM","")</f>
        <v>#REF!</v>
      </c>
      <c r="Q472" s="5" t="e">
        <f>IF((COUNTIFS(#REF!,$C472,#REF!,Q$1))&gt;=1,"SIM","")</f>
        <v>#REF!</v>
      </c>
      <c r="R472" s="5" t="e">
        <f>IF((COUNTIFS(#REF!,$C472,#REF!,"*CARTA*"))&gt;=1,"SIM","")</f>
        <v>#REF!</v>
      </c>
      <c r="S472" s="5" t="e">
        <f>IF((COUNTIFS(#REF!,$C472,#REF!,"*CARTA NOTIFICAÇÃO/DEVOL*"))&gt;=1,"SIM","")</f>
        <v>#REF!</v>
      </c>
      <c r="T472" s="5" t="e">
        <f>IF((COUNTIFS(#REF!,$C472,#REF!,"*LIGAÇÃO ATIVA DEV PRIN/LOC*"))&gt;=1,"SIM","")</f>
        <v>#REF!</v>
      </c>
    </row>
    <row r="473" spans="1:20">
      <c r="A473" s="24" t="s">
        <v>2153</v>
      </c>
      <c r="B473" s="24" t="s">
        <v>646</v>
      </c>
      <c r="C473" s="24" t="s">
        <v>647</v>
      </c>
      <c r="D473" s="5" t="e">
        <f>IF((COUNTIFS(#REF!,$C473,#REF!,"*163*"))&gt;=1,"SIM","")</f>
        <v>#REF!</v>
      </c>
      <c r="E473" s="5" t="e">
        <f>IF((COUNTIFS(#REF!,$C473,#REF!,E$1))&gt;=1,"SIM","")</f>
        <v>#REF!</v>
      </c>
      <c r="F473" s="5" t="e">
        <f>IF((COUNTIFS(#REF!,$C473,#REF!,F$1))&gt;=1,"SIM","")</f>
        <v>#REF!</v>
      </c>
      <c r="G473" s="5" t="e">
        <f>IF((COUNTIFS(#REF!,$C473,#REF!,"*606*"))&gt;=1,"SIM","")</f>
        <v>#REF!</v>
      </c>
      <c r="H473" s="5" t="e">
        <f>IF((COUNTIFS(#REF!,$C473,#REF!,"*605*"))&gt;=1,"SIM","")</f>
        <v>#REF!</v>
      </c>
      <c r="I473" s="5" t="e">
        <f>IF((COUNTIFS(#REF!,$C473,#REF!,I$1))&gt;=1,"SIM","")</f>
        <v>#REF!</v>
      </c>
      <c r="J473" s="5" t="e">
        <f>IF((COUNTIFS(#REF!,$C473,#REF!,J$1))&gt;=1,"SIM","")</f>
        <v>#REF!</v>
      </c>
      <c r="K473" s="5" t="e">
        <f>IF((COUNTIFS(#REF!,$C473,#REF!,K$1))&gt;=1,"SIM","")</f>
        <v>#REF!</v>
      </c>
      <c r="L473" s="5" t="e">
        <f>IF((COUNTIFS(#REF!,$C473,#REF!,L$1))&gt;=1,"SIM","")</f>
        <v>#REF!</v>
      </c>
      <c r="M473" s="5" t="e">
        <f>IF((COUNTIFS(#REF!,$C473,#REF!,M$1))&gt;=1,"SIM","")</f>
        <v>#REF!</v>
      </c>
      <c r="N473" s="5" t="e">
        <f>IF((COUNTIFS(#REF!,$C473,#REF!,N$1))&gt;=1,"SIM","")</f>
        <v>#REF!</v>
      </c>
      <c r="O473" s="5"/>
      <c r="P473" s="5" t="e">
        <f>IF((COUNTIFS(#REF!,$C473,#REF!,P$1))&gt;=1,"SIM","")</f>
        <v>#REF!</v>
      </c>
      <c r="Q473" s="5" t="e">
        <f>IF((COUNTIFS(#REF!,$C473,#REF!,Q$1))&gt;=1,"SIM","")</f>
        <v>#REF!</v>
      </c>
      <c r="R473" s="5" t="e">
        <f>IF((COUNTIFS(#REF!,$C473,#REF!,"*CARTA*"))&gt;=1,"SIM","")</f>
        <v>#REF!</v>
      </c>
      <c r="S473" s="5" t="e">
        <f>IF((COUNTIFS(#REF!,$C473,#REF!,"*CARTA NOTIFICAÇÃO/DEVOL*"))&gt;=1,"SIM","")</f>
        <v>#REF!</v>
      </c>
      <c r="T473" s="5" t="e">
        <f>IF((COUNTIFS(#REF!,$C473,#REF!,"*LIGAÇÃO ATIVA DEV PRIN/LOC*"))&gt;=1,"SIM","")</f>
        <v>#REF!</v>
      </c>
    </row>
    <row r="474" spans="1:20">
      <c r="A474" s="24" t="s">
        <v>2153</v>
      </c>
      <c r="B474" s="24" t="s">
        <v>448</v>
      </c>
      <c r="C474" s="24" t="s">
        <v>449</v>
      </c>
      <c r="D474" s="5" t="e">
        <f>IF((COUNTIFS(#REF!,$C474,#REF!,"*163*"))&gt;=1,"SIM","")</f>
        <v>#REF!</v>
      </c>
      <c r="E474" s="5" t="e">
        <f>IF((COUNTIFS(#REF!,$C474,#REF!,E$1))&gt;=1,"SIM","")</f>
        <v>#REF!</v>
      </c>
      <c r="F474" s="5" t="e">
        <f>IF((COUNTIFS(#REF!,$C474,#REF!,F$1))&gt;=1,"SIM","")</f>
        <v>#REF!</v>
      </c>
      <c r="G474" s="5" t="e">
        <f>IF((COUNTIFS(#REF!,$C474,#REF!,"*606*"))&gt;=1,"SIM","")</f>
        <v>#REF!</v>
      </c>
      <c r="H474" s="5" t="e">
        <f>IF((COUNTIFS(#REF!,$C474,#REF!,"*605*"))&gt;=1,"SIM","")</f>
        <v>#REF!</v>
      </c>
      <c r="I474" s="5" t="e">
        <f>IF((COUNTIFS(#REF!,$C474,#REF!,I$1))&gt;=1,"SIM","")</f>
        <v>#REF!</v>
      </c>
      <c r="J474" s="5" t="e">
        <f>IF((COUNTIFS(#REF!,$C474,#REF!,J$1))&gt;=1,"SIM","")</f>
        <v>#REF!</v>
      </c>
      <c r="K474" s="5" t="e">
        <f>IF((COUNTIFS(#REF!,$C474,#REF!,K$1))&gt;=1,"SIM","")</f>
        <v>#REF!</v>
      </c>
      <c r="L474" s="5" t="e">
        <f>IF((COUNTIFS(#REF!,$C474,#REF!,L$1))&gt;=1,"SIM","")</f>
        <v>#REF!</v>
      </c>
      <c r="M474" s="5" t="e">
        <f>IF((COUNTIFS(#REF!,$C474,#REF!,M$1))&gt;=1,"SIM","")</f>
        <v>#REF!</v>
      </c>
      <c r="N474" s="5" t="e">
        <f>IF((COUNTIFS(#REF!,$C474,#REF!,N$1))&gt;=1,"SIM","")</f>
        <v>#REF!</v>
      </c>
      <c r="O474" s="5"/>
      <c r="P474" s="5" t="e">
        <f>IF((COUNTIFS(#REF!,$C474,#REF!,P$1))&gt;=1,"SIM","")</f>
        <v>#REF!</v>
      </c>
      <c r="Q474" s="5" t="e">
        <f>IF((COUNTIFS(#REF!,$C474,#REF!,Q$1))&gt;=1,"SIM","")</f>
        <v>#REF!</v>
      </c>
      <c r="R474" s="5" t="e">
        <f>IF((COUNTIFS(#REF!,$C474,#REF!,"*CARTA*"))&gt;=1,"SIM","")</f>
        <v>#REF!</v>
      </c>
      <c r="S474" s="5" t="e">
        <f>IF((COUNTIFS(#REF!,$C474,#REF!,"*CARTA NOTIFICAÇÃO/DEVOL*"))&gt;=1,"SIM","")</f>
        <v>#REF!</v>
      </c>
      <c r="T474" s="5" t="e">
        <f>IF((COUNTIFS(#REF!,$C474,#REF!,"*LIGAÇÃO ATIVA DEV PRIN/LOC*"))&gt;=1,"SIM","")</f>
        <v>#REF!</v>
      </c>
    </row>
    <row r="475" spans="1:20">
      <c r="A475" s="24" t="s">
        <v>2159</v>
      </c>
      <c r="B475" s="24" t="s">
        <v>1649</v>
      </c>
      <c r="C475" s="24" t="s">
        <v>1650</v>
      </c>
      <c r="D475" s="5" t="e">
        <f>IF((COUNTIFS(#REF!,$C475,#REF!,"*163*"))&gt;=1,"SIM","")</f>
        <v>#REF!</v>
      </c>
      <c r="E475" s="5" t="e">
        <f>IF((COUNTIFS(#REF!,$C475,#REF!,E$1))&gt;=1,"SIM","")</f>
        <v>#REF!</v>
      </c>
      <c r="F475" s="5" t="e">
        <f>IF((COUNTIFS(#REF!,$C475,#REF!,F$1))&gt;=1,"SIM","")</f>
        <v>#REF!</v>
      </c>
      <c r="G475" s="5" t="e">
        <f>IF((COUNTIFS(#REF!,$C475,#REF!,"*606*"))&gt;=1,"SIM","")</f>
        <v>#REF!</v>
      </c>
      <c r="H475" s="5" t="e">
        <f>IF((COUNTIFS(#REF!,$C475,#REF!,"*605*"))&gt;=1,"SIM","")</f>
        <v>#REF!</v>
      </c>
      <c r="I475" s="5" t="e">
        <f>IF((COUNTIFS(#REF!,$C475,#REF!,I$1))&gt;=1,"SIM","")</f>
        <v>#REF!</v>
      </c>
      <c r="J475" s="5" t="e">
        <f>IF((COUNTIFS(#REF!,$C475,#REF!,J$1))&gt;=1,"SIM","")</f>
        <v>#REF!</v>
      </c>
      <c r="K475" s="5" t="e">
        <f>IF((COUNTIFS(#REF!,$C475,#REF!,K$1))&gt;=1,"SIM","")</f>
        <v>#REF!</v>
      </c>
      <c r="L475" s="5" t="e">
        <f>IF((COUNTIFS(#REF!,$C475,#REF!,L$1))&gt;=1,"SIM","")</f>
        <v>#REF!</v>
      </c>
      <c r="M475" s="5" t="e">
        <f>IF((COUNTIFS(#REF!,$C475,#REF!,M$1))&gt;=1,"SIM","")</f>
        <v>#REF!</v>
      </c>
      <c r="N475" s="5" t="e">
        <f>IF((COUNTIFS(#REF!,$C475,#REF!,N$1))&gt;=1,"SIM","")</f>
        <v>#REF!</v>
      </c>
      <c r="O475" s="5"/>
      <c r="P475" s="5" t="e">
        <f>IF((COUNTIFS(#REF!,$C475,#REF!,P$1))&gt;=1,"SIM","")</f>
        <v>#REF!</v>
      </c>
      <c r="Q475" s="5" t="e">
        <f>IF((COUNTIFS(#REF!,$C475,#REF!,Q$1))&gt;=1,"SIM","")</f>
        <v>#REF!</v>
      </c>
      <c r="R475" s="5" t="e">
        <f>IF((COUNTIFS(#REF!,$C475,#REF!,"*CARTA*"))&gt;=1,"SIM","")</f>
        <v>#REF!</v>
      </c>
      <c r="S475" s="5" t="e">
        <f>IF((COUNTIFS(#REF!,$C475,#REF!,"*CARTA NOTIFICAÇÃO/DEVOL*"))&gt;=1,"SIM","")</f>
        <v>#REF!</v>
      </c>
      <c r="T475" s="5" t="e">
        <f>IF((COUNTIFS(#REF!,$C475,#REF!,"*LIGAÇÃO ATIVA DEV PRIN/LOC*"))&gt;=1,"SIM","")</f>
        <v>#REF!</v>
      </c>
    </row>
    <row r="476" spans="1:20">
      <c r="A476" s="24" t="s">
        <v>2153</v>
      </c>
      <c r="B476" s="24" t="s">
        <v>944</v>
      </c>
      <c r="C476" s="24" t="s">
        <v>945</v>
      </c>
      <c r="D476" s="5" t="e">
        <f>IF((COUNTIFS(#REF!,$C476,#REF!,"*163*"))&gt;=1,"SIM","")</f>
        <v>#REF!</v>
      </c>
      <c r="E476" s="5" t="e">
        <f>IF((COUNTIFS(#REF!,$C476,#REF!,E$1))&gt;=1,"SIM","")</f>
        <v>#REF!</v>
      </c>
      <c r="F476" s="5" t="e">
        <f>IF((COUNTIFS(#REF!,$C476,#REF!,F$1))&gt;=1,"SIM","")</f>
        <v>#REF!</v>
      </c>
      <c r="G476" s="5" t="e">
        <f>IF((COUNTIFS(#REF!,$C476,#REF!,"*606*"))&gt;=1,"SIM","")</f>
        <v>#REF!</v>
      </c>
      <c r="H476" s="5" t="e">
        <f>IF((COUNTIFS(#REF!,$C476,#REF!,"*605*"))&gt;=1,"SIM","")</f>
        <v>#REF!</v>
      </c>
      <c r="I476" s="5" t="e">
        <f>IF((COUNTIFS(#REF!,$C476,#REF!,I$1))&gt;=1,"SIM","")</f>
        <v>#REF!</v>
      </c>
      <c r="J476" s="5" t="e">
        <f>IF((COUNTIFS(#REF!,$C476,#REF!,J$1))&gt;=1,"SIM","")</f>
        <v>#REF!</v>
      </c>
      <c r="K476" s="5" t="e">
        <f>IF((COUNTIFS(#REF!,$C476,#REF!,K$1))&gt;=1,"SIM","")</f>
        <v>#REF!</v>
      </c>
      <c r="L476" s="5" t="e">
        <f>IF((COUNTIFS(#REF!,$C476,#REF!,L$1))&gt;=1,"SIM","")</f>
        <v>#REF!</v>
      </c>
      <c r="M476" s="5" t="e">
        <f>IF((COUNTIFS(#REF!,$C476,#REF!,M$1))&gt;=1,"SIM","")</f>
        <v>#REF!</v>
      </c>
      <c r="N476" s="5" t="e">
        <f>IF((COUNTIFS(#REF!,$C476,#REF!,N$1))&gt;=1,"SIM","")</f>
        <v>#REF!</v>
      </c>
      <c r="O476" s="5"/>
      <c r="P476" s="5" t="e">
        <f>IF((COUNTIFS(#REF!,$C476,#REF!,P$1))&gt;=1,"SIM","")</f>
        <v>#REF!</v>
      </c>
      <c r="Q476" s="5" t="e">
        <f>IF((COUNTIFS(#REF!,$C476,#REF!,Q$1))&gt;=1,"SIM","")</f>
        <v>#REF!</v>
      </c>
      <c r="R476" s="5" t="e">
        <f>IF((COUNTIFS(#REF!,$C476,#REF!,"*CARTA*"))&gt;=1,"SIM","")</f>
        <v>#REF!</v>
      </c>
      <c r="S476" s="5" t="e">
        <f>IF((COUNTIFS(#REF!,$C476,#REF!,"*CARTA NOTIFICAÇÃO/DEVOL*"))&gt;=1,"SIM","")</f>
        <v>#REF!</v>
      </c>
      <c r="T476" s="5" t="e">
        <f>IF((COUNTIFS(#REF!,$C476,#REF!,"*LIGAÇÃO ATIVA DEV PRIN/LOC*"))&gt;=1,"SIM","")</f>
        <v>#REF!</v>
      </c>
    </row>
    <row r="477" spans="1:20">
      <c r="A477" s="24" t="s">
        <v>2153</v>
      </c>
      <c r="B477" s="24" t="s">
        <v>946</v>
      </c>
      <c r="C477" s="24" t="s">
        <v>947</v>
      </c>
      <c r="D477" s="5" t="e">
        <f>IF((COUNTIFS(#REF!,$C477,#REF!,"*163*"))&gt;=1,"SIM","")</f>
        <v>#REF!</v>
      </c>
      <c r="E477" s="5" t="e">
        <f>IF((COUNTIFS(#REF!,$C477,#REF!,E$1))&gt;=1,"SIM","")</f>
        <v>#REF!</v>
      </c>
      <c r="F477" s="5" t="e">
        <f>IF((COUNTIFS(#REF!,$C477,#REF!,F$1))&gt;=1,"SIM","")</f>
        <v>#REF!</v>
      </c>
      <c r="G477" s="5" t="e">
        <f>IF((COUNTIFS(#REF!,$C477,#REF!,"*606*"))&gt;=1,"SIM","")</f>
        <v>#REF!</v>
      </c>
      <c r="H477" s="5" t="e">
        <f>IF((COUNTIFS(#REF!,$C477,#REF!,"*605*"))&gt;=1,"SIM","")</f>
        <v>#REF!</v>
      </c>
      <c r="I477" s="5" t="e">
        <f>IF((COUNTIFS(#REF!,$C477,#REF!,I$1))&gt;=1,"SIM","")</f>
        <v>#REF!</v>
      </c>
      <c r="J477" s="5" t="e">
        <f>IF((COUNTIFS(#REF!,$C477,#REF!,J$1))&gt;=1,"SIM","")</f>
        <v>#REF!</v>
      </c>
      <c r="K477" s="5" t="e">
        <f>IF((COUNTIFS(#REF!,$C477,#REF!,K$1))&gt;=1,"SIM","")</f>
        <v>#REF!</v>
      </c>
      <c r="L477" s="5" t="e">
        <f>IF((COUNTIFS(#REF!,$C477,#REF!,L$1))&gt;=1,"SIM","")</f>
        <v>#REF!</v>
      </c>
      <c r="M477" s="5" t="e">
        <f>IF((COUNTIFS(#REF!,$C477,#REF!,M$1))&gt;=1,"SIM","")</f>
        <v>#REF!</v>
      </c>
      <c r="N477" s="5" t="e">
        <f>IF((COUNTIFS(#REF!,$C477,#REF!,N$1))&gt;=1,"SIM","")</f>
        <v>#REF!</v>
      </c>
      <c r="O477" s="5"/>
      <c r="P477" s="5" t="e">
        <f>IF((COUNTIFS(#REF!,$C477,#REF!,P$1))&gt;=1,"SIM","")</f>
        <v>#REF!</v>
      </c>
      <c r="Q477" s="5" t="e">
        <f>IF((COUNTIFS(#REF!,$C477,#REF!,Q$1))&gt;=1,"SIM","")</f>
        <v>#REF!</v>
      </c>
      <c r="R477" s="5" t="e">
        <f>IF((COUNTIFS(#REF!,$C477,#REF!,"*CARTA*"))&gt;=1,"SIM","")</f>
        <v>#REF!</v>
      </c>
      <c r="S477" s="5" t="e">
        <f>IF((COUNTIFS(#REF!,$C477,#REF!,"*CARTA NOTIFICAÇÃO/DEVOL*"))&gt;=1,"SIM","")</f>
        <v>#REF!</v>
      </c>
      <c r="T477" s="5" t="e">
        <f>IF((COUNTIFS(#REF!,$C477,#REF!,"*LIGAÇÃO ATIVA DEV PRIN/LOC*"))&gt;=1,"SIM","")</f>
        <v>#REF!</v>
      </c>
    </row>
    <row r="478" spans="1:20">
      <c r="A478" s="24" t="s">
        <v>2153</v>
      </c>
      <c r="B478" s="24" t="s">
        <v>1041</v>
      </c>
      <c r="C478" s="24" t="s">
        <v>1042</v>
      </c>
      <c r="D478" s="5" t="e">
        <f>IF((COUNTIFS(#REF!,$C478,#REF!,"*163*"))&gt;=1,"SIM","")</f>
        <v>#REF!</v>
      </c>
      <c r="E478" s="5" t="e">
        <f>IF((COUNTIFS(#REF!,$C478,#REF!,E$1))&gt;=1,"SIM","")</f>
        <v>#REF!</v>
      </c>
      <c r="F478" s="5" t="e">
        <f>IF((COUNTIFS(#REF!,$C478,#REF!,F$1))&gt;=1,"SIM","")</f>
        <v>#REF!</v>
      </c>
      <c r="G478" s="5" t="e">
        <f>IF((COUNTIFS(#REF!,$C478,#REF!,"*606*"))&gt;=1,"SIM","")</f>
        <v>#REF!</v>
      </c>
      <c r="H478" s="5" t="e">
        <f>IF((COUNTIFS(#REF!,$C478,#REF!,"*605*"))&gt;=1,"SIM","")</f>
        <v>#REF!</v>
      </c>
      <c r="I478" s="5" t="e">
        <f>IF((COUNTIFS(#REF!,$C478,#REF!,I$1))&gt;=1,"SIM","")</f>
        <v>#REF!</v>
      </c>
      <c r="J478" s="5" t="e">
        <f>IF((COUNTIFS(#REF!,$C478,#REF!,J$1))&gt;=1,"SIM","")</f>
        <v>#REF!</v>
      </c>
      <c r="K478" s="5" t="e">
        <f>IF((COUNTIFS(#REF!,$C478,#REF!,K$1))&gt;=1,"SIM","")</f>
        <v>#REF!</v>
      </c>
      <c r="L478" s="5" t="e">
        <f>IF((COUNTIFS(#REF!,$C478,#REF!,L$1))&gt;=1,"SIM","")</f>
        <v>#REF!</v>
      </c>
      <c r="M478" s="5" t="e">
        <f>IF((COUNTIFS(#REF!,$C478,#REF!,M$1))&gt;=1,"SIM","")</f>
        <v>#REF!</v>
      </c>
      <c r="N478" s="5" t="e">
        <f>IF((COUNTIFS(#REF!,$C478,#REF!,N$1))&gt;=1,"SIM","")</f>
        <v>#REF!</v>
      </c>
      <c r="O478" s="5"/>
      <c r="P478" s="5" t="e">
        <f>IF((COUNTIFS(#REF!,$C478,#REF!,P$1))&gt;=1,"SIM","")</f>
        <v>#REF!</v>
      </c>
      <c r="Q478" s="5" t="e">
        <f>IF((COUNTIFS(#REF!,$C478,#REF!,Q$1))&gt;=1,"SIM","")</f>
        <v>#REF!</v>
      </c>
      <c r="R478" s="5" t="e">
        <f>IF((COUNTIFS(#REF!,$C478,#REF!,"*CARTA*"))&gt;=1,"SIM","")</f>
        <v>#REF!</v>
      </c>
      <c r="S478" s="5" t="e">
        <f>IF((COUNTIFS(#REF!,$C478,#REF!,"*CARTA NOTIFICAÇÃO/DEVOL*"))&gt;=1,"SIM","")</f>
        <v>#REF!</v>
      </c>
      <c r="T478" s="5" t="e">
        <f>IF((COUNTIFS(#REF!,$C478,#REF!,"*LIGAÇÃO ATIVA DEV PRIN/LOC*"))&gt;=1,"SIM","")</f>
        <v>#REF!</v>
      </c>
    </row>
    <row r="479" spans="1:20">
      <c r="A479" s="24" t="s">
        <v>2153</v>
      </c>
      <c r="B479" s="24" t="s">
        <v>409</v>
      </c>
      <c r="C479" s="24" t="s">
        <v>410</v>
      </c>
      <c r="D479" s="5" t="e">
        <f>IF((COUNTIFS(#REF!,$C479,#REF!,"*163*"))&gt;=1,"SIM","")</f>
        <v>#REF!</v>
      </c>
      <c r="E479" s="5" t="e">
        <f>IF((COUNTIFS(#REF!,$C479,#REF!,E$1))&gt;=1,"SIM","")</f>
        <v>#REF!</v>
      </c>
      <c r="F479" s="5" t="e">
        <f>IF((COUNTIFS(#REF!,$C479,#REF!,F$1))&gt;=1,"SIM","")</f>
        <v>#REF!</v>
      </c>
      <c r="G479" s="5" t="e">
        <f>IF((COUNTIFS(#REF!,$C479,#REF!,"*606*"))&gt;=1,"SIM","")</f>
        <v>#REF!</v>
      </c>
      <c r="H479" s="5" t="e">
        <f>IF((COUNTIFS(#REF!,$C479,#REF!,"*605*"))&gt;=1,"SIM","")</f>
        <v>#REF!</v>
      </c>
      <c r="I479" s="5" t="e">
        <f>IF((COUNTIFS(#REF!,$C479,#REF!,I$1))&gt;=1,"SIM","")</f>
        <v>#REF!</v>
      </c>
      <c r="J479" s="5" t="e">
        <f>IF((COUNTIFS(#REF!,$C479,#REF!,J$1))&gt;=1,"SIM","")</f>
        <v>#REF!</v>
      </c>
      <c r="K479" s="5" t="e">
        <f>IF((COUNTIFS(#REF!,$C479,#REF!,K$1))&gt;=1,"SIM","")</f>
        <v>#REF!</v>
      </c>
      <c r="L479" s="5" t="e">
        <f>IF((COUNTIFS(#REF!,$C479,#REF!,L$1))&gt;=1,"SIM","")</f>
        <v>#REF!</v>
      </c>
      <c r="M479" s="5" t="e">
        <f>IF((COUNTIFS(#REF!,$C479,#REF!,M$1))&gt;=1,"SIM","")</f>
        <v>#REF!</v>
      </c>
      <c r="N479" s="5" t="e">
        <f>IF((COUNTIFS(#REF!,$C479,#REF!,N$1))&gt;=1,"SIM","")</f>
        <v>#REF!</v>
      </c>
      <c r="O479" s="5"/>
      <c r="P479" s="5" t="e">
        <f>IF((COUNTIFS(#REF!,$C479,#REF!,P$1))&gt;=1,"SIM","")</f>
        <v>#REF!</v>
      </c>
      <c r="Q479" s="5" t="e">
        <f>IF((COUNTIFS(#REF!,$C479,#REF!,Q$1))&gt;=1,"SIM","")</f>
        <v>#REF!</v>
      </c>
      <c r="R479" s="5" t="e">
        <f>IF((COUNTIFS(#REF!,$C479,#REF!,"*CARTA*"))&gt;=1,"SIM","")</f>
        <v>#REF!</v>
      </c>
      <c r="S479" s="5" t="e">
        <f>IF((COUNTIFS(#REF!,$C479,#REF!,"*CARTA NOTIFICAÇÃO/DEVOL*"))&gt;=1,"SIM","")</f>
        <v>#REF!</v>
      </c>
      <c r="T479" s="5" t="e">
        <f>IF((COUNTIFS(#REF!,$C479,#REF!,"*LIGAÇÃO ATIVA DEV PRIN/LOC*"))&gt;=1,"SIM","")</f>
        <v>#REF!</v>
      </c>
    </row>
    <row r="480" spans="1:20">
      <c r="A480" s="24" t="s">
        <v>2155</v>
      </c>
      <c r="B480" s="24" t="s">
        <v>85</v>
      </c>
      <c r="C480" s="24" t="s">
        <v>86</v>
      </c>
      <c r="D480" s="5" t="e">
        <f>IF((COUNTIFS(#REF!,$C480,#REF!,"*163*"))&gt;=1,"SIM","")</f>
        <v>#REF!</v>
      </c>
      <c r="E480" s="5" t="e">
        <f>IF((COUNTIFS(#REF!,$C480,#REF!,E$1))&gt;=1,"SIM","")</f>
        <v>#REF!</v>
      </c>
      <c r="F480" s="5" t="e">
        <f>IF((COUNTIFS(#REF!,$C480,#REF!,F$1))&gt;=1,"SIM","")</f>
        <v>#REF!</v>
      </c>
      <c r="G480" s="5" t="e">
        <f>IF((COUNTIFS(#REF!,$C480,#REF!,"*606*"))&gt;=1,"SIM","")</f>
        <v>#REF!</v>
      </c>
      <c r="H480" s="5" t="e">
        <f>IF((COUNTIFS(#REF!,$C480,#REF!,"*605*"))&gt;=1,"SIM","")</f>
        <v>#REF!</v>
      </c>
      <c r="I480" s="5" t="e">
        <f>IF((COUNTIFS(#REF!,$C480,#REF!,I$1))&gt;=1,"SIM","")</f>
        <v>#REF!</v>
      </c>
      <c r="J480" s="5" t="e">
        <f>IF((COUNTIFS(#REF!,$C480,#REF!,J$1))&gt;=1,"SIM","")</f>
        <v>#REF!</v>
      </c>
      <c r="K480" s="5" t="e">
        <f>IF((COUNTIFS(#REF!,$C480,#REF!,K$1))&gt;=1,"SIM","")</f>
        <v>#REF!</v>
      </c>
      <c r="L480" s="5" t="e">
        <f>IF((COUNTIFS(#REF!,$C480,#REF!,L$1))&gt;=1,"SIM","")</f>
        <v>#REF!</v>
      </c>
      <c r="M480" s="5" t="e">
        <f>IF((COUNTIFS(#REF!,$C480,#REF!,M$1))&gt;=1,"SIM","")</f>
        <v>#REF!</v>
      </c>
      <c r="N480" s="5" t="e">
        <f>IF((COUNTIFS(#REF!,$C480,#REF!,N$1))&gt;=1,"SIM","")</f>
        <v>#REF!</v>
      </c>
      <c r="O480" s="5"/>
      <c r="P480" s="5" t="e">
        <f>IF((COUNTIFS(#REF!,$C480,#REF!,P$1))&gt;=1,"SIM","")</f>
        <v>#REF!</v>
      </c>
      <c r="Q480" s="5" t="e">
        <f>IF((COUNTIFS(#REF!,$C480,#REF!,Q$1))&gt;=1,"SIM","")</f>
        <v>#REF!</v>
      </c>
      <c r="R480" s="5" t="e">
        <f>IF((COUNTIFS(#REF!,$C480,#REF!,"*CARTA*"))&gt;=1,"SIM","")</f>
        <v>#REF!</v>
      </c>
      <c r="S480" s="5" t="e">
        <f>IF((COUNTIFS(#REF!,$C480,#REF!,"*CARTA NOTIFICAÇÃO/DEVOL*"))&gt;=1,"SIM","")</f>
        <v>#REF!</v>
      </c>
      <c r="T480" s="5" t="e">
        <f>IF((COUNTIFS(#REF!,$C480,#REF!,"*LIGAÇÃO ATIVA DEV PRIN/LOC*"))&gt;=1,"SIM","")</f>
        <v>#REF!</v>
      </c>
    </row>
    <row r="481" spans="1:20">
      <c r="A481" s="24" t="s">
        <v>2158</v>
      </c>
      <c r="B481" s="24" t="s">
        <v>1409</v>
      </c>
      <c r="C481" s="24" t="s">
        <v>2107</v>
      </c>
      <c r="D481" s="5" t="e">
        <f>IF((COUNTIFS(#REF!,$C481,#REF!,"*163*"))&gt;=1,"SIM","")</f>
        <v>#REF!</v>
      </c>
      <c r="E481" s="5" t="e">
        <f>IF((COUNTIFS(#REF!,$C481,#REF!,E$1))&gt;=1,"SIM","")</f>
        <v>#REF!</v>
      </c>
      <c r="F481" s="5" t="e">
        <f>IF((COUNTIFS(#REF!,$C481,#REF!,F$1))&gt;=1,"SIM","")</f>
        <v>#REF!</v>
      </c>
      <c r="G481" s="5" t="e">
        <f>IF((COUNTIFS(#REF!,$C481,#REF!,"*606*"))&gt;=1,"SIM","")</f>
        <v>#REF!</v>
      </c>
      <c r="H481" s="5" t="e">
        <f>IF((COUNTIFS(#REF!,$C481,#REF!,"*605*"))&gt;=1,"SIM","")</f>
        <v>#REF!</v>
      </c>
      <c r="I481" s="5" t="e">
        <f>IF((COUNTIFS(#REF!,$C481,#REF!,I$1))&gt;=1,"SIM","")</f>
        <v>#REF!</v>
      </c>
      <c r="J481" s="5" t="e">
        <f>IF((COUNTIFS(#REF!,$C481,#REF!,J$1))&gt;=1,"SIM","")</f>
        <v>#REF!</v>
      </c>
      <c r="K481" s="5" t="e">
        <f>IF((COUNTIFS(#REF!,$C481,#REF!,K$1))&gt;=1,"SIM","")</f>
        <v>#REF!</v>
      </c>
      <c r="L481" s="5" t="e">
        <f>IF((COUNTIFS(#REF!,$C481,#REF!,L$1))&gt;=1,"SIM","")</f>
        <v>#REF!</v>
      </c>
      <c r="M481" s="5" t="e">
        <f>IF((COUNTIFS(#REF!,$C481,#REF!,M$1))&gt;=1,"SIM","")</f>
        <v>#REF!</v>
      </c>
      <c r="N481" s="5" t="e">
        <f>IF((COUNTIFS(#REF!,$C481,#REF!,N$1))&gt;=1,"SIM","")</f>
        <v>#REF!</v>
      </c>
      <c r="O481" s="5"/>
      <c r="P481" s="5" t="e">
        <f>IF((COUNTIFS(#REF!,$C481,#REF!,P$1))&gt;=1,"SIM","")</f>
        <v>#REF!</v>
      </c>
      <c r="Q481" s="5" t="e">
        <f>IF((COUNTIFS(#REF!,$C481,#REF!,Q$1))&gt;=1,"SIM","")</f>
        <v>#REF!</v>
      </c>
      <c r="R481" s="5" t="e">
        <f>IF((COUNTIFS(#REF!,$C481,#REF!,"*CARTA*"))&gt;=1,"SIM","")</f>
        <v>#REF!</v>
      </c>
      <c r="S481" s="5" t="e">
        <f>IF((COUNTIFS(#REF!,$C481,#REF!,"*CARTA NOTIFICAÇÃO/DEVOL*"))&gt;=1,"SIM","")</f>
        <v>#REF!</v>
      </c>
      <c r="T481" s="5" t="e">
        <f>IF((COUNTIFS(#REF!,$C481,#REF!,"*LIGAÇÃO ATIVA DEV PRIN/LOC*"))&gt;=1,"SIM","")</f>
        <v>#REF!</v>
      </c>
    </row>
    <row r="482" spans="1:20">
      <c r="A482" s="24" t="s">
        <v>2153</v>
      </c>
      <c r="B482" s="24" t="s">
        <v>742</v>
      </c>
      <c r="C482" s="24" t="s">
        <v>743</v>
      </c>
      <c r="D482" s="5" t="e">
        <f>IF((COUNTIFS(#REF!,$C482,#REF!,"*163*"))&gt;=1,"SIM","")</f>
        <v>#REF!</v>
      </c>
      <c r="E482" s="5" t="e">
        <f>IF((COUNTIFS(#REF!,$C482,#REF!,E$1))&gt;=1,"SIM","")</f>
        <v>#REF!</v>
      </c>
      <c r="F482" s="5" t="e">
        <f>IF((COUNTIFS(#REF!,$C482,#REF!,F$1))&gt;=1,"SIM","")</f>
        <v>#REF!</v>
      </c>
      <c r="G482" s="5" t="e">
        <f>IF((COUNTIFS(#REF!,$C482,#REF!,"*606*"))&gt;=1,"SIM","")</f>
        <v>#REF!</v>
      </c>
      <c r="H482" s="5" t="e">
        <f>IF((COUNTIFS(#REF!,$C482,#REF!,"*605*"))&gt;=1,"SIM","")</f>
        <v>#REF!</v>
      </c>
      <c r="I482" s="5" t="e">
        <f>IF((COUNTIFS(#REF!,$C482,#REF!,I$1))&gt;=1,"SIM","")</f>
        <v>#REF!</v>
      </c>
      <c r="J482" s="5" t="e">
        <f>IF((COUNTIFS(#REF!,$C482,#REF!,J$1))&gt;=1,"SIM","")</f>
        <v>#REF!</v>
      </c>
      <c r="K482" s="5" t="e">
        <f>IF((COUNTIFS(#REF!,$C482,#REF!,K$1))&gt;=1,"SIM","")</f>
        <v>#REF!</v>
      </c>
      <c r="L482" s="5" t="e">
        <f>IF((COUNTIFS(#REF!,$C482,#REF!,L$1))&gt;=1,"SIM","")</f>
        <v>#REF!</v>
      </c>
      <c r="M482" s="5" t="e">
        <f>IF((COUNTIFS(#REF!,$C482,#REF!,M$1))&gt;=1,"SIM","")</f>
        <v>#REF!</v>
      </c>
      <c r="N482" s="5" t="e">
        <f>IF((COUNTIFS(#REF!,$C482,#REF!,N$1))&gt;=1,"SIM","")</f>
        <v>#REF!</v>
      </c>
      <c r="O482" s="5"/>
      <c r="P482" s="5" t="e">
        <f>IF((COUNTIFS(#REF!,$C482,#REF!,P$1))&gt;=1,"SIM","")</f>
        <v>#REF!</v>
      </c>
      <c r="Q482" s="5" t="e">
        <f>IF((COUNTIFS(#REF!,$C482,#REF!,Q$1))&gt;=1,"SIM","")</f>
        <v>#REF!</v>
      </c>
      <c r="R482" s="5" t="e">
        <f>IF((COUNTIFS(#REF!,$C482,#REF!,"*CARTA*"))&gt;=1,"SIM","")</f>
        <v>#REF!</v>
      </c>
      <c r="S482" s="5" t="e">
        <f>IF((COUNTIFS(#REF!,$C482,#REF!,"*CARTA NOTIFICAÇÃO/DEVOL*"))&gt;=1,"SIM","")</f>
        <v>#REF!</v>
      </c>
      <c r="T482" s="5" t="e">
        <f>IF((COUNTIFS(#REF!,$C482,#REF!,"*LIGAÇÃO ATIVA DEV PRIN/LOC*"))&gt;=1,"SIM","")</f>
        <v>#REF!</v>
      </c>
    </row>
    <row r="483" spans="1:20">
      <c r="A483" s="24" t="s">
        <v>2159</v>
      </c>
      <c r="B483" s="24" t="s">
        <v>1178</v>
      </c>
      <c r="C483" s="24" t="s">
        <v>1179</v>
      </c>
      <c r="D483" s="5" t="e">
        <f>IF((COUNTIFS(#REF!,$C483,#REF!,"*163*"))&gt;=1,"SIM","")</f>
        <v>#REF!</v>
      </c>
      <c r="E483" s="5" t="e">
        <f>IF((COUNTIFS(#REF!,$C483,#REF!,E$1))&gt;=1,"SIM","")</f>
        <v>#REF!</v>
      </c>
      <c r="F483" s="5" t="e">
        <f>IF((COUNTIFS(#REF!,$C483,#REF!,F$1))&gt;=1,"SIM","")</f>
        <v>#REF!</v>
      </c>
      <c r="G483" s="5" t="e">
        <f>IF((COUNTIFS(#REF!,$C483,#REF!,"*606*"))&gt;=1,"SIM","")</f>
        <v>#REF!</v>
      </c>
      <c r="H483" s="5" t="e">
        <f>IF((COUNTIFS(#REF!,$C483,#REF!,"*605*"))&gt;=1,"SIM","")</f>
        <v>#REF!</v>
      </c>
      <c r="I483" s="5" t="e">
        <f>IF((COUNTIFS(#REF!,$C483,#REF!,I$1))&gt;=1,"SIM","")</f>
        <v>#REF!</v>
      </c>
      <c r="J483" s="5" t="e">
        <f>IF((COUNTIFS(#REF!,$C483,#REF!,J$1))&gt;=1,"SIM","")</f>
        <v>#REF!</v>
      </c>
      <c r="K483" s="5" t="e">
        <f>IF((COUNTIFS(#REF!,$C483,#REF!,K$1))&gt;=1,"SIM","")</f>
        <v>#REF!</v>
      </c>
      <c r="L483" s="5" t="e">
        <f>IF((COUNTIFS(#REF!,$C483,#REF!,L$1))&gt;=1,"SIM","")</f>
        <v>#REF!</v>
      </c>
      <c r="M483" s="5" t="e">
        <f>IF((COUNTIFS(#REF!,$C483,#REF!,M$1))&gt;=1,"SIM","")</f>
        <v>#REF!</v>
      </c>
      <c r="N483" s="5" t="e">
        <f>IF((COUNTIFS(#REF!,$C483,#REF!,N$1))&gt;=1,"SIM","")</f>
        <v>#REF!</v>
      </c>
      <c r="O483" s="5"/>
      <c r="P483" s="5" t="e">
        <f>IF((COUNTIFS(#REF!,$C483,#REF!,P$1))&gt;=1,"SIM","")</f>
        <v>#REF!</v>
      </c>
      <c r="Q483" s="5" t="e">
        <f>IF((COUNTIFS(#REF!,$C483,#REF!,Q$1))&gt;=1,"SIM","")</f>
        <v>#REF!</v>
      </c>
      <c r="R483" s="5" t="e">
        <f>IF((COUNTIFS(#REF!,$C483,#REF!,"*CARTA*"))&gt;=1,"SIM","")</f>
        <v>#REF!</v>
      </c>
      <c r="S483" s="5" t="e">
        <f>IF((COUNTIFS(#REF!,$C483,#REF!,"*CARTA NOTIFICAÇÃO/DEVOL*"))&gt;=1,"SIM","")</f>
        <v>#REF!</v>
      </c>
      <c r="T483" s="5" t="e">
        <f>IF((COUNTIFS(#REF!,$C483,#REF!,"*LIGAÇÃO ATIVA DEV PRIN/LOC*"))&gt;=1,"SIM","")</f>
        <v>#REF!</v>
      </c>
    </row>
    <row r="484" spans="1:20">
      <c r="A484" s="24" t="s">
        <v>2159</v>
      </c>
      <c r="B484" s="24" t="s">
        <v>1498</v>
      </c>
      <c r="C484" s="24" t="s">
        <v>1499</v>
      </c>
      <c r="D484" s="5" t="e">
        <f>IF((COUNTIFS(#REF!,$C484,#REF!,"*163*"))&gt;=1,"SIM","")</f>
        <v>#REF!</v>
      </c>
      <c r="E484" s="5" t="e">
        <f>IF((COUNTIFS(#REF!,$C484,#REF!,E$1))&gt;=1,"SIM","")</f>
        <v>#REF!</v>
      </c>
      <c r="F484" s="5" t="e">
        <f>IF((COUNTIFS(#REF!,$C484,#REF!,F$1))&gt;=1,"SIM","")</f>
        <v>#REF!</v>
      </c>
      <c r="G484" s="5" t="e">
        <f>IF((COUNTIFS(#REF!,$C484,#REF!,"*606*"))&gt;=1,"SIM","")</f>
        <v>#REF!</v>
      </c>
      <c r="H484" s="5" t="e">
        <f>IF((COUNTIFS(#REF!,$C484,#REF!,"*605*"))&gt;=1,"SIM","")</f>
        <v>#REF!</v>
      </c>
      <c r="I484" s="5" t="e">
        <f>IF((COUNTIFS(#REF!,$C484,#REF!,I$1))&gt;=1,"SIM","")</f>
        <v>#REF!</v>
      </c>
      <c r="J484" s="5" t="e">
        <f>IF((COUNTIFS(#REF!,$C484,#REF!,J$1))&gt;=1,"SIM","")</f>
        <v>#REF!</v>
      </c>
      <c r="K484" s="5" t="e">
        <f>IF((COUNTIFS(#REF!,$C484,#REF!,K$1))&gt;=1,"SIM","")</f>
        <v>#REF!</v>
      </c>
      <c r="L484" s="5" t="e">
        <f>IF((COUNTIFS(#REF!,$C484,#REF!,L$1))&gt;=1,"SIM","")</f>
        <v>#REF!</v>
      </c>
      <c r="M484" s="5" t="e">
        <f>IF((COUNTIFS(#REF!,$C484,#REF!,M$1))&gt;=1,"SIM","")</f>
        <v>#REF!</v>
      </c>
      <c r="N484" s="5" t="e">
        <f>IF((COUNTIFS(#REF!,$C484,#REF!,N$1))&gt;=1,"SIM","")</f>
        <v>#REF!</v>
      </c>
      <c r="O484" s="5"/>
      <c r="P484" s="5" t="e">
        <f>IF((COUNTIFS(#REF!,$C484,#REF!,P$1))&gt;=1,"SIM","")</f>
        <v>#REF!</v>
      </c>
      <c r="Q484" s="5" t="e">
        <f>IF((COUNTIFS(#REF!,$C484,#REF!,Q$1))&gt;=1,"SIM","")</f>
        <v>#REF!</v>
      </c>
      <c r="R484" s="5" t="e">
        <f>IF((COUNTIFS(#REF!,$C484,#REF!,"*CARTA*"))&gt;=1,"SIM","")</f>
        <v>#REF!</v>
      </c>
      <c r="S484" s="5" t="e">
        <f>IF((COUNTIFS(#REF!,$C484,#REF!,"*CARTA NOTIFICAÇÃO/DEVOL*"))&gt;=1,"SIM","")</f>
        <v>#REF!</v>
      </c>
      <c r="T484" s="5" t="e">
        <f>IF((COUNTIFS(#REF!,$C484,#REF!,"*LIGAÇÃO ATIVA DEV PRIN/LOC*"))&gt;=1,"SIM","")</f>
        <v>#REF!</v>
      </c>
    </row>
    <row r="485" spans="1:20">
      <c r="A485" s="24" t="s">
        <v>2153</v>
      </c>
      <c r="B485" s="24" t="s">
        <v>608</v>
      </c>
      <c r="C485" s="24" t="s">
        <v>609</v>
      </c>
      <c r="D485" s="5" t="e">
        <f>IF((COUNTIFS(#REF!,$C485,#REF!,"*163*"))&gt;=1,"SIM","")</f>
        <v>#REF!</v>
      </c>
      <c r="E485" s="5" t="e">
        <f>IF((COUNTIFS(#REF!,$C485,#REF!,E$1))&gt;=1,"SIM","")</f>
        <v>#REF!</v>
      </c>
      <c r="F485" s="5" t="e">
        <f>IF((COUNTIFS(#REF!,$C485,#REF!,F$1))&gt;=1,"SIM","")</f>
        <v>#REF!</v>
      </c>
      <c r="G485" s="5" t="e">
        <f>IF((COUNTIFS(#REF!,$C485,#REF!,"*606*"))&gt;=1,"SIM","")</f>
        <v>#REF!</v>
      </c>
      <c r="H485" s="5" t="e">
        <f>IF((COUNTIFS(#REF!,$C485,#REF!,"*605*"))&gt;=1,"SIM","")</f>
        <v>#REF!</v>
      </c>
      <c r="I485" s="5" t="e">
        <f>IF((COUNTIFS(#REF!,$C485,#REF!,I$1))&gt;=1,"SIM","")</f>
        <v>#REF!</v>
      </c>
      <c r="J485" s="5" t="e">
        <f>IF((COUNTIFS(#REF!,$C485,#REF!,J$1))&gt;=1,"SIM","")</f>
        <v>#REF!</v>
      </c>
      <c r="K485" s="5" t="e">
        <f>IF((COUNTIFS(#REF!,$C485,#REF!,K$1))&gt;=1,"SIM","")</f>
        <v>#REF!</v>
      </c>
      <c r="L485" s="5" t="e">
        <f>IF((COUNTIFS(#REF!,$C485,#REF!,L$1))&gt;=1,"SIM","")</f>
        <v>#REF!</v>
      </c>
      <c r="M485" s="5" t="e">
        <f>IF((COUNTIFS(#REF!,$C485,#REF!,M$1))&gt;=1,"SIM","")</f>
        <v>#REF!</v>
      </c>
      <c r="N485" s="5" t="e">
        <f>IF((COUNTIFS(#REF!,$C485,#REF!,N$1))&gt;=1,"SIM","")</f>
        <v>#REF!</v>
      </c>
      <c r="O485" s="5"/>
      <c r="P485" s="5" t="e">
        <f>IF((COUNTIFS(#REF!,$C485,#REF!,P$1))&gt;=1,"SIM","")</f>
        <v>#REF!</v>
      </c>
      <c r="Q485" s="5" t="e">
        <f>IF((COUNTIFS(#REF!,$C485,#REF!,Q$1))&gt;=1,"SIM","")</f>
        <v>#REF!</v>
      </c>
      <c r="R485" s="5" t="e">
        <f>IF((COUNTIFS(#REF!,$C485,#REF!,"*CARTA*"))&gt;=1,"SIM","")</f>
        <v>#REF!</v>
      </c>
      <c r="S485" s="5" t="e">
        <f>IF((COUNTIFS(#REF!,$C485,#REF!,"*CARTA NOTIFICAÇÃO/DEVOL*"))&gt;=1,"SIM","")</f>
        <v>#REF!</v>
      </c>
      <c r="T485" s="5" t="e">
        <f>IF((COUNTIFS(#REF!,$C485,#REF!,"*LIGAÇÃO ATIVA DEV PRIN/LOC*"))&gt;=1,"SIM","")</f>
        <v>#REF!</v>
      </c>
    </row>
    <row r="486" spans="1:20">
      <c r="A486" s="24" t="s">
        <v>2153</v>
      </c>
      <c r="B486" s="24" t="s">
        <v>793</v>
      </c>
      <c r="C486" s="24" t="s">
        <v>794</v>
      </c>
      <c r="D486" s="5" t="e">
        <f>IF((COUNTIFS(#REF!,$C486,#REF!,"*163*"))&gt;=1,"SIM","")</f>
        <v>#REF!</v>
      </c>
      <c r="E486" s="5" t="e">
        <f>IF((COUNTIFS(#REF!,$C486,#REF!,E$1))&gt;=1,"SIM","")</f>
        <v>#REF!</v>
      </c>
      <c r="F486" s="5" t="e">
        <f>IF((COUNTIFS(#REF!,$C486,#REF!,F$1))&gt;=1,"SIM","")</f>
        <v>#REF!</v>
      </c>
      <c r="G486" s="5" t="e">
        <f>IF((COUNTIFS(#REF!,$C486,#REF!,"*606*"))&gt;=1,"SIM","")</f>
        <v>#REF!</v>
      </c>
      <c r="H486" s="5" t="e">
        <f>IF((COUNTIFS(#REF!,$C486,#REF!,"*605*"))&gt;=1,"SIM","")</f>
        <v>#REF!</v>
      </c>
      <c r="I486" s="5" t="e">
        <f>IF((COUNTIFS(#REF!,$C486,#REF!,I$1))&gt;=1,"SIM","")</f>
        <v>#REF!</v>
      </c>
      <c r="J486" s="5" t="e">
        <f>IF((COUNTIFS(#REF!,$C486,#REF!,J$1))&gt;=1,"SIM","")</f>
        <v>#REF!</v>
      </c>
      <c r="K486" s="5" t="e">
        <f>IF((COUNTIFS(#REF!,$C486,#REF!,K$1))&gt;=1,"SIM","")</f>
        <v>#REF!</v>
      </c>
      <c r="L486" s="5" t="e">
        <f>IF((COUNTIFS(#REF!,$C486,#REF!,L$1))&gt;=1,"SIM","")</f>
        <v>#REF!</v>
      </c>
      <c r="M486" s="5" t="e">
        <f>IF((COUNTIFS(#REF!,$C486,#REF!,M$1))&gt;=1,"SIM","")</f>
        <v>#REF!</v>
      </c>
      <c r="N486" s="5" t="e">
        <f>IF((COUNTIFS(#REF!,$C486,#REF!,N$1))&gt;=1,"SIM","")</f>
        <v>#REF!</v>
      </c>
      <c r="O486" s="5"/>
      <c r="P486" s="5" t="e">
        <f>IF((COUNTIFS(#REF!,$C486,#REF!,P$1))&gt;=1,"SIM","")</f>
        <v>#REF!</v>
      </c>
      <c r="Q486" s="5" t="e">
        <f>IF((COUNTIFS(#REF!,$C486,#REF!,Q$1))&gt;=1,"SIM","")</f>
        <v>#REF!</v>
      </c>
      <c r="R486" s="5" t="e">
        <f>IF((COUNTIFS(#REF!,$C486,#REF!,"*CARTA*"))&gt;=1,"SIM","")</f>
        <v>#REF!</v>
      </c>
      <c r="S486" s="5" t="e">
        <f>IF((COUNTIFS(#REF!,$C486,#REF!,"*CARTA NOTIFICAÇÃO/DEVOL*"))&gt;=1,"SIM","")</f>
        <v>#REF!</v>
      </c>
      <c r="T486" s="5" t="e">
        <f>IF((COUNTIFS(#REF!,$C486,#REF!,"*LIGAÇÃO ATIVA DEV PRIN/LOC*"))&gt;=1,"SIM","")</f>
        <v>#REF!</v>
      </c>
    </row>
    <row r="487" spans="1:20">
      <c r="A487" s="24" t="s">
        <v>2155</v>
      </c>
      <c r="B487" s="24" t="s">
        <v>147</v>
      </c>
      <c r="C487" s="24" t="s">
        <v>148</v>
      </c>
      <c r="D487" s="5" t="e">
        <f>IF((COUNTIFS(#REF!,$C487,#REF!,"*163*"))&gt;=1,"SIM","")</f>
        <v>#REF!</v>
      </c>
      <c r="E487" s="5" t="e">
        <f>IF((COUNTIFS(#REF!,$C487,#REF!,E$1))&gt;=1,"SIM","")</f>
        <v>#REF!</v>
      </c>
      <c r="F487" s="5" t="e">
        <f>IF((COUNTIFS(#REF!,$C487,#REF!,F$1))&gt;=1,"SIM","")</f>
        <v>#REF!</v>
      </c>
      <c r="G487" s="5" t="e">
        <f>IF((COUNTIFS(#REF!,$C487,#REF!,"*606*"))&gt;=1,"SIM","")</f>
        <v>#REF!</v>
      </c>
      <c r="H487" s="5" t="e">
        <f>IF((COUNTIFS(#REF!,$C487,#REF!,"*605*"))&gt;=1,"SIM","")</f>
        <v>#REF!</v>
      </c>
      <c r="I487" s="5" t="e">
        <f>IF((COUNTIFS(#REF!,$C487,#REF!,I$1))&gt;=1,"SIM","")</f>
        <v>#REF!</v>
      </c>
      <c r="J487" s="5" t="e">
        <f>IF((COUNTIFS(#REF!,$C487,#REF!,J$1))&gt;=1,"SIM","")</f>
        <v>#REF!</v>
      </c>
      <c r="K487" s="5" t="e">
        <f>IF((COUNTIFS(#REF!,$C487,#REF!,K$1))&gt;=1,"SIM","")</f>
        <v>#REF!</v>
      </c>
      <c r="L487" s="5" t="e">
        <f>IF((COUNTIFS(#REF!,$C487,#REF!,L$1))&gt;=1,"SIM","")</f>
        <v>#REF!</v>
      </c>
      <c r="M487" s="5" t="e">
        <f>IF((COUNTIFS(#REF!,$C487,#REF!,M$1))&gt;=1,"SIM","")</f>
        <v>#REF!</v>
      </c>
      <c r="N487" s="5" t="e">
        <f>IF((COUNTIFS(#REF!,$C487,#REF!,N$1))&gt;=1,"SIM","")</f>
        <v>#REF!</v>
      </c>
      <c r="O487" s="5"/>
      <c r="P487" s="5" t="e">
        <f>IF((COUNTIFS(#REF!,$C487,#REF!,P$1))&gt;=1,"SIM","")</f>
        <v>#REF!</v>
      </c>
      <c r="Q487" s="5" t="e">
        <f>IF((COUNTIFS(#REF!,$C487,#REF!,Q$1))&gt;=1,"SIM","")</f>
        <v>#REF!</v>
      </c>
      <c r="R487" s="5" t="e">
        <f>IF((COUNTIFS(#REF!,$C487,#REF!,"*CARTA*"))&gt;=1,"SIM","")</f>
        <v>#REF!</v>
      </c>
      <c r="S487" s="5" t="e">
        <f>IF((COUNTIFS(#REF!,$C487,#REF!,"*CARTA NOTIFICAÇÃO/DEVOL*"))&gt;=1,"SIM","")</f>
        <v>#REF!</v>
      </c>
      <c r="T487" s="5" t="e">
        <f>IF((COUNTIFS(#REF!,$C487,#REF!,"*LIGAÇÃO ATIVA DEV PRIN/LOC*"))&gt;=1,"SIM","")</f>
        <v>#REF!</v>
      </c>
    </row>
    <row r="488" spans="1:20">
      <c r="A488" s="24" t="s">
        <v>2157</v>
      </c>
      <c r="B488" s="24" t="s">
        <v>2072</v>
      </c>
      <c r="C488" s="24" t="s">
        <v>2073</v>
      </c>
      <c r="D488" s="5" t="e">
        <f>IF((COUNTIFS(#REF!,$C488,#REF!,"*163*"))&gt;=1,"SIM","")</f>
        <v>#REF!</v>
      </c>
      <c r="E488" s="5" t="e">
        <f>IF((COUNTIFS(#REF!,$C488,#REF!,E$1))&gt;=1,"SIM","")</f>
        <v>#REF!</v>
      </c>
      <c r="F488" s="5" t="e">
        <f>IF((COUNTIFS(#REF!,$C488,#REF!,F$1))&gt;=1,"SIM","")</f>
        <v>#REF!</v>
      </c>
      <c r="G488" s="5" t="e">
        <f>IF((COUNTIFS(#REF!,$C488,#REF!,"*606*"))&gt;=1,"SIM","")</f>
        <v>#REF!</v>
      </c>
      <c r="H488" s="5" t="e">
        <f>IF((COUNTIFS(#REF!,$C488,#REF!,"*605*"))&gt;=1,"SIM","")</f>
        <v>#REF!</v>
      </c>
      <c r="I488" s="5" t="e">
        <f>IF((COUNTIFS(#REF!,$C488,#REF!,I$1))&gt;=1,"SIM","")</f>
        <v>#REF!</v>
      </c>
      <c r="J488" s="5" t="e">
        <f>IF((COUNTIFS(#REF!,$C488,#REF!,J$1))&gt;=1,"SIM","")</f>
        <v>#REF!</v>
      </c>
      <c r="K488" s="5" t="e">
        <f>IF((COUNTIFS(#REF!,$C488,#REF!,K$1))&gt;=1,"SIM","")</f>
        <v>#REF!</v>
      </c>
      <c r="L488" s="5" t="e">
        <f>IF((COUNTIFS(#REF!,$C488,#REF!,L$1))&gt;=1,"SIM","")</f>
        <v>#REF!</v>
      </c>
      <c r="M488" s="5" t="e">
        <f>IF((COUNTIFS(#REF!,$C488,#REF!,M$1))&gt;=1,"SIM","")</f>
        <v>#REF!</v>
      </c>
      <c r="N488" s="5" t="e">
        <f>IF((COUNTIFS(#REF!,$C488,#REF!,N$1))&gt;=1,"SIM","")</f>
        <v>#REF!</v>
      </c>
      <c r="O488" s="5"/>
      <c r="P488" s="5" t="e">
        <f>IF((COUNTIFS(#REF!,$C488,#REF!,P$1))&gt;=1,"SIM","")</f>
        <v>#REF!</v>
      </c>
      <c r="Q488" s="5" t="e">
        <f>IF((COUNTIFS(#REF!,$C488,#REF!,Q$1))&gt;=1,"SIM","")</f>
        <v>#REF!</v>
      </c>
      <c r="R488" s="5" t="e">
        <f>IF((COUNTIFS(#REF!,$C488,#REF!,"*CARTA*"))&gt;=1,"SIM","")</f>
        <v>#REF!</v>
      </c>
      <c r="S488" s="5" t="e">
        <f>IF((COUNTIFS(#REF!,$C488,#REF!,"*CARTA NOTIFICAÇÃO/DEVOL*"))&gt;=1,"SIM","")</f>
        <v>#REF!</v>
      </c>
      <c r="T488" s="5" t="e">
        <f>IF((COUNTIFS(#REF!,$C488,#REF!,"*LIGAÇÃO ATIVA DEV PRIN/LOC*"))&gt;=1,"SIM","")</f>
        <v>#REF!</v>
      </c>
    </row>
    <row r="489" spans="1:20">
      <c r="A489" s="24" t="s">
        <v>2159</v>
      </c>
      <c r="B489" s="24" t="s">
        <v>1118</v>
      </c>
      <c r="C489" s="24" t="s">
        <v>1119</v>
      </c>
      <c r="D489" s="5" t="e">
        <f>IF((COUNTIFS(#REF!,$C489,#REF!,"*163*"))&gt;=1,"SIM","")</f>
        <v>#REF!</v>
      </c>
      <c r="E489" s="5" t="e">
        <f>IF((COUNTIFS(#REF!,$C489,#REF!,E$1))&gt;=1,"SIM","")</f>
        <v>#REF!</v>
      </c>
      <c r="F489" s="5" t="e">
        <f>IF((COUNTIFS(#REF!,$C489,#REF!,F$1))&gt;=1,"SIM","")</f>
        <v>#REF!</v>
      </c>
      <c r="G489" s="5" t="e">
        <f>IF((COUNTIFS(#REF!,$C489,#REF!,"*606*"))&gt;=1,"SIM","")</f>
        <v>#REF!</v>
      </c>
      <c r="H489" s="5" t="e">
        <f>IF((COUNTIFS(#REF!,$C489,#REF!,"*605*"))&gt;=1,"SIM","")</f>
        <v>#REF!</v>
      </c>
      <c r="I489" s="5" t="e">
        <f>IF((COUNTIFS(#REF!,$C489,#REF!,I$1))&gt;=1,"SIM","")</f>
        <v>#REF!</v>
      </c>
      <c r="J489" s="5" t="e">
        <f>IF((COUNTIFS(#REF!,$C489,#REF!,J$1))&gt;=1,"SIM","")</f>
        <v>#REF!</v>
      </c>
      <c r="K489" s="5" t="e">
        <f>IF((COUNTIFS(#REF!,$C489,#REF!,K$1))&gt;=1,"SIM","")</f>
        <v>#REF!</v>
      </c>
      <c r="L489" s="5" t="e">
        <f>IF((COUNTIFS(#REF!,$C489,#REF!,L$1))&gt;=1,"SIM","")</f>
        <v>#REF!</v>
      </c>
      <c r="M489" s="5" t="e">
        <f>IF((COUNTIFS(#REF!,$C489,#REF!,M$1))&gt;=1,"SIM","")</f>
        <v>#REF!</v>
      </c>
      <c r="N489" s="5" t="e">
        <f>IF((COUNTIFS(#REF!,$C489,#REF!,N$1))&gt;=1,"SIM","")</f>
        <v>#REF!</v>
      </c>
      <c r="O489" s="5"/>
      <c r="P489" s="5" t="e">
        <f>IF((COUNTIFS(#REF!,$C489,#REF!,P$1))&gt;=1,"SIM","")</f>
        <v>#REF!</v>
      </c>
      <c r="Q489" s="5" t="e">
        <f>IF((COUNTIFS(#REF!,$C489,#REF!,Q$1))&gt;=1,"SIM","")</f>
        <v>#REF!</v>
      </c>
      <c r="R489" s="5" t="e">
        <f>IF((COUNTIFS(#REF!,$C489,#REF!,"*CARTA*"))&gt;=1,"SIM","")</f>
        <v>#REF!</v>
      </c>
      <c r="S489" s="5" t="e">
        <f>IF((COUNTIFS(#REF!,$C489,#REF!,"*CARTA NOTIFICAÇÃO/DEVOL*"))&gt;=1,"SIM","")</f>
        <v>#REF!</v>
      </c>
      <c r="T489" s="5" t="e">
        <f>IF((COUNTIFS(#REF!,$C489,#REF!,"*LIGAÇÃO ATIVA DEV PRIN/LOC*"))&gt;=1,"SIM","")</f>
        <v>#REF!</v>
      </c>
    </row>
    <row r="490" spans="1:20">
      <c r="A490" s="24" t="s">
        <v>2159</v>
      </c>
      <c r="B490" s="24" t="s">
        <v>824</v>
      </c>
      <c r="C490" s="24" t="s">
        <v>825</v>
      </c>
      <c r="D490" s="5" t="e">
        <f>IF((COUNTIFS(#REF!,$C490,#REF!,"*163*"))&gt;=1,"SIM","")</f>
        <v>#REF!</v>
      </c>
      <c r="E490" s="5" t="e">
        <f>IF((COUNTIFS(#REF!,$C490,#REF!,E$1))&gt;=1,"SIM","")</f>
        <v>#REF!</v>
      </c>
      <c r="F490" s="5" t="e">
        <f>IF((COUNTIFS(#REF!,$C490,#REF!,F$1))&gt;=1,"SIM","")</f>
        <v>#REF!</v>
      </c>
      <c r="G490" s="5" t="e">
        <f>IF((COUNTIFS(#REF!,$C490,#REF!,"*606*"))&gt;=1,"SIM","")</f>
        <v>#REF!</v>
      </c>
      <c r="H490" s="5" t="e">
        <f>IF((COUNTIFS(#REF!,$C490,#REF!,"*605*"))&gt;=1,"SIM","")</f>
        <v>#REF!</v>
      </c>
      <c r="I490" s="5" t="e">
        <f>IF((COUNTIFS(#REF!,$C490,#REF!,I$1))&gt;=1,"SIM","")</f>
        <v>#REF!</v>
      </c>
      <c r="J490" s="5" t="e">
        <f>IF((COUNTIFS(#REF!,$C490,#REF!,J$1))&gt;=1,"SIM","")</f>
        <v>#REF!</v>
      </c>
      <c r="K490" s="5" t="e">
        <f>IF((COUNTIFS(#REF!,$C490,#REF!,K$1))&gt;=1,"SIM","")</f>
        <v>#REF!</v>
      </c>
      <c r="L490" s="5" t="e">
        <f>IF((COUNTIFS(#REF!,$C490,#REF!,L$1))&gt;=1,"SIM","")</f>
        <v>#REF!</v>
      </c>
      <c r="M490" s="5" t="e">
        <f>IF((COUNTIFS(#REF!,$C490,#REF!,M$1))&gt;=1,"SIM","")</f>
        <v>#REF!</v>
      </c>
      <c r="N490" s="5" t="e">
        <f>IF((COUNTIFS(#REF!,$C490,#REF!,N$1))&gt;=1,"SIM","")</f>
        <v>#REF!</v>
      </c>
      <c r="O490" s="5"/>
      <c r="P490" s="5" t="e">
        <f>IF((COUNTIFS(#REF!,$C490,#REF!,P$1))&gt;=1,"SIM","")</f>
        <v>#REF!</v>
      </c>
      <c r="Q490" s="5" t="e">
        <f>IF((COUNTIFS(#REF!,$C490,#REF!,Q$1))&gt;=1,"SIM","")</f>
        <v>#REF!</v>
      </c>
      <c r="R490" s="5" t="e">
        <f>IF((COUNTIFS(#REF!,$C490,#REF!,"*CARTA*"))&gt;=1,"SIM","")</f>
        <v>#REF!</v>
      </c>
      <c r="S490" s="5" t="e">
        <f>IF((COUNTIFS(#REF!,$C490,#REF!,"*CARTA NOTIFICAÇÃO/DEVOL*"))&gt;=1,"SIM","")</f>
        <v>#REF!</v>
      </c>
      <c r="T490" s="5" t="e">
        <f>IF((COUNTIFS(#REF!,$C490,#REF!,"*LIGAÇÃO ATIVA DEV PRIN/LOC*"))&gt;=1,"SIM","")</f>
        <v>#REF!</v>
      </c>
    </row>
    <row r="491" spans="1:20">
      <c r="A491" s="24" t="s">
        <v>2153</v>
      </c>
      <c r="B491" s="24" t="s">
        <v>598</v>
      </c>
      <c r="C491" s="24" t="s">
        <v>599</v>
      </c>
      <c r="D491" s="5" t="e">
        <f>IF((COUNTIFS(#REF!,$C491,#REF!,"*163*"))&gt;=1,"SIM","")</f>
        <v>#REF!</v>
      </c>
      <c r="E491" s="5" t="e">
        <f>IF((COUNTIFS(#REF!,$C491,#REF!,E$1))&gt;=1,"SIM","")</f>
        <v>#REF!</v>
      </c>
      <c r="F491" s="5" t="e">
        <f>IF((COUNTIFS(#REF!,$C491,#REF!,F$1))&gt;=1,"SIM","")</f>
        <v>#REF!</v>
      </c>
      <c r="G491" s="5" t="e">
        <f>IF((COUNTIFS(#REF!,$C491,#REF!,"*606*"))&gt;=1,"SIM","")</f>
        <v>#REF!</v>
      </c>
      <c r="H491" s="5" t="e">
        <f>IF((COUNTIFS(#REF!,$C491,#REF!,"*605*"))&gt;=1,"SIM","")</f>
        <v>#REF!</v>
      </c>
      <c r="I491" s="5" t="e">
        <f>IF((COUNTIFS(#REF!,$C491,#REF!,I$1))&gt;=1,"SIM","")</f>
        <v>#REF!</v>
      </c>
      <c r="J491" s="5" t="e">
        <f>IF((COUNTIFS(#REF!,$C491,#REF!,J$1))&gt;=1,"SIM","")</f>
        <v>#REF!</v>
      </c>
      <c r="K491" s="5" t="e">
        <f>IF((COUNTIFS(#REF!,$C491,#REF!,K$1))&gt;=1,"SIM","")</f>
        <v>#REF!</v>
      </c>
      <c r="L491" s="5" t="e">
        <f>IF((COUNTIFS(#REF!,$C491,#REF!,L$1))&gt;=1,"SIM","")</f>
        <v>#REF!</v>
      </c>
      <c r="M491" s="5" t="e">
        <f>IF((COUNTIFS(#REF!,$C491,#REF!,M$1))&gt;=1,"SIM","")</f>
        <v>#REF!</v>
      </c>
      <c r="N491" s="5" t="e">
        <f>IF((COUNTIFS(#REF!,$C491,#REF!,N$1))&gt;=1,"SIM","")</f>
        <v>#REF!</v>
      </c>
      <c r="O491" s="5"/>
      <c r="P491" s="5" t="e">
        <f>IF((COUNTIFS(#REF!,$C491,#REF!,P$1))&gt;=1,"SIM","")</f>
        <v>#REF!</v>
      </c>
      <c r="Q491" s="5" t="e">
        <f>IF((COUNTIFS(#REF!,$C491,#REF!,Q$1))&gt;=1,"SIM","")</f>
        <v>#REF!</v>
      </c>
      <c r="R491" s="5" t="e">
        <f>IF((COUNTIFS(#REF!,$C491,#REF!,"*CARTA*"))&gt;=1,"SIM","")</f>
        <v>#REF!</v>
      </c>
      <c r="S491" s="5" t="e">
        <f>IF((COUNTIFS(#REF!,$C491,#REF!,"*CARTA NOTIFICAÇÃO/DEVOL*"))&gt;=1,"SIM","")</f>
        <v>#REF!</v>
      </c>
      <c r="T491" s="5" t="e">
        <f>IF((COUNTIFS(#REF!,$C491,#REF!,"*LIGAÇÃO ATIVA DEV PRIN/LOC*"))&gt;=1,"SIM","")</f>
        <v>#REF!</v>
      </c>
    </row>
    <row r="492" spans="1:20">
      <c r="A492" s="24" t="s">
        <v>2155</v>
      </c>
      <c r="B492" s="24" t="s">
        <v>62</v>
      </c>
      <c r="C492" s="24" t="s">
        <v>63</v>
      </c>
      <c r="D492" s="5" t="e">
        <f>IF((COUNTIFS(#REF!,$C492,#REF!,"*163*"))&gt;=1,"SIM","")</f>
        <v>#REF!</v>
      </c>
      <c r="E492" s="5" t="e">
        <f>IF((COUNTIFS(#REF!,$C492,#REF!,E$1))&gt;=1,"SIM","")</f>
        <v>#REF!</v>
      </c>
      <c r="F492" s="5" t="e">
        <f>IF((COUNTIFS(#REF!,$C492,#REF!,F$1))&gt;=1,"SIM","")</f>
        <v>#REF!</v>
      </c>
      <c r="G492" s="5" t="e">
        <f>IF((COUNTIFS(#REF!,$C492,#REF!,"*606*"))&gt;=1,"SIM","")</f>
        <v>#REF!</v>
      </c>
      <c r="H492" s="5" t="e">
        <f>IF((COUNTIFS(#REF!,$C492,#REF!,"*605*"))&gt;=1,"SIM","")</f>
        <v>#REF!</v>
      </c>
      <c r="I492" s="5" t="e">
        <f>IF((COUNTIFS(#REF!,$C492,#REF!,I$1))&gt;=1,"SIM","")</f>
        <v>#REF!</v>
      </c>
      <c r="J492" s="5" t="e">
        <f>IF((COUNTIFS(#REF!,$C492,#REF!,J$1))&gt;=1,"SIM","")</f>
        <v>#REF!</v>
      </c>
      <c r="K492" s="5" t="e">
        <f>IF((COUNTIFS(#REF!,$C492,#REF!,K$1))&gt;=1,"SIM","")</f>
        <v>#REF!</v>
      </c>
      <c r="L492" s="5" t="e">
        <f>IF((COUNTIFS(#REF!,$C492,#REF!,L$1))&gt;=1,"SIM","")</f>
        <v>#REF!</v>
      </c>
      <c r="M492" s="5" t="e">
        <f>IF((COUNTIFS(#REF!,$C492,#REF!,M$1))&gt;=1,"SIM","")</f>
        <v>#REF!</v>
      </c>
      <c r="N492" s="5" t="e">
        <f>IF((COUNTIFS(#REF!,$C492,#REF!,N$1))&gt;=1,"SIM","")</f>
        <v>#REF!</v>
      </c>
      <c r="O492" s="5"/>
      <c r="P492" s="5" t="e">
        <f>IF((COUNTIFS(#REF!,$C492,#REF!,P$1))&gt;=1,"SIM","")</f>
        <v>#REF!</v>
      </c>
      <c r="Q492" s="5" t="e">
        <f>IF((COUNTIFS(#REF!,$C492,#REF!,Q$1))&gt;=1,"SIM","")</f>
        <v>#REF!</v>
      </c>
      <c r="R492" s="5" t="e">
        <f>IF((COUNTIFS(#REF!,$C492,#REF!,"*CARTA*"))&gt;=1,"SIM","")</f>
        <v>#REF!</v>
      </c>
      <c r="S492" s="5" t="e">
        <f>IF((COUNTIFS(#REF!,$C492,#REF!,"*CARTA NOTIFICAÇÃO/DEVOL*"))&gt;=1,"SIM","")</f>
        <v>#REF!</v>
      </c>
      <c r="T492" s="5" t="e">
        <f>IF((COUNTIFS(#REF!,$C492,#REF!,"*LIGAÇÃO ATIVA DEV PRIN/LOC*"))&gt;=1,"SIM","")</f>
        <v>#REF!</v>
      </c>
    </row>
    <row r="493" spans="1:20">
      <c r="A493" s="24" t="s">
        <v>2154</v>
      </c>
      <c r="B493" s="24" t="s">
        <v>60</v>
      </c>
      <c r="C493" s="24" t="s">
        <v>61</v>
      </c>
      <c r="D493" s="5" t="e">
        <f>IF((COUNTIFS(#REF!,$C493,#REF!,"*163*"))&gt;=1,"SIM","")</f>
        <v>#REF!</v>
      </c>
      <c r="E493" s="5" t="e">
        <f>IF((COUNTIFS(#REF!,$C493,#REF!,E$1))&gt;=1,"SIM","")</f>
        <v>#REF!</v>
      </c>
      <c r="F493" s="5" t="e">
        <f>IF((COUNTIFS(#REF!,$C493,#REF!,F$1))&gt;=1,"SIM","")</f>
        <v>#REF!</v>
      </c>
      <c r="G493" s="5" t="e">
        <f>IF((COUNTIFS(#REF!,$C493,#REF!,"*606*"))&gt;=1,"SIM","")</f>
        <v>#REF!</v>
      </c>
      <c r="H493" s="5" t="e">
        <f>IF((COUNTIFS(#REF!,$C493,#REF!,"*605*"))&gt;=1,"SIM","")</f>
        <v>#REF!</v>
      </c>
      <c r="I493" s="5" t="e">
        <f>IF((COUNTIFS(#REF!,$C493,#REF!,I$1))&gt;=1,"SIM","")</f>
        <v>#REF!</v>
      </c>
      <c r="J493" s="5" t="e">
        <f>IF((COUNTIFS(#REF!,$C493,#REF!,J$1))&gt;=1,"SIM","")</f>
        <v>#REF!</v>
      </c>
      <c r="K493" s="5" t="e">
        <f>IF((COUNTIFS(#REF!,$C493,#REF!,K$1))&gt;=1,"SIM","")</f>
        <v>#REF!</v>
      </c>
      <c r="L493" s="5" t="e">
        <f>IF((COUNTIFS(#REF!,$C493,#REF!,L$1))&gt;=1,"SIM","")</f>
        <v>#REF!</v>
      </c>
      <c r="M493" s="5" t="e">
        <f>IF((COUNTIFS(#REF!,$C493,#REF!,M$1))&gt;=1,"SIM","")</f>
        <v>#REF!</v>
      </c>
      <c r="N493" s="5" t="e">
        <f>IF((COUNTIFS(#REF!,$C493,#REF!,N$1))&gt;=1,"SIM","")</f>
        <v>#REF!</v>
      </c>
      <c r="O493" s="5"/>
      <c r="P493" s="5" t="e">
        <f>IF((COUNTIFS(#REF!,$C493,#REF!,P$1))&gt;=1,"SIM","")</f>
        <v>#REF!</v>
      </c>
      <c r="Q493" s="5" t="e">
        <f>IF((COUNTIFS(#REF!,$C493,#REF!,Q$1))&gt;=1,"SIM","")</f>
        <v>#REF!</v>
      </c>
      <c r="R493" s="5" t="e">
        <f>IF((COUNTIFS(#REF!,$C493,#REF!,"*CARTA*"))&gt;=1,"SIM","")</f>
        <v>#REF!</v>
      </c>
      <c r="S493" s="5" t="e">
        <f>IF((COUNTIFS(#REF!,$C493,#REF!,"*CARTA NOTIFICAÇÃO/DEVOL*"))&gt;=1,"SIM","")</f>
        <v>#REF!</v>
      </c>
      <c r="T493" s="5" t="e">
        <f>IF((COUNTIFS(#REF!,$C493,#REF!,"*LIGAÇÃO ATIVA DEV PRIN/LOC*"))&gt;=1,"SIM","")</f>
        <v>#REF!</v>
      </c>
    </row>
    <row r="494" spans="1:20">
      <c r="A494" s="24" t="s">
        <v>2155</v>
      </c>
      <c r="B494" s="24" t="s">
        <v>1971</v>
      </c>
      <c r="C494" s="24" t="s">
        <v>1972</v>
      </c>
      <c r="D494" s="5" t="e">
        <f>IF((COUNTIFS(#REF!,$C494,#REF!,"*163*"))&gt;=1,"SIM","")</f>
        <v>#REF!</v>
      </c>
      <c r="E494" s="5" t="e">
        <f>IF((COUNTIFS(#REF!,$C494,#REF!,E$1))&gt;=1,"SIM","")</f>
        <v>#REF!</v>
      </c>
      <c r="F494" s="5" t="e">
        <f>IF((COUNTIFS(#REF!,$C494,#REF!,F$1))&gt;=1,"SIM","")</f>
        <v>#REF!</v>
      </c>
      <c r="G494" s="5" t="e">
        <f>IF((COUNTIFS(#REF!,$C494,#REF!,"*606*"))&gt;=1,"SIM","")</f>
        <v>#REF!</v>
      </c>
      <c r="H494" s="5" t="e">
        <f>IF((COUNTIFS(#REF!,$C494,#REF!,"*605*"))&gt;=1,"SIM","")</f>
        <v>#REF!</v>
      </c>
      <c r="I494" s="5" t="e">
        <f>IF((COUNTIFS(#REF!,$C494,#REF!,I$1))&gt;=1,"SIM","")</f>
        <v>#REF!</v>
      </c>
      <c r="J494" s="5" t="e">
        <f>IF((COUNTIFS(#REF!,$C494,#REF!,J$1))&gt;=1,"SIM","")</f>
        <v>#REF!</v>
      </c>
      <c r="K494" s="5" t="e">
        <f>IF((COUNTIFS(#REF!,$C494,#REF!,K$1))&gt;=1,"SIM","")</f>
        <v>#REF!</v>
      </c>
      <c r="L494" s="5" t="e">
        <f>IF((COUNTIFS(#REF!,$C494,#REF!,L$1))&gt;=1,"SIM","")</f>
        <v>#REF!</v>
      </c>
      <c r="M494" s="5" t="e">
        <f>IF((COUNTIFS(#REF!,$C494,#REF!,M$1))&gt;=1,"SIM","")</f>
        <v>#REF!</v>
      </c>
      <c r="N494" s="5" t="e">
        <f>IF((COUNTIFS(#REF!,$C494,#REF!,N$1))&gt;=1,"SIM","")</f>
        <v>#REF!</v>
      </c>
      <c r="O494" s="5"/>
      <c r="P494" s="5" t="e">
        <f>IF((COUNTIFS(#REF!,$C494,#REF!,P$1))&gt;=1,"SIM","")</f>
        <v>#REF!</v>
      </c>
      <c r="Q494" s="5" t="e">
        <f>IF((COUNTIFS(#REF!,$C494,#REF!,Q$1))&gt;=1,"SIM","")</f>
        <v>#REF!</v>
      </c>
      <c r="R494" s="5" t="e">
        <f>IF((COUNTIFS(#REF!,$C494,#REF!,"*CARTA*"))&gt;=1,"SIM","")</f>
        <v>#REF!</v>
      </c>
      <c r="S494" s="5" t="e">
        <f>IF((COUNTIFS(#REF!,$C494,#REF!,"*CARTA NOTIFICAÇÃO/DEVOL*"))&gt;=1,"SIM","")</f>
        <v>#REF!</v>
      </c>
      <c r="T494" s="5" t="e">
        <f>IF((COUNTIFS(#REF!,$C494,#REF!,"*LIGAÇÃO ATIVA DEV PRIN/LOC*"))&gt;=1,"SIM","")</f>
        <v>#REF!</v>
      </c>
    </row>
    <row r="495" spans="1:20">
      <c r="A495" s="24" t="s">
        <v>2153</v>
      </c>
      <c r="B495" s="24" t="s">
        <v>296</v>
      </c>
      <c r="C495" s="24" t="s">
        <v>297</v>
      </c>
      <c r="D495" s="5" t="e">
        <f>IF((COUNTIFS(#REF!,$C495,#REF!,"*163*"))&gt;=1,"SIM","")</f>
        <v>#REF!</v>
      </c>
      <c r="E495" s="5" t="e">
        <f>IF((COUNTIFS(#REF!,$C495,#REF!,E$1))&gt;=1,"SIM","")</f>
        <v>#REF!</v>
      </c>
      <c r="F495" s="5" t="e">
        <f>IF((COUNTIFS(#REF!,$C495,#REF!,F$1))&gt;=1,"SIM","")</f>
        <v>#REF!</v>
      </c>
      <c r="G495" s="5" t="e">
        <f>IF((COUNTIFS(#REF!,$C495,#REF!,"*606*"))&gt;=1,"SIM","")</f>
        <v>#REF!</v>
      </c>
      <c r="H495" s="5" t="e">
        <f>IF((COUNTIFS(#REF!,$C495,#REF!,"*605*"))&gt;=1,"SIM","")</f>
        <v>#REF!</v>
      </c>
      <c r="I495" s="5" t="e">
        <f>IF((COUNTIFS(#REF!,$C495,#REF!,I$1))&gt;=1,"SIM","")</f>
        <v>#REF!</v>
      </c>
      <c r="J495" s="5" t="e">
        <f>IF((COUNTIFS(#REF!,$C495,#REF!,J$1))&gt;=1,"SIM","")</f>
        <v>#REF!</v>
      </c>
      <c r="K495" s="5" t="e">
        <f>IF((COUNTIFS(#REF!,$C495,#REF!,K$1))&gt;=1,"SIM","")</f>
        <v>#REF!</v>
      </c>
      <c r="L495" s="5" t="e">
        <f>IF((COUNTIFS(#REF!,$C495,#REF!,L$1))&gt;=1,"SIM","")</f>
        <v>#REF!</v>
      </c>
      <c r="M495" s="5" t="e">
        <f>IF((COUNTIFS(#REF!,$C495,#REF!,M$1))&gt;=1,"SIM","")</f>
        <v>#REF!</v>
      </c>
      <c r="N495" s="5" t="e">
        <f>IF((COUNTIFS(#REF!,$C495,#REF!,N$1))&gt;=1,"SIM","")</f>
        <v>#REF!</v>
      </c>
      <c r="O495" s="5"/>
      <c r="P495" s="5" t="e">
        <f>IF((COUNTIFS(#REF!,$C495,#REF!,P$1))&gt;=1,"SIM","")</f>
        <v>#REF!</v>
      </c>
      <c r="Q495" s="5" t="e">
        <f>IF((COUNTIFS(#REF!,$C495,#REF!,Q$1))&gt;=1,"SIM","")</f>
        <v>#REF!</v>
      </c>
      <c r="R495" s="5" t="e">
        <f>IF((COUNTIFS(#REF!,$C495,#REF!,"*CARTA*"))&gt;=1,"SIM","")</f>
        <v>#REF!</v>
      </c>
      <c r="S495" s="5" t="e">
        <f>IF((COUNTIFS(#REF!,$C495,#REF!,"*CARTA NOTIFICAÇÃO/DEVOL*"))&gt;=1,"SIM","")</f>
        <v>#REF!</v>
      </c>
      <c r="T495" s="5" t="e">
        <f>IF((COUNTIFS(#REF!,$C495,#REF!,"*LIGAÇÃO ATIVA DEV PRIN/LOC*"))&gt;=1,"SIM","")</f>
        <v>#REF!</v>
      </c>
    </row>
    <row r="496" spans="1:20">
      <c r="A496" s="24" t="s">
        <v>2153</v>
      </c>
      <c r="B496" s="24" t="s">
        <v>700</v>
      </c>
      <c r="C496" s="24" t="s">
        <v>701</v>
      </c>
      <c r="D496" s="5" t="e">
        <f>IF((COUNTIFS(#REF!,$C496,#REF!,"*163*"))&gt;=1,"SIM","")</f>
        <v>#REF!</v>
      </c>
      <c r="E496" s="5" t="e">
        <f>IF((COUNTIFS(#REF!,$C496,#REF!,E$1))&gt;=1,"SIM","")</f>
        <v>#REF!</v>
      </c>
      <c r="F496" s="5" t="e">
        <f>IF((COUNTIFS(#REF!,$C496,#REF!,F$1))&gt;=1,"SIM","")</f>
        <v>#REF!</v>
      </c>
      <c r="G496" s="5" t="e">
        <f>IF((COUNTIFS(#REF!,$C496,#REF!,"*606*"))&gt;=1,"SIM","")</f>
        <v>#REF!</v>
      </c>
      <c r="H496" s="5" t="e">
        <f>IF((COUNTIFS(#REF!,$C496,#REF!,"*605*"))&gt;=1,"SIM","")</f>
        <v>#REF!</v>
      </c>
      <c r="I496" s="5" t="e">
        <f>IF((COUNTIFS(#REF!,$C496,#REF!,I$1))&gt;=1,"SIM","")</f>
        <v>#REF!</v>
      </c>
      <c r="J496" s="5" t="e">
        <f>IF((COUNTIFS(#REF!,$C496,#REF!,J$1))&gt;=1,"SIM","")</f>
        <v>#REF!</v>
      </c>
      <c r="K496" s="5" t="e">
        <f>IF((COUNTIFS(#REF!,$C496,#REF!,K$1))&gt;=1,"SIM","")</f>
        <v>#REF!</v>
      </c>
      <c r="L496" s="5" t="e">
        <f>IF((COUNTIFS(#REF!,$C496,#REF!,L$1))&gt;=1,"SIM","")</f>
        <v>#REF!</v>
      </c>
      <c r="M496" s="5" t="e">
        <f>IF((COUNTIFS(#REF!,$C496,#REF!,M$1))&gt;=1,"SIM","")</f>
        <v>#REF!</v>
      </c>
      <c r="N496" s="5" t="e">
        <f>IF((COUNTIFS(#REF!,$C496,#REF!,N$1))&gt;=1,"SIM","")</f>
        <v>#REF!</v>
      </c>
      <c r="O496" s="5"/>
      <c r="P496" s="5" t="e">
        <f>IF((COUNTIFS(#REF!,$C496,#REF!,P$1))&gt;=1,"SIM","")</f>
        <v>#REF!</v>
      </c>
      <c r="Q496" s="5" t="e">
        <f>IF((COUNTIFS(#REF!,$C496,#REF!,Q$1))&gt;=1,"SIM","")</f>
        <v>#REF!</v>
      </c>
      <c r="R496" s="5" t="e">
        <f>IF((COUNTIFS(#REF!,$C496,#REF!,"*CARTA*"))&gt;=1,"SIM","")</f>
        <v>#REF!</v>
      </c>
      <c r="S496" s="5" t="e">
        <f>IF((COUNTIFS(#REF!,$C496,#REF!,"*CARTA NOTIFICAÇÃO/DEVOL*"))&gt;=1,"SIM","")</f>
        <v>#REF!</v>
      </c>
      <c r="T496" s="5" t="e">
        <f>IF((COUNTIFS(#REF!,$C496,#REF!,"*LIGAÇÃO ATIVA DEV PRIN/LOC*"))&gt;=1,"SIM","")</f>
        <v>#REF!</v>
      </c>
    </row>
    <row r="497" spans="1:20">
      <c r="A497" s="24" t="s">
        <v>2159</v>
      </c>
      <c r="B497" s="24" t="s">
        <v>1394</v>
      </c>
      <c r="C497" s="24" t="s">
        <v>1395</v>
      </c>
      <c r="D497" s="5" t="e">
        <f>IF((COUNTIFS(#REF!,$C497,#REF!,"*163*"))&gt;=1,"SIM","")</f>
        <v>#REF!</v>
      </c>
      <c r="E497" s="5" t="e">
        <f>IF((COUNTIFS(#REF!,$C497,#REF!,E$1))&gt;=1,"SIM","")</f>
        <v>#REF!</v>
      </c>
      <c r="F497" s="5" t="e">
        <f>IF((COUNTIFS(#REF!,$C497,#REF!,F$1))&gt;=1,"SIM","")</f>
        <v>#REF!</v>
      </c>
      <c r="G497" s="5" t="e">
        <f>IF((COUNTIFS(#REF!,$C497,#REF!,"*606*"))&gt;=1,"SIM","")</f>
        <v>#REF!</v>
      </c>
      <c r="H497" s="5" t="e">
        <f>IF((COUNTIFS(#REF!,$C497,#REF!,"*605*"))&gt;=1,"SIM","")</f>
        <v>#REF!</v>
      </c>
      <c r="I497" s="5" t="e">
        <f>IF((COUNTIFS(#REF!,$C497,#REF!,I$1))&gt;=1,"SIM","")</f>
        <v>#REF!</v>
      </c>
      <c r="J497" s="5" t="e">
        <f>IF((COUNTIFS(#REF!,$C497,#REF!,J$1))&gt;=1,"SIM","")</f>
        <v>#REF!</v>
      </c>
      <c r="K497" s="5" t="e">
        <f>IF((COUNTIFS(#REF!,$C497,#REF!,K$1))&gt;=1,"SIM","")</f>
        <v>#REF!</v>
      </c>
      <c r="L497" s="5" t="e">
        <f>IF((COUNTIFS(#REF!,$C497,#REF!,L$1))&gt;=1,"SIM","")</f>
        <v>#REF!</v>
      </c>
      <c r="M497" s="5" t="e">
        <f>IF((COUNTIFS(#REF!,$C497,#REF!,M$1))&gt;=1,"SIM","")</f>
        <v>#REF!</v>
      </c>
      <c r="N497" s="5" t="e">
        <f>IF((COUNTIFS(#REF!,$C497,#REF!,N$1))&gt;=1,"SIM","")</f>
        <v>#REF!</v>
      </c>
      <c r="O497" s="5"/>
      <c r="P497" s="5" t="e">
        <f>IF((COUNTIFS(#REF!,$C497,#REF!,P$1))&gt;=1,"SIM","")</f>
        <v>#REF!</v>
      </c>
      <c r="Q497" s="5" t="e">
        <f>IF((COUNTIFS(#REF!,$C497,#REF!,Q$1))&gt;=1,"SIM","")</f>
        <v>#REF!</v>
      </c>
      <c r="R497" s="5" t="e">
        <f>IF((COUNTIFS(#REF!,$C497,#REF!,"*CARTA*"))&gt;=1,"SIM","")</f>
        <v>#REF!</v>
      </c>
      <c r="S497" s="5" t="e">
        <f>IF((COUNTIFS(#REF!,$C497,#REF!,"*CARTA NOTIFICAÇÃO/DEVOL*"))&gt;=1,"SIM","")</f>
        <v>#REF!</v>
      </c>
      <c r="T497" s="5" t="e">
        <f>IF((COUNTIFS(#REF!,$C497,#REF!,"*LIGAÇÃO ATIVA DEV PRIN/LOC*"))&gt;=1,"SIM","")</f>
        <v>#REF!</v>
      </c>
    </row>
    <row r="498" spans="1:20">
      <c r="A498" s="24" t="s">
        <v>2153</v>
      </c>
      <c r="B498" s="24" t="s">
        <v>642</v>
      </c>
      <c r="C498" s="24" t="s">
        <v>643</v>
      </c>
      <c r="D498" s="5" t="e">
        <f>IF((COUNTIFS(#REF!,$C498,#REF!,"*163*"))&gt;=1,"SIM","")</f>
        <v>#REF!</v>
      </c>
      <c r="E498" s="5" t="e">
        <f>IF((COUNTIFS(#REF!,$C498,#REF!,E$1))&gt;=1,"SIM","")</f>
        <v>#REF!</v>
      </c>
      <c r="F498" s="5" t="e">
        <f>IF((COUNTIFS(#REF!,$C498,#REF!,F$1))&gt;=1,"SIM","")</f>
        <v>#REF!</v>
      </c>
      <c r="G498" s="5" t="e">
        <f>IF((COUNTIFS(#REF!,$C498,#REF!,"*606*"))&gt;=1,"SIM","")</f>
        <v>#REF!</v>
      </c>
      <c r="H498" s="5" t="e">
        <f>IF((COUNTIFS(#REF!,$C498,#REF!,"*605*"))&gt;=1,"SIM","")</f>
        <v>#REF!</v>
      </c>
      <c r="I498" s="5" t="e">
        <f>IF((COUNTIFS(#REF!,$C498,#REF!,I$1))&gt;=1,"SIM","")</f>
        <v>#REF!</v>
      </c>
      <c r="J498" s="5" t="e">
        <f>IF((COUNTIFS(#REF!,$C498,#REF!,J$1))&gt;=1,"SIM","")</f>
        <v>#REF!</v>
      </c>
      <c r="K498" s="5" t="e">
        <f>IF((COUNTIFS(#REF!,$C498,#REF!,K$1))&gt;=1,"SIM","")</f>
        <v>#REF!</v>
      </c>
      <c r="L498" s="5" t="e">
        <f>IF((COUNTIFS(#REF!,$C498,#REF!,L$1))&gt;=1,"SIM","")</f>
        <v>#REF!</v>
      </c>
      <c r="M498" s="5" t="e">
        <f>IF((COUNTIFS(#REF!,$C498,#REF!,M$1))&gt;=1,"SIM","")</f>
        <v>#REF!</v>
      </c>
      <c r="N498" s="5" t="e">
        <f>IF((COUNTIFS(#REF!,$C498,#REF!,N$1))&gt;=1,"SIM","")</f>
        <v>#REF!</v>
      </c>
      <c r="O498" s="5"/>
      <c r="P498" s="5" t="e">
        <f>IF((COUNTIFS(#REF!,$C498,#REF!,P$1))&gt;=1,"SIM","")</f>
        <v>#REF!</v>
      </c>
      <c r="Q498" s="5" t="e">
        <f>IF((COUNTIFS(#REF!,$C498,#REF!,Q$1))&gt;=1,"SIM","")</f>
        <v>#REF!</v>
      </c>
      <c r="R498" s="5" t="e">
        <f>IF((COUNTIFS(#REF!,$C498,#REF!,"*CARTA*"))&gt;=1,"SIM","")</f>
        <v>#REF!</v>
      </c>
      <c r="S498" s="5" t="e">
        <f>IF((COUNTIFS(#REF!,$C498,#REF!,"*CARTA NOTIFICAÇÃO/DEVOL*"))&gt;=1,"SIM","")</f>
        <v>#REF!</v>
      </c>
      <c r="T498" s="5" t="e">
        <f>IF((COUNTIFS(#REF!,$C498,#REF!,"*LIGAÇÃO ATIVA DEV PRIN/LOC*"))&gt;=1,"SIM","")</f>
        <v>#REF!</v>
      </c>
    </row>
    <row r="499" spans="1:20">
      <c r="A499" s="24" t="s">
        <v>2153</v>
      </c>
      <c r="B499" s="24" t="s">
        <v>912</v>
      </c>
      <c r="C499" s="24" t="s">
        <v>913</v>
      </c>
      <c r="D499" s="5" t="e">
        <f>IF((COUNTIFS(#REF!,$C499,#REF!,"*163*"))&gt;=1,"SIM","")</f>
        <v>#REF!</v>
      </c>
      <c r="E499" s="5" t="e">
        <f>IF((COUNTIFS(#REF!,$C499,#REF!,E$1))&gt;=1,"SIM","")</f>
        <v>#REF!</v>
      </c>
      <c r="F499" s="5" t="e">
        <f>IF((COUNTIFS(#REF!,$C499,#REF!,F$1))&gt;=1,"SIM","")</f>
        <v>#REF!</v>
      </c>
      <c r="G499" s="5" t="e">
        <f>IF((COUNTIFS(#REF!,$C499,#REF!,"*606*"))&gt;=1,"SIM","")</f>
        <v>#REF!</v>
      </c>
      <c r="H499" s="5" t="e">
        <f>IF((COUNTIFS(#REF!,$C499,#REF!,"*605*"))&gt;=1,"SIM","")</f>
        <v>#REF!</v>
      </c>
      <c r="I499" s="5" t="e">
        <f>IF((COUNTIFS(#REF!,$C499,#REF!,I$1))&gt;=1,"SIM","")</f>
        <v>#REF!</v>
      </c>
      <c r="J499" s="5" t="e">
        <f>IF((COUNTIFS(#REF!,$C499,#REF!,J$1))&gt;=1,"SIM","")</f>
        <v>#REF!</v>
      </c>
      <c r="K499" s="5" t="e">
        <f>IF((COUNTIFS(#REF!,$C499,#REF!,K$1))&gt;=1,"SIM","")</f>
        <v>#REF!</v>
      </c>
      <c r="L499" s="5" t="e">
        <f>IF((COUNTIFS(#REF!,$C499,#REF!,L$1))&gt;=1,"SIM","")</f>
        <v>#REF!</v>
      </c>
      <c r="M499" s="5" t="e">
        <f>IF((COUNTIFS(#REF!,$C499,#REF!,M$1))&gt;=1,"SIM","")</f>
        <v>#REF!</v>
      </c>
      <c r="N499" s="5" t="e">
        <f>IF((COUNTIFS(#REF!,$C499,#REF!,N$1))&gt;=1,"SIM","")</f>
        <v>#REF!</v>
      </c>
      <c r="O499" s="5"/>
      <c r="P499" s="5" t="e">
        <f>IF((COUNTIFS(#REF!,$C499,#REF!,P$1))&gt;=1,"SIM","")</f>
        <v>#REF!</v>
      </c>
      <c r="Q499" s="5" t="e">
        <f>IF((COUNTIFS(#REF!,$C499,#REF!,Q$1))&gt;=1,"SIM","")</f>
        <v>#REF!</v>
      </c>
      <c r="R499" s="5" t="e">
        <f>IF((COUNTIFS(#REF!,$C499,#REF!,"*CARTA*"))&gt;=1,"SIM","")</f>
        <v>#REF!</v>
      </c>
      <c r="S499" s="5" t="e">
        <f>IF((COUNTIFS(#REF!,$C499,#REF!,"*CARTA NOTIFICAÇÃO/DEVOL*"))&gt;=1,"SIM","")</f>
        <v>#REF!</v>
      </c>
      <c r="T499" s="5" t="e">
        <f>IF((COUNTIFS(#REF!,$C499,#REF!,"*LIGAÇÃO ATIVA DEV PRIN/LOC*"))&gt;=1,"SIM","")</f>
        <v>#REF!</v>
      </c>
    </row>
    <row r="500" spans="1:20">
      <c r="A500" s="24" t="s">
        <v>2158</v>
      </c>
      <c r="B500" s="24" t="s">
        <v>1831</v>
      </c>
      <c r="C500" s="24" t="s">
        <v>1832</v>
      </c>
      <c r="D500" s="5" t="e">
        <f>IF((COUNTIFS(#REF!,$C500,#REF!,"*163*"))&gt;=1,"SIM","")</f>
        <v>#REF!</v>
      </c>
      <c r="E500" s="5" t="e">
        <f>IF((COUNTIFS(#REF!,$C500,#REF!,E$1))&gt;=1,"SIM","")</f>
        <v>#REF!</v>
      </c>
      <c r="F500" s="5" t="e">
        <f>IF((COUNTIFS(#REF!,$C500,#REF!,F$1))&gt;=1,"SIM","")</f>
        <v>#REF!</v>
      </c>
      <c r="G500" s="5" t="e">
        <f>IF((COUNTIFS(#REF!,$C500,#REF!,"*606*"))&gt;=1,"SIM","")</f>
        <v>#REF!</v>
      </c>
      <c r="H500" s="5" t="e">
        <f>IF((COUNTIFS(#REF!,$C500,#REF!,"*605*"))&gt;=1,"SIM","")</f>
        <v>#REF!</v>
      </c>
      <c r="I500" s="5" t="e">
        <f>IF((COUNTIFS(#REF!,$C500,#REF!,I$1))&gt;=1,"SIM","")</f>
        <v>#REF!</v>
      </c>
      <c r="J500" s="5" t="e">
        <f>IF((COUNTIFS(#REF!,$C500,#REF!,J$1))&gt;=1,"SIM","")</f>
        <v>#REF!</v>
      </c>
      <c r="K500" s="5" t="e">
        <f>IF((COUNTIFS(#REF!,$C500,#REF!,K$1))&gt;=1,"SIM","")</f>
        <v>#REF!</v>
      </c>
      <c r="L500" s="5" t="e">
        <f>IF((COUNTIFS(#REF!,$C500,#REF!,L$1))&gt;=1,"SIM","")</f>
        <v>#REF!</v>
      </c>
      <c r="M500" s="5" t="e">
        <f>IF((COUNTIFS(#REF!,$C500,#REF!,M$1))&gt;=1,"SIM","")</f>
        <v>#REF!</v>
      </c>
      <c r="N500" s="5" t="e">
        <f>IF((COUNTIFS(#REF!,$C500,#REF!,N$1))&gt;=1,"SIM","")</f>
        <v>#REF!</v>
      </c>
      <c r="O500" s="5"/>
      <c r="P500" s="5" t="e">
        <f>IF((COUNTIFS(#REF!,$C500,#REF!,P$1))&gt;=1,"SIM","")</f>
        <v>#REF!</v>
      </c>
      <c r="Q500" s="5" t="e">
        <f>IF((COUNTIFS(#REF!,$C500,#REF!,Q$1))&gt;=1,"SIM","")</f>
        <v>#REF!</v>
      </c>
      <c r="R500" s="5" t="e">
        <f>IF((COUNTIFS(#REF!,$C500,#REF!,"*CARTA*"))&gt;=1,"SIM","")</f>
        <v>#REF!</v>
      </c>
      <c r="S500" s="5" t="e">
        <f>IF((COUNTIFS(#REF!,$C500,#REF!,"*CARTA NOTIFICAÇÃO/DEVOL*"))&gt;=1,"SIM","")</f>
        <v>#REF!</v>
      </c>
      <c r="T500" s="5" t="e">
        <f>IF((COUNTIFS(#REF!,$C500,#REF!,"*LIGAÇÃO ATIVA DEV PRIN/LOC*"))&gt;=1,"SIM","")</f>
        <v>#REF!</v>
      </c>
    </row>
    <row r="501" spans="1:20">
      <c r="A501" s="24" t="s">
        <v>2153</v>
      </c>
      <c r="B501" s="24" t="s">
        <v>970</v>
      </c>
      <c r="C501" s="24" t="s">
        <v>971</v>
      </c>
      <c r="D501" s="5" t="e">
        <f>IF((COUNTIFS(#REF!,$C501,#REF!,"*163*"))&gt;=1,"SIM","")</f>
        <v>#REF!</v>
      </c>
      <c r="E501" s="5" t="e">
        <f>IF((COUNTIFS(#REF!,$C501,#REF!,E$1))&gt;=1,"SIM","")</f>
        <v>#REF!</v>
      </c>
      <c r="F501" s="5" t="e">
        <f>IF((COUNTIFS(#REF!,$C501,#REF!,F$1))&gt;=1,"SIM","")</f>
        <v>#REF!</v>
      </c>
      <c r="G501" s="5" t="e">
        <f>IF((COUNTIFS(#REF!,$C501,#REF!,"*606*"))&gt;=1,"SIM","")</f>
        <v>#REF!</v>
      </c>
      <c r="H501" s="5" t="e">
        <f>IF((COUNTIFS(#REF!,$C501,#REF!,"*605*"))&gt;=1,"SIM","")</f>
        <v>#REF!</v>
      </c>
      <c r="I501" s="5" t="e">
        <f>IF((COUNTIFS(#REF!,$C501,#REF!,I$1))&gt;=1,"SIM","")</f>
        <v>#REF!</v>
      </c>
      <c r="J501" s="5" t="e">
        <f>IF((COUNTIFS(#REF!,$C501,#REF!,J$1))&gt;=1,"SIM","")</f>
        <v>#REF!</v>
      </c>
      <c r="K501" s="5" t="e">
        <f>IF((COUNTIFS(#REF!,$C501,#REF!,K$1))&gt;=1,"SIM","")</f>
        <v>#REF!</v>
      </c>
      <c r="L501" s="5" t="e">
        <f>IF((COUNTIFS(#REF!,$C501,#REF!,L$1))&gt;=1,"SIM","")</f>
        <v>#REF!</v>
      </c>
      <c r="M501" s="5" t="e">
        <f>IF((COUNTIFS(#REF!,$C501,#REF!,M$1))&gt;=1,"SIM","")</f>
        <v>#REF!</v>
      </c>
      <c r="N501" s="5" t="e">
        <f>IF((COUNTIFS(#REF!,$C501,#REF!,N$1))&gt;=1,"SIM","")</f>
        <v>#REF!</v>
      </c>
      <c r="O501" s="5"/>
      <c r="P501" s="5" t="e">
        <f>IF((COUNTIFS(#REF!,$C501,#REF!,P$1))&gt;=1,"SIM","")</f>
        <v>#REF!</v>
      </c>
      <c r="Q501" s="5" t="e">
        <f>IF((COUNTIFS(#REF!,$C501,#REF!,Q$1))&gt;=1,"SIM","")</f>
        <v>#REF!</v>
      </c>
      <c r="R501" s="5" t="e">
        <f>IF((COUNTIFS(#REF!,$C501,#REF!,"*CARTA*"))&gt;=1,"SIM","")</f>
        <v>#REF!</v>
      </c>
      <c r="S501" s="5" t="e">
        <f>IF((COUNTIFS(#REF!,$C501,#REF!,"*CARTA NOTIFICAÇÃO/DEVOL*"))&gt;=1,"SIM","")</f>
        <v>#REF!</v>
      </c>
      <c r="T501" s="5" t="e">
        <f>IF((COUNTIFS(#REF!,$C501,#REF!,"*LIGAÇÃO ATIVA DEV PRIN/LOC*"))&gt;=1,"SIM","")</f>
        <v>#REF!</v>
      </c>
    </row>
    <row r="502" spans="1:20">
      <c r="A502" s="24" t="s">
        <v>2153</v>
      </c>
      <c r="B502" s="24" t="s">
        <v>1136</v>
      </c>
      <c r="C502" s="24" t="s">
        <v>1137</v>
      </c>
      <c r="D502" s="5" t="e">
        <f>IF((COUNTIFS(#REF!,$C502,#REF!,"*163*"))&gt;=1,"SIM","")</f>
        <v>#REF!</v>
      </c>
      <c r="E502" s="5" t="e">
        <f>IF((COUNTIFS(#REF!,$C502,#REF!,E$1))&gt;=1,"SIM","")</f>
        <v>#REF!</v>
      </c>
      <c r="F502" s="5" t="e">
        <f>IF((COUNTIFS(#REF!,$C502,#REF!,F$1))&gt;=1,"SIM","")</f>
        <v>#REF!</v>
      </c>
      <c r="G502" s="5" t="e">
        <f>IF((COUNTIFS(#REF!,$C502,#REF!,"*606*"))&gt;=1,"SIM","")</f>
        <v>#REF!</v>
      </c>
      <c r="H502" s="5" t="e">
        <f>IF((COUNTIFS(#REF!,$C502,#REF!,"*605*"))&gt;=1,"SIM","")</f>
        <v>#REF!</v>
      </c>
      <c r="I502" s="5" t="e">
        <f>IF((COUNTIFS(#REF!,$C502,#REF!,I$1))&gt;=1,"SIM","")</f>
        <v>#REF!</v>
      </c>
      <c r="J502" s="5" t="e">
        <f>IF((COUNTIFS(#REF!,$C502,#REF!,J$1))&gt;=1,"SIM","")</f>
        <v>#REF!</v>
      </c>
      <c r="K502" s="5" t="e">
        <f>IF((COUNTIFS(#REF!,$C502,#REF!,K$1))&gt;=1,"SIM","")</f>
        <v>#REF!</v>
      </c>
      <c r="L502" s="5" t="e">
        <f>IF((COUNTIFS(#REF!,$C502,#REF!,L$1))&gt;=1,"SIM","")</f>
        <v>#REF!</v>
      </c>
      <c r="M502" s="5" t="e">
        <f>IF((COUNTIFS(#REF!,$C502,#REF!,M$1))&gt;=1,"SIM","")</f>
        <v>#REF!</v>
      </c>
      <c r="N502" s="5" t="e">
        <f>IF((COUNTIFS(#REF!,$C502,#REF!,N$1))&gt;=1,"SIM","")</f>
        <v>#REF!</v>
      </c>
      <c r="O502" s="5"/>
      <c r="P502" s="5" t="e">
        <f>IF((COUNTIFS(#REF!,$C502,#REF!,P$1))&gt;=1,"SIM","")</f>
        <v>#REF!</v>
      </c>
      <c r="Q502" s="5" t="e">
        <f>IF((COUNTIFS(#REF!,$C502,#REF!,Q$1))&gt;=1,"SIM","")</f>
        <v>#REF!</v>
      </c>
      <c r="R502" s="5" t="e">
        <f>IF((COUNTIFS(#REF!,$C502,#REF!,"*CARTA*"))&gt;=1,"SIM","")</f>
        <v>#REF!</v>
      </c>
      <c r="S502" s="5" t="e">
        <f>IF((COUNTIFS(#REF!,$C502,#REF!,"*CARTA NOTIFICAÇÃO/DEVOL*"))&gt;=1,"SIM","")</f>
        <v>#REF!</v>
      </c>
      <c r="T502" s="5" t="e">
        <f>IF((COUNTIFS(#REF!,$C502,#REF!,"*LIGAÇÃO ATIVA DEV PRIN/LOC*"))&gt;=1,"SIM","")</f>
        <v>#REF!</v>
      </c>
    </row>
    <row r="503" spans="1:20">
      <c r="A503" s="24" t="s">
        <v>2159</v>
      </c>
      <c r="B503" s="24" t="s">
        <v>988</v>
      </c>
      <c r="C503" s="24" t="s">
        <v>989</v>
      </c>
      <c r="D503" s="5" t="e">
        <f>IF((COUNTIFS(#REF!,$C503,#REF!,"*163*"))&gt;=1,"SIM","")</f>
        <v>#REF!</v>
      </c>
      <c r="E503" s="5" t="e">
        <f>IF((COUNTIFS(#REF!,$C503,#REF!,E$1))&gt;=1,"SIM","")</f>
        <v>#REF!</v>
      </c>
      <c r="F503" s="5" t="e">
        <f>IF((COUNTIFS(#REF!,$C503,#REF!,F$1))&gt;=1,"SIM","")</f>
        <v>#REF!</v>
      </c>
      <c r="G503" s="5" t="e">
        <f>IF((COUNTIFS(#REF!,$C503,#REF!,"*606*"))&gt;=1,"SIM","")</f>
        <v>#REF!</v>
      </c>
      <c r="H503" s="5" t="e">
        <f>IF((COUNTIFS(#REF!,$C503,#REF!,"*605*"))&gt;=1,"SIM","")</f>
        <v>#REF!</v>
      </c>
      <c r="I503" s="5" t="e">
        <f>IF((COUNTIFS(#REF!,$C503,#REF!,I$1))&gt;=1,"SIM","")</f>
        <v>#REF!</v>
      </c>
      <c r="J503" s="5" t="e">
        <f>IF((COUNTIFS(#REF!,$C503,#REF!,J$1))&gt;=1,"SIM","")</f>
        <v>#REF!</v>
      </c>
      <c r="K503" s="5" t="e">
        <f>IF((COUNTIFS(#REF!,$C503,#REF!,K$1))&gt;=1,"SIM","")</f>
        <v>#REF!</v>
      </c>
      <c r="L503" s="5" t="e">
        <f>IF((COUNTIFS(#REF!,$C503,#REF!,L$1))&gt;=1,"SIM","")</f>
        <v>#REF!</v>
      </c>
      <c r="M503" s="5" t="e">
        <f>IF((COUNTIFS(#REF!,$C503,#REF!,M$1))&gt;=1,"SIM","")</f>
        <v>#REF!</v>
      </c>
      <c r="N503" s="5" t="e">
        <f>IF((COUNTIFS(#REF!,$C503,#REF!,N$1))&gt;=1,"SIM","")</f>
        <v>#REF!</v>
      </c>
      <c r="O503" s="5"/>
      <c r="P503" s="5" t="e">
        <f>IF((COUNTIFS(#REF!,$C503,#REF!,P$1))&gt;=1,"SIM","")</f>
        <v>#REF!</v>
      </c>
      <c r="Q503" s="5" t="e">
        <f>IF((COUNTIFS(#REF!,$C503,#REF!,Q$1))&gt;=1,"SIM","")</f>
        <v>#REF!</v>
      </c>
      <c r="R503" s="5" t="e">
        <f>IF((COUNTIFS(#REF!,$C503,#REF!,"*CARTA*"))&gt;=1,"SIM","")</f>
        <v>#REF!</v>
      </c>
      <c r="S503" s="5" t="e">
        <f>IF((COUNTIFS(#REF!,$C503,#REF!,"*CARTA NOTIFICAÇÃO/DEVOL*"))&gt;=1,"SIM","")</f>
        <v>#REF!</v>
      </c>
      <c r="T503" s="5" t="e">
        <f>IF((COUNTIFS(#REF!,$C503,#REF!,"*LIGAÇÃO ATIVA DEV PRIN/LOC*"))&gt;=1,"SIM","")</f>
        <v>#REF!</v>
      </c>
    </row>
    <row r="504" spans="1:20">
      <c r="A504" s="24" t="s">
        <v>2159</v>
      </c>
      <c r="B504" s="24" t="s">
        <v>894</v>
      </c>
      <c r="C504" s="24" t="s">
        <v>895</v>
      </c>
      <c r="D504" s="5" t="e">
        <f>IF((COUNTIFS(#REF!,$C504,#REF!,"*163*"))&gt;=1,"SIM","")</f>
        <v>#REF!</v>
      </c>
      <c r="E504" s="5" t="e">
        <f>IF((COUNTIFS(#REF!,$C504,#REF!,E$1))&gt;=1,"SIM","")</f>
        <v>#REF!</v>
      </c>
      <c r="F504" s="5" t="e">
        <f>IF((COUNTIFS(#REF!,$C504,#REF!,F$1))&gt;=1,"SIM","")</f>
        <v>#REF!</v>
      </c>
      <c r="G504" s="5" t="e">
        <f>IF((COUNTIFS(#REF!,$C504,#REF!,"*606*"))&gt;=1,"SIM","")</f>
        <v>#REF!</v>
      </c>
      <c r="H504" s="5" t="e">
        <f>IF((COUNTIFS(#REF!,$C504,#REF!,"*605*"))&gt;=1,"SIM","")</f>
        <v>#REF!</v>
      </c>
      <c r="I504" s="5" t="e">
        <f>IF((COUNTIFS(#REF!,$C504,#REF!,I$1))&gt;=1,"SIM","")</f>
        <v>#REF!</v>
      </c>
      <c r="J504" s="5" t="e">
        <f>IF((COUNTIFS(#REF!,$C504,#REF!,J$1))&gt;=1,"SIM","")</f>
        <v>#REF!</v>
      </c>
      <c r="K504" s="5" t="e">
        <f>IF((COUNTIFS(#REF!,$C504,#REF!,K$1))&gt;=1,"SIM","")</f>
        <v>#REF!</v>
      </c>
      <c r="L504" s="5" t="e">
        <f>IF((COUNTIFS(#REF!,$C504,#REF!,L$1))&gt;=1,"SIM","")</f>
        <v>#REF!</v>
      </c>
      <c r="M504" s="5" t="e">
        <f>IF((COUNTIFS(#REF!,$C504,#REF!,M$1))&gt;=1,"SIM","")</f>
        <v>#REF!</v>
      </c>
      <c r="N504" s="5" t="e">
        <f>IF((COUNTIFS(#REF!,$C504,#REF!,N$1))&gt;=1,"SIM","")</f>
        <v>#REF!</v>
      </c>
      <c r="O504" s="5"/>
      <c r="P504" s="5" t="e">
        <f>IF((COUNTIFS(#REF!,$C504,#REF!,P$1))&gt;=1,"SIM","")</f>
        <v>#REF!</v>
      </c>
      <c r="Q504" s="5" t="e">
        <f>IF((COUNTIFS(#REF!,$C504,#REF!,Q$1))&gt;=1,"SIM","")</f>
        <v>#REF!</v>
      </c>
      <c r="R504" s="5" t="e">
        <f>IF((COUNTIFS(#REF!,$C504,#REF!,"*CARTA*"))&gt;=1,"SIM","")</f>
        <v>#REF!</v>
      </c>
      <c r="S504" s="5" t="e">
        <f>IF((COUNTIFS(#REF!,$C504,#REF!,"*CARTA NOTIFICAÇÃO/DEVOL*"))&gt;=1,"SIM","")</f>
        <v>#REF!</v>
      </c>
      <c r="T504" s="5" t="e">
        <f>IF((COUNTIFS(#REF!,$C504,#REF!,"*LIGAÇÃO ATIVA DEV PRIN/LOC*"))&gt;=1,"SIM","")</f>
        <v>#REF!</v>
      </c>
    </row>
    <row r="505" spans="1:20">
      <c r="A505" s="24" t="s">
        <v>2159</v>
      </c>
      <c r="B505" s="24" t="s">
        <v>1503</v>
      </c>
      <c r="C505" s="24" t="s">
        <v>1504</v>
      </c>
      <c r="D505" s="5" t="e">
        <f>IF((COUNTIFS(#REF!,$C505,#REF!,"*163*"))&gt;=1,"SIM","")</f>
        <v>#REF!</v>
      </c>
      <c r="E505" s="5" t="e">
        <f>IF((COUNTIFS(#REF!,$C505,#REF!,E$1))&gt;=1,"SIM","")</f>
        <v>#REF!</v>
      </c>
      <c r="F505" s="5" t="e">
        <f>IF((COUNTIFS(#REF!,$C505,#REF!,F$1))&gt;=1,"SIM","")</f>
        <v>#REF!</v>
      </c>
      <c r="G505" s="5" t="e">
        <f>IF((COUNTIFS(#REF!,$C505,#REF!,"*606*"))&gt;=1,"SIM","")</f>
        <v>#REF!</v>
      </c>
      <c r="H505" s="5" t="e">
        <f>IF((COUNTIFS(#REF!,$C505,#REF!,"*605*"))&gt;=1,"SIM","")</f>
        <v>#REF!</v>
      </c>
      <c r="I505" s="5" t="e">
        <f>IF((COUNTIFS(#REF!,$C505,#REF!,I$1))&gt;=1,"SIM","")</f>
        <v>#REF!</v>
      </c>
      <c r="J505" s="5" t="e">
        <f>IF((COUNTIFS(#REF!,$C505,#REF!,J$1))&gt;=1,"SIM","")</f>
        <v>#REF!</v>
      </c>
      <c r="K505" s="5" t="e">
        <f>IF((COUNTIFS(#REF!,$C505,#REF!,K$1))&gt;=1,"SIM","")</f>
        <v>#REF!</v>
      </c>
      <c r="L505" s="5" t="e">
        <f>IF((COUNTIFS(#REF!,$C505,#REF!,L$1))&gt;=1,"SIM","")</f>
        <v>#REF!</v>
      </c>
      <c r="M505" s="5" t="e">
        <f>IF((COUNTIFS(#REF!,$C505,#REF!,M$1))&gt;=1,"SIM","")</f>
        <v>#REF!</v>
      </c>
      <c r="N505" s="5" t="e">
        <f>IF((COUNTIFS(#REF!,$C505,#REF!,N$1))&gt;=1,"SIM","")</f>
        <v>#REF!</v>
      </c>
      <c r="O505" s="5"/>
      <c r="P505" s="5" t="e">
        <f>IF((COUNTIFS(#REF!,$C505,#REF!,P$1))&gt;=1,"SIM","")</f>
        <v>#REF!</v>
      </c>
      <c r="Q505" s="5" t="e">
        <f>IF((COUNTIFS(#REF!,$C505,#REF!,Q$1))&gt;=1,"SIM","")</f>
        <v>#REF!</v>
      </c>
      <c r="R505" s="5" t="e">
        <f>IF((COUNTIFS(#REF!,$C505,#REF!,"*CARTA*"))&gt;=1,"SIM","")</f>
        <v>#REF!</v>
      </c>
      <c r="S505" s="5" t="e">
        <f>IF((COUNTIFS(#REF!,$C505,#REF!,"*CARTA NOTIFICAÇÃO/DEVOL*"))&gt;=1,"SIM","")</f>
        <v>#REF!</v>
      </c>
      <c r="T505" s="5" t="e">
        <f>IF((COUNTIFS(#REF!,$C505,#REF!,"*LIGAÇÃO ATIVA DEV PRIN/LOC*"))&gt;=1,"SIM","")</f>
        <v>#REF!</v>
      </c>
    </row>
    <row r="506" spans="1:20">
      <c r="A506" s="24" t="s">
        <v>2153</v>
      </c>
      <c r="B506" s="24" t="s">
        <v>151</v>
      </c>
      <c r="C506" s="24" t="s">
        <v>152</v>
      </c>
      <c r="D506" s="5" t="e">
        <f>IF((COUNTIFS(#REF!,$C506,#REF!,"*163*"))&gt;=1,"SIM","")</f>
        <v>#REF!</v>
      </c>
      <c r="E506" s="5" t="e">
        <f>IF((COUNTIFS(#REF!,$C506,#REF!,E$1))&gt;=1,"SIM","")</f>
        <v>#REF!</v>
      </c>
      <c r="F506" s="5" t="e">
        <f>IF((COUNTIFS(#REF!,$C506,#REF!,F$1))&gt;=1,"SIM","")</f>
        <v>#REF!</v>
      </c>
      <c r="G506" s="5" t="e">
        <f>IF((COUNTIFS(#REF!,$C506,#REF!,"*606*"))&gt;=1,"SIM","")</f>
        <v>#REF!</v>
      </c>
      <c r="H506" s="5" t="e">
        <f>IF((COUNTIFS(#REF!,$C506,#REF!,"*605*"))&gt;=1,"SIM","")</f>
        <v>#REF!</v>
      </c>
      <c r="I506" s="5" t="e">
        <f>IF((COUNTIFS(#REF!,$C506,#REF!,I$1))&gt;=1,"SIM","")</f>
        <v>#REF!</v>
      </c>
      <c r="J506" s="5" t="e">
        <f>IF((COUNTIFS(#REF!,$C506,#REF!,J$1))&gt;=1,"SIM","")</f>
        <v>#REF!</v>
      </c>
      <c r="K506" s="5" t="e">
        <f>IF((COUNTIFS(#REF!,$C506,#REF!,K$1))&gt;=1,"SIM","")</f>
        <v>#REF!</v>
      </c>
      <c r="L506" s="5" t="e">
        <f>IF((COUNTIFS(#REF!,$C506,#REF!,L$1))&gt;=1,"SIM","")</f>
        <v>#REF!</v>
      </c>
      <c r="M506" s="5" t="e">
        <f>IF((COUNTIFS(#REF!,$C506,#REF!,M$1))&gt;=1,"SIM","")</f>
        <v>#REF!</v>
      </c>
      <c r="N506" s="5" t="e">
        <f>IF((COUNTIFS(#REF!,$C506,#REF!,N$1))&gt;=1,"SIM","")</f>
        <v>#REF!</v>
      </c>
      <c r="O506" s="5"/>
      <c r="P506" s="5" t="e">
        <f>IF((COUNTIFS(#REF!,$C506,#REF!,P$1))&gt;=1,"SIM","")</f>
        <v>#REF!</v>
      </c>
      <c r="Q506" s="5" t="e">
        <f>IF((COUNTIFS(#REF!,$C506,#REF!,Q$1))&gt;=1,"SIM","")</f>
        <v>#REF!</v>
      </c>
      <c r="R506" s="5" t="e">
        <f>IF((COUNTIFS(#REF!,$C506,#REF!,"*CARTA*"))&gt;=1,"SIM","")</f>
        <v>#REF!</v>
      </c>
      <c r="S506" s="5" t="e">
        <f>IF((COUNTIFS(#REF!,$C506,#REF!,"*CARTA NOTIFICAÇÃO/DEVOL*"))&gt;=1,"SIM","")</f>
        <v>#REF!</v>
      </c>
      <c r="T506" s="5" t="e">
        <f>IF((COUNTIFS(#REF!,$C506,#REF!,"*LIGAÇÃO ATIVA DEV PRIN/LOC*"))&gt;=1,"SIM","")</f>
        <v>#REF!</v>
      </c>
    </row>
    <row r="507" spans="1:20">
      <c r="A507" s="24" t="s">
        <v>2159</v>
      </c>
      <c r="B507" s="24" t="s">
        <v>2105</v>
      </c>
      <c r="C507" s="24" t="s">
        <v>2106</v>
      </c>
      <c r="D507" s="5" t="e">
        <f>IF((COUNTIFS(#REF!,$C507,#REF!,"*163*"))&gt;=1,"SIM","")</f>
        <v>#REF!</v>
      </c>
      <c r="E507" s="5" t="e">
        <f>IF((COUNTIFS(#REF!,$C507,#REF!,E$1))&gt;=1,"SIM","")</f>
        <v>#REF!</v>
      </c>
      <c r="F507" s="5" t="e">
        <f>IF((COUNTIFS(#REF!,$C507,#REF!,F$1))&gt;=1,"SIM","")</f>
        <v>#REF!</v>
      </c>
      <c r="G507" s="5" t="e">
        <f>IF((COUNTIFS(#REF!,$C507,#REF!,"*606*"))&gt;=1,"SIM","")</f>
        <v>#REF!</v>
      </c>
      <c r="H507" s="5" t="e">
        <f>IF((COUNTIFS(#REF!,$C507,#REF!,"*605*"))&gt;=1,"SIM","")</f>
        <v>#REF!</v>
      </c>
      <c r="I507" s="5" t="e">
        <f>IF((COUNTIFS(#REF!,$C507,#REF!,I$1))&gt;=1,"SIM","")</f>
        <v>#REF!</v>
      </c>
      <c r="J507" s="5" t="e">
        <f>IF((COUNTIFS(#REF!,$C507,#REF!,J$1))&gt;=1,"SIM","")</f>
        <v>#REF!</v>
      </c>
      <c r="K507" s="5" t="e">
        <f>IF((COUNTIFS(#REF!,$C507,#REF!,K$1))&gt;=1,"SIM","")</f>
        <v>#REF!</v>
      </c>
      <c r="L507" s="5" t="e">
        <f>IF((COUNTIFS(#REF!,$C507,#REF!,L$1))&gt;=1,"SIM","")</f>
        <v>#REF!</v>
      </c>
      <c r="M507" s="5" t="e">
        <f>IF((COUNTIFS(#REF!,$C507,#REF!,M$1))&gt;=1,"SIM","")</f>
        <v>#REF!</v>
      </c>
      <c r="N507" s="5" t="e">
        <f>IF((COUNTIFS(#REF!,$C507,#REF!,N$1))&gt;=1,"SIM","")</f>
        <v>#REF!</v>
      </c>
      <c r="O507" s="5"/>
      <c r="P507" s="5" t="e">
        <f>IF((COUNTIFS(#REF!,$C507,#REF!,P$1))&gt;=1,"SIM","")</f>
        <v>#REF!</v>
      </c>
      <c r="Q507" s="5" t="e">
        <f>IF((COUNTIFS(#REF!,$C507,#REF!,Q$1))&gt;=1,"SIM","")</f>
        <v>#REF!</v>
      </c>
      <c r="R507" s="5" t="e">
        <f>IF((COUNTIFS(#REF!,$C507,#REF!,"*CARTA*"))&gt;=1,"SIM","")</f>
        <v>#REF!</v>
      </c>
      <c r="S507" s="5" t="e">
        <f>IF((COUNTIFS(#REF!,$C507,#REF!,"*CARTA NOTIFICAÇÃO/DEVOL*"))&gt;=1,"SIM","")</f>
        <v>#REF!</v>
      </c>
      <c r="T507" s="5" t="e">
        <f>IF((COUNTIFS(#REF!,$C507,#REF!,"*LIGAÇÃO ATIVA DEV PRIN/LOC*"))&gt;=1,"SIM","")</f>
        <v>#REF!</v>
      </c>
    </row>
    <row r="508" spans="1:20">
      <c r="A508" s="24" t="s">
        <v>2159</v>
      </c>
      <c r="B508" s="24" t="s">
        <v>861</v>
      </c>
      <c r="C508" s="24" t="s">
        <v>862</v>
      </c>
      <c r="D508" s="5" t="e">
        <f>IF((COUNTIFS(#REF!,$C508,#REF!,"*163*"))&gt;=1,"SIM","")</f>
        <v>#REF!</v>
      </c>
      <c r="E508" s="5" t="e">
        <f>IF((COUNTIFS(#REF!,$C508,#REF!,E$1))&gt;=1,"SIM","")</f>
        <v>#REF!</v>
      </c>
      <c r="F508" s="5" t="e">
        <f>IF((COUNTIFS(#REF!,$C508,#REF!,F$1))&gt;=1,"SIM","")</f>
        <v>#REF!</v>
      </c>
      <c r="G508" s="5" t="e">
        <f>IF((COUNTIFS(#REF!,$C508,#REF!,"*606*"))&gt;=1,"SIM","")</f>
        <v>#REF!</v>
      </c>
      <c r="H508" s="5" t="e">
        <f>IF((COUNTIFS(#REF!,$C508,#REF!,"*605*"))&gt;=1,"SIM","")</f>
        <v>#REF!</v>
      </c>
      <c r="I508" s="5" t="e">
        <f>IF((COUNTIFS(#REF!,$C508,#REF!,I$1))&gt;=1,"SIM","")</f>
        <v>#REF!</v>
      </c>
      <c r="J508" s="5" t="e">
        <f>IF((COUNTIFS(#REF!,$C508,#REF!,J$1))&gt;=1,"SIM","")</f>
        <v>#REF!</v>
      </c>
      <c r="K508" s="5" t="e">
        <f>IF((COUNTIFS(#REF!,$C508,#REF!,K$1))&gt;=1,"SIM","")</f>
        <v>#REF!</v>
      </c>
      <c r="L508" s="5" t="e">
        <f>IF((COUNTIFS(#REF!,$C508,#REF!,L$1))&gt;=1,"SIM","")</f>
        <v>#REF!</v>
      </c>
      <c r="M508" s="5" t="e">
        <f>IF((COUNTIFS(#REF!,$C508,#REF!,M$1))&gt;=1,"SIM","")</f>
        <v>#REF!</v>
      </c>
      <c r="N508" s="5" t="e">
        <f>IF((COUNTIFS(#REF!,$C508,#REF!,N$1))&gt;=1,"SIM","")</f>
        <v>#REF!</v>
      </c>
      <c r="O508" s="5"/>
      <c r="P508" s="5" t="e">
        <f>IF((COUNTIFS(#REF!,$C508,#REF!,P$1))&gt;=1,"SIM","")</f>
        <v>#REF!</v>
      </c>
      <c r="Q508" s="5" t="e">
        <f>IF((COUNTIFS(#REF!,$C508,#REF!,Q$1))&gt;=1,"SIM","")</f>
        <v>#REF!</v>
      </c>
      <c r="R508" s="5" t="e">
        <f>IF((COUNTIFS(#REF!,$C508,#REF!,"*CARTA*"))&gt;=1,"SIM","")</f>
        <v>#REF!</v>
      </c>
      <c r="S508" s="5" t="e">
        <f>IF((COUNTIFS(#REF!,$C508,#REF!,"*CARTA NOTIFICAÇÃO/DEVOL*"))&gt;=1,"SIM","")</f>
        <v>#REF!</v>
      </c>
      <c r="T508" s="5" t="e">
        <f>IF((COUNTIFS(#REF!,$C508,#REF!,"*LIGAÇÃO ATIVA DEV PRIN/LOC*"))&gt;=1,"SIM","")</f>
        <v>#REF!</v>
      </c>
    </row>
    <row r="509" spans="1:20">
      <c r="A509" s="24" t="s">
        <v>2157</v>
      </c>
      <c r="B509" s="24" t="s">
        <v>1944</v>
      </c>
      <c r="C509" s="24" t="s">
        <v>1945</v>
      </c>
      <c r="D509" s="5" t="e">
        <f>IF((COUNTIFS(#REF!,$C509,#REF!,"*163*"))&gt;=1,"SIM","")</f>
        <v>#REF!</v>
      </c>
      <c r="E509" s="5" t="e">
        <f>IF((COUNTIFS(#REF!,$C509,#REF!,E$1))&gt;=1,"SIM","")</f>
        <v>#REF!</v>
      </c>
      <c r="F509" s="5" t="e">
        <f>IF((COUNTIFS(#REF!,$C509,#REF!,F$1))&gt;=1,"SIM","")</f>
        <v>#REF!</v>
      </c>
      <c r="G509" s="5" t="e">
        <f>IF((COUNTIFS(#REF!,$C509,#REF!,"*606*"))&gt;=1,"SIM","")</f>
        <v>#REF!</v>
      </c>
      <c r="H509" s="5" t="e">
        <f>IF((COUNTIFS(#REF!,$C509,#REF!,"*605*"))&gt;=1,"SIM","")</f>
        <v>#REF!</v>
      </c>
      <c r="I509" s="5" t="e">
        <f>IF((COUNTIFS(#REF!,$C509,#REF!,I$1))&gt;=1,"SIM","")</f>
        <v>#REF!</v>
      </c>
      <c r="J509" s="5" t="e">
        <f>IF((COUNTIFS(#REF!,$C509,#REF!,J$1))&gt;=1,"SIM","")</f>
        <v>#REF!</v>
      </c>
      <c r="K509" s="5" t="e">
        <f>IF((COUNTIFS(#REF!,$C509,#REF!,K$1))&gt;=1,"SIM","")</f>
        <v>#REF!</v>
      </c>
      <c r="L509" s="5" t="e">
        <f>IF((COUNTIFS(#REF!,$C509,#REF!,L$1))&gt;=1,"SIM","")</f>
        <v>#REF!</v>
      </c>
      <c r="M509" s="5" t="e">
        <f>IF((COUNTIFS(#REF!,$C509,#REF!,M$1))&gt;=1,"SIM","")</f>
        <v>#REF!</v>
      </c>
      <c r="N509" s="5" t="e">
        <f>IF((COUNTIFS(#REF!,$C509,#REF!,N$1))&gt;=1,"SIM","")</f>
        <v>#REF!</v>
      </c>
      <c r="O509" s="5"/>
      <c r="P509" s="5" t="e">
        <f>IF((COUNTIFS(#REF!,$C509,#REF!,P$1))&gt;=1,"SIM","")</f>
        <v>#REF!</v>
      </c>
      <c r="Q509" s="5" t="e">
        <f>IF((COUNTIFS(#REF!,$C509,#REF!,Q$1))&gt;=1,"SIM","")</f>
        <v>#REF!</v>
      </c>
      <c r="R509" s="5" t="e">
        <f>IF((COUNTIFS(#REF!,$C509,#REF!,"*CARTA*"))&gt;=1,"SIM","")</f>
        <v>#REF!</v>
      </c>
      <c r="S509" s="5" t="e">
        <f>IF((COUNTIFS(#REF!,$C509,#REF!,"*CARTA NOTIFICAÇÃO/DEVOL*"))&gt;=1,"SIM","")</f>
        <v>#REF!</v>
      </c>
      <c r="T509" s="5" t="e">
        <f>IF((COUNTIFS(#REF!,$C509,#REF!,"*LIGAÇÃO ATIVA DEV PRIN/LOC*"))&gt;=1,"SIM","")</f>
        <v>#REF!</v>
      </c>
    </row>
    <row r="510" spans="1:20">
      <c r="A510" s="24" t="s">
        <v>2153</v>
      </c>
      <c r="B510" s="24" t="s">
        <v>359</v>
      </c>
      <c r="C510" s="24" t="s">
        <v>360</v>
      </c>
      <c r="D510" s="5" t="e">
        <f>IF((COUNTIFS(#REF!,$C510,#REF!,"*163*"))&gt;=1,"SIM","")</f>
        <v>#REF!</v>
      </c>
      <c r="E510" s="5" t="e">
        <f>IF((COUNTIFS(#REF!,$C510,#REF!,E$1))&gt;=1,"SIM","")</f>
        <v>#REF!</v>
      </c>
      <c r="F510" s="5" t="e">
        <f>IF((COUNTIFS(#REF!,$C510,#REF!,F$1))&gt;=1,"SIM","")</f>
        <v>#REF!</v>
      </c>
      <c r="G510" s="5" t="e">
        <f>IF((COUNTIFS(#REF!,$C510,#REF!,"*606*"))&gt;=1,"SIM","")</f>
        <v>#REF!</v>
      </c>
      <c r="H510" s="5" t="e">
        <f>IF((COUNTIFS(#REF!,$C510,#REF!,"*605*"))&gt;=1,"SIM","")</f>
        <v>#REF!</v>
      </c>
      <c r="I510" s="5" t="e">
        <f>IF((COUNTIFS(#REF!,$C510,#REF!,I$1))&gt;=1,"SIM","")</f>
        <v>#REF!</v>
      </c>
      <c r="J510" s="5" t="e">
        <f>IF((COUNTIFS(#REF!,$C510,#REF!,J$1))&gt;=1,"SIM","")</f>
        <v>#REF!</v>
      </c>
      <c r="K510" s="5" t="e">
        <f>IF((COUNTIFS(#REF!,$C510,#REF!,K$1))&gt;=1,"SIM","")</f>
        <v>#REF!</v>
      </c>
      <c r="L510" s="5" t="e">
        <f>IF((COUNTIFS(#REF!,$C510,#REF!,L$1))&gt;=1,"SIM","")</f>
        <v>#REF!</v>
      </c>
      <c r="M510" s="5" t="e">
        <f>IF((COUNTIFS(#REF!,$C510,#REF!,M$1))&gt;=1,"SIM","")</f>
        <v>#REF!</v>
      </c>
      <c r="N510" s="5" t="e">
        <f>IF((COUNTIFS(#REF!,$C510,#REF!,N$1))&gt;=1,"SIM","")</f>
        <v>#REF!</v>
      </c>
      <c r="O510" s="5"/>
      <c r="P510" s="5" t="e">
        <f>IF((COUNTIFS(#REF!,$C510,#REF!,P$1))&gt;=1,"SIM","")</f>
        <v>#REF!</v>
      </c>
      <c r="Q510" s="5" t="e">
        <f>IF((COUNTIFS(#REF!,$C510,#REF!,Q$1))&gt;=1,"SIM","")</f>
        <v>#REF!</v>
      </c>
      <c r="R510" s="5" t="e">
        <f>IF((COUNTIFS(#REF!,$C510,#REF!,"*CARTA*"))&gt;=1,"SIM","")</f>
        <v>#REF!</v>
      </c>
      <c r="S510" s="5" t="e">
        <f>IF((COUNTIFS(#REF!,$C510,#REF!,"*CARTA NOTIFICAÇÃO/DEVOL*"))&gt;=1,"SIM","")</f>
        <v>#REF!</v>
      </c>
      <c r="T510" s="5" t="e">
        <f>IF((COUNTIFS(#REF!,$C510,#REF!,"*LIGAÇÃO ATIVA DEV PRIN/LOC*"))&gt;=1,"SIM","")</f>
        <v>#REF!</v>
      </c>
    </row>
    <row r="511" spans="1:20">
      <c r="A511" s="24" t="s">
        <v>2153</v>
      </c>
      <c r="B511" s="24" t="s">
        <v>252</v>
      </c>
      <c r="C511" s="24" t="s">
        <v>253</v>
      </c>
      <c r="D511" s="5" t="e">
        <f>IF((COUNTIFS(#REF!,$C511,#REF!,"*163*"))&gt;=1,"SIM","")</f>
        <v>#REF!</v>
      </c>
      <c r="E511" s="5" t="e">
        <f>IF((COUNTIFS(#REF!,$C511,#REF!,E$1))&gt;=1,"SIM","")</f>
        <v>#REF!</v>
      </c>
      <c r="F511" s="5" t="e">
        <f>IF((COUNTIFS(#REF!,$C511,#REF!,F$1))&gt;=1,"SIM","")</f>
        <v>#REF!</v>
      </c>
      <c r="G511" s="5" t="e">
        <f>IF((COUNTIFS(#REF!,$C511,#REF!,"*606*"))&gt;=1,"SIM","")</f>
        <v>#REF!</v>
      </c>
      <c r="H511" s="5" t="e">
        <f>IF((COUNTIFS(#REF!,$C511,#REF!,"*605*"))&gt;=1,"SIM","")</f>
        <v>#REF!</v>
      </c>
      <c r="I511" s="5" t="e">
        <f>IF((COUNTIFS(#REF!,$C511,#REF!,I$1))&gt;=1,"SIM","")</f>
        <v>#REF!</v>
      </c>
      <c r="J511" s="5" t="e">
        <f>IF((COUNTIFS(#REF!,$C511,#REF!,J$1))&gt;=1,"SIM","")</f>
        <v>#REF!</v>
      </c>
      <c r="K511" s="5" t="e">
        <f>IF((COUNTIFS(#REF!,$C511,#REF!,K$1))&gt;=1,"SIM","")</f>
        <v>#REF!</v>
      </c>
      <c r="L511" s="5" t="e">
        <f>IF((COUNTIFS(#REF!,$C511,#REF!,L$1))&gt;=1,"SIM","")</f>
        <v>#REF!</v>
      </c>
      <c r="M511" s="5" t="e">
        <f>IF((COUNTIFS(#REF!,$C511,#REF!,M$1))&gt;=1,"SIM","")</f>
        <v>#REF!</v>
      </c>
      <c r="N511" s="5" t="e">
        <f>IF((COUNTIFS(#REF!,$C511,#REF!,N$1))&gt;=1,"SIM","")</f>
        <v>#REF!</v>
      </c>
      <c r="O511" s="5"/>
      <c r="P511" s="5" t="e">
        <f>IF((COUNTIFS(#REF!,$C511,#REF!,P$1))&gt;=1,"SIM","")</f>
        <v>#REF!</v>
      </c>
      <c r="Q511" s="5" t="e">
        <f>IF((COUNTIFS(#REF!,$C511,#REF!,Q$1))&gt;=1,"SIM","")</f>
        <v>#REF!</v>
      </c>
      <c r="R511" s="5" t="e">
        <f>IF((COUNTIFS(#REF!,$C511,#REF!,"*CARTA*"))&gt;=1,"SIM","")</f>
        <v>#REF!</v>
      </c>
      <c r="S511" s="5" t="e">
        <f>IF((COUNTIFS(#REF!,$C511,#REF!,"*CARTA NOTIFICAÇÃO/DEVOL*"))&gt;=1,"SIM","")</f>
        <v>#REF!</v>
      </c>
      <c r="T511" s="5" t="e">
        <f>IF((COUNTIFS(#REF!,$C511,#REF!,"*LIGAÇÃO ATIVA DEV PRIN/LOC*"))&gt;=1,"SIM","")</f>
        <v>#REF!</v>
      </c>
    </row>
    <row r="512" spans="1:20">
      <c r="A512" s="24" t="s">
        <v>2153</v>
      </c>
      <c r="B512" s="24" t="s">
        <v>121</v>
      </c>
      <c r="C512" s="24" t="s">
        <v>122</v>
      </c>
      <c r="D512" s="5" t="e">
        <f>IF((COUNTIFS(#REF!,$C512,#REF!,"*163*"))&gt;=1,"SIM","")</f>
        <v>#REF!</v>
      </c>
      <c r="E512" s="5" t="e">
        <f>IF((COUNTIFS(#REF!,$C512,#REF!,E$1))&gt;=1,"SIM","")</f>
        <v>#REF!</v>
      </c>
      <c r="F512" s="5" t="e">
        <f>IF((COUNTIFS(#REF!,$C512,#REF!,F$1))&gt;=1,"SIM","")</f>
        <v>#REF!</v>
      </c>
      <c r="G512" s="5" t="e">
        <f>IF((COUNTIFS(#REF!,$C512,#REF!,"*606*"))&gt;=1,"SIM","")</f>
        <v>#REF!</v>
      </c>
      <c r="H512" s="5" t="e">
        <f>IF((COUNTIFS(#REF!,$C512,#REF!,"*605*"))&gt;=1,"SIM","")</f>
        <v>#REF!</v>
      </c>
      <c r="I512" s="5" t="e">
        <f>IF((COUNTIFS(#REF!,$C512,#REF!,I$1))&gt;=1,"SIM","")</f>
        <v>#REF!</v>
      </c>
      <c r="J512" s="5" t="e">
        <f>IF((COUNTIFS(#REF!,$C512,#REF!,J$1))&gt;=1,"SIM","")</f>
        <v>#REF!</v>
      </c>
      <c r="K512" s="5" t="e">
        <f>IF((COUNTIFS(#REF!,$C512,#REF!,K$1))&gt;=1,"SIM","")</f>
        <v>#REF!</v>
      </c>
      <c r="L512" s="5" t="e">
        <f>IF((COUNTIFS(#REF!,$C512,#REF!,L$1))&gt;=1,"SIM","")</f>
        <v>#REF!</v>
      </c>
      <c r="M512" s="5" t="e">
        <f>IF((COUNTIFS(#REF!,$C512,#REF!,M$1))&gt;=1,"SIM","")</f>
        <v>#REF!</v>
      </c>
      <c r="N512" s="5" t="e">
        <f>IF((COUNTIFS(#REF!,$C512,#REF!,N$1))&gt;=1,"SIM","")</f>
        <v>#REF!</v>
      </c>
      <c r="O512" s="5"/>
      <c r="P512" s="5" t="e">
        <f>IF((COUNTIFS(#REF!,$C512,#REF!,P$1))&gt;=1,"SIM","")</f>
        <v>#REF!</v>
      </c>
      <c r="Q512" s="5" t="e">
        <f>IF((COUNTIFS(#REF!,$C512,#REF!,Q$1))&gt;=1,"SIM","")</f>
        <v>#REF!</v>
      </c>
      <c r="R512" s="5" t="e">
        <f>IF((COUNTIFS(#REF!,$C512,#REF!,"*CARTA*"))&gt;=1,"SIM","")</f>
        <v>#REF!</v>
      </c>
      <c r="S512" s="5" t="e">
        <f>IF((COUNTIFS(#REF!,$C512,#REF!,"*CARTA NOTIFICAÇÃO/DEVOL*"))&gt;=1,"SIM","")</f>
        <v>#REF!</v>
      </c>
      <c r="T512" s="5" t="e">
        <f>IF((COUNTIFS(#REF!,$C512,#REF!,"*LIGAÇÃO ATIVA DEV PRIN/LOC*"))&gt;=1,"SIM","")</f>
        <v>#REF!</v>
      </c>
    </row>
    <row r="513" spans="1:20">
      <c r="A513" s="24" t="s">
        <v>2159</v>
      </c>
      <c r="B513" s="24" t="s">
        <v>1981</v>
      </c>
      <c r="C513" s="24" t="s">
        <v>1982</v>
      </c>
      <c r="D513" s="5" t="e">
        <f>IF((COUNTIFS(#REF!,$C513,#REF!,"*163*"))&gt;=1,"SIM","")</f>
        <v>#REF!</v>
      </c>
      <c r="E513" s="5" t="e">
        <f>IF((COUNTIFS(#REF!,$C513,#REF!,E$1))&gt;=1,"SIM","")</f>
        <v>#REF!</v>
      </c>
      <c r="F513" s="5" t="e">
        <f>IF((COUNTIFS(#REF!,$C513,#REF!,F$1))&gt;=1,"SIM","")</f>
        <v>#REF!</v>
      </c>
      <c r="G513" s="5" t="e">
        <f>IF((COUNTIFS(#REF!,$C513,#REF!,"*606*"))&gt;=1,"SIM","")</f>
        <v>#REF!</v>
      </c>
      <c r="H513" s="5" t="e">
        <f>IF((COUNTIFS(#REF!,$C513,#REF!,"*605*"))&gt;=1,"SIM","")</f>
        <v>#REF!</v>
      </c>
      <c r="I513" s="5" t="e">
        <f>IF((COUNTIFS(#REF!,$C513,#REF!,I$1))&gt;=1,"SIM","")</f>
        <v>#REF!</v>
      </c>
      <c r="J513" s="5" t="e">
        <f>IF((COUNTIFS(#REF!,$C513,#REF!,J$1))&gt;=1,"SIM","")</f>
        <v>#REF!</v>
      </c>
      <c r="K513" s="5" t="e">
        <f>IF((COUNTIFS(#REF!,$C513,#REF!,K$1))&gt;=1,"SIM","")</f>
        <v>#REF!</v>
      </c>
      <c r="L513" s="5" t="e">
        <f>IF((COUNTIFS(#REF!,$C513,#REF!,L$1))&gt;=1,"SIM","")</f>
        <v>#REF!</v>
      </c>
      <c r="M513" s="5" t="e">
        <f>IF((COUNTIFS(#REF!,$C513,#REF!,M$1))&gt;=1,"SIM","")</f>
        <v>#REF!</v>
      </c>
      <c r="N513" s="5" t="e">
        <f>IF((COUNTIFS(#REF!,$C513,#REF!,N$1))&gt;=1,"SIM","")</f>
        <v>#REF!</v>
      </c>
      <c r="O513" s="5"/>
      <c r="P513" s="5" t="e">
        <f>IF((COUNTIFS(#REF!,$C513,#REF!,P$1))&gt;=1,"SIM","")</f>
        <v>#REF!</v>
      </c>
      <c r="Q513" s="5" t="e">
        <f>IF((COUNTIFS(#REF!,$C513,#REF!,Q$1))&gt;=1,"SIM","")</f>
        <v>#REF!</v>
      </c>
      <c r="R513" s="5" t="e">
        <f>IF((COUNTIFS(#REF!,$C513,#REF!,"*CARTA*"))&gt;=1,"SIM","")</f>
        <v>#REF!</v>
      </c>
      <c r="S513" s="5" t="e">
        <f>IF((COUNTIFS(#REF!,$C513,#REF!,"*CARTA NOTIFICAÇÃO/DEVOL*"))&gt;=1,"SIM","")</f>
        <v>#REF!</v>
      </c>
      <c r="T513" s="5" t="e">
        <f>IF((COUNTIFS(#REF!,$C513,#REF!,"*LIGAÇÃO ATIVA DEV PRIN/LOC*"))&gt;=1,"SIM","")</f>
        <v>#REF!</v>
      </c>
    </row>
    <row r="514" spans="1:20">
      <c r="A514" s="24" t="s">
        <v>2159</v>
      </c>
      <c r="B514" s="24" t="s">
        <v>1954</v>
      </c>
      <c r="C514" s="24" t="s">
        <v>1955</v>
      </c>
      <c r="D514" s="5" t="e">
        <f>IF((COUNTIFS(#REF!,$C514,#REF!,"*163*"))&gt;=1,"SIM","")</f>
        <v>#REF!</v>
      </c>
      <c r="E514" s="5" t="e">
        <f>IF((COUNTIFS(#REF!,$C514,#REF!,E$1))&gt;=1,"SIM","")</f>
        <v>#REF!</v>
      </c>
      <c r="F514" s="5" t="e">
        <f>IF((COUNTIFS(#REF!,$C514,#REF!,F$1))&gt;=1,"SIM","")</f>
        <v>#REF!</v>
      </c>
      <c r="G514" s="5" t="e">
        <f>IF((COUNTIFS(#REF!,$C514,#REF!,"*606*"))&gt;=1,"SIM","")</f>
        <v>#REF!</v>
      </c>
      <c r="H514" s="5" t="e">
        <f>IF((COUNTIFS(#REF!,$C514,#REF!,"*605*"))&gt;=1,"SIM","")</f>
        <v>#REF!</v>
      </c>
      <c r="I514" s="5" t="e">
        <f>IF((COUNTIFS(#REF!,$C514,#REF!,I$1))&gt;=1,"SIM","")</f>
        <v>#REF!</v>
      </c>
      <c r="J514" s="5" t="e">
        <f>IF((COUNTIFS(#REF!,$C514,#REF!,J$1))&gt;=1,"SIM","")</f>
        <v>#REF!</v>
      </c>
      <c r="K514" s="5" t="e">
        <f>IF((COUNTIFS(#REF!,$C514,#REF!,K$1))&gt;=1,"SIM","")</f>
        <v>#REF!</v>
      </c>
      <c r="L514" s="5" t="e">
        <f>IF((COUNTIFS(#REF!,$C514,#REF!,L$1))&gt;=1,"SIM","")</f>
        <v>#REF!</v>
      </c>
      <c r="M514" s="5" t="e">
        <f>IF((COUNTIFS(#REF!,$C514,#REF!,M$1))&gt;=1,"SIM","")</f>
        <v>#REF!</v>
      </c>
      <c r="N514" s="5" t="e">
        <f>IF((COUNTIFS(#REF!,$C514,#REF!,N$1))&gt;=1,"SIM","")</f>
        <v>#REF!</v>
      </c>
      <c r="O514" s="5"/>
      <c r="P514" s="5" t="e">
        <f>IF((COUNTIFS(#REF!,$C514,#REF!,P$1))&gt;=1,"SIM","")</f>
        <v>#REF!</v>
      </c>
      <c r="Q514" s="5" t="e">
        <f>IF((COUNTIFS(#REF!,$C514,#REF!,Q$1))&gt;=1,"SIM","")</f>
        <v>#REF!</v>
      </c>
      <c r="R514" s="5" t="e">
        <f>IF((COUNTIFS(#REF!,$C514,#REF!,"*CARTA*"))&gt;=1,"SIM","")</f>
        <v>#REF!</v>
      </c>
      <c r="S514" s="5" t="e">
        <f>IF((COUNTIFS(#REF!,$C514,#REF!,"*CARTA NOTIFICAÇÃO/DEVOL*"))&gt;=1,"SIM","")</f>
        <v>#REF!</v>
      </c>
      <c r="T514" s="5" t="e">
        <f>IF((COUNTIFS(#REF!,$C514,#REF!,"*LIGAÇÃO ATIVA DEV PRIN/LOC*"))&gt;=1,"SIM","")</f>
        <v>#REF!</v>
      </c>
    </row>
    <row r="515" spans="1:20">
      <c r="A515" s="24" t="s">
        <v>2159</v>
      </c>
      <c r="B515" s="24" t="s">
        <v>1474</v>
      </c>
      <c r="C515" s="24" t="s">
        <v>1475</v>
      </c>
      <c r="D515" s="5" t="e">
        <f>IF((COUNTIFS(#REF!,$C515,#REF!,"*163*"))&gt;=1,"SIM","")</f>
        <v>#REF!</v>
      </c>
      <c r="E515" s="5" t="e">
        <f>IF((COUNTIFS(#REF!,$C515,#REF!,E$1))&gt;=1,"SIM","")</f>
        <v>#REF!</v>
      </c>
      <c r="F515" s="5" t="e">
        <f>IF((COUNTIFS(#REF!,$C515,#REF!,F$1))&gt;=1,"SIM","")</f>
        <v>#REF!</v>
      </c>
      <c r="G515" s="5" t="e">
        <f>IF((COUNTIFS(#REF!,$C515,#REF!,"*606*"))&gt;=1,"SIM","")</f>
        <v>#REF!</v>
      </c>
      <c r="H515" s="5" t="e">
        <f>IF((COUNTIFS(#REF!,$C515,#REF!,"*605*"))&gt;=1,"SIM","")</f>
        <v>#REF!</v>
      </c>
      <c r="I515" s="5" t="e">
        <f>IF((COUNTIFS(#REF!,$C515,#REF!,I$1))&gt;=1,"SIM","")</f>
        <v>#REF!</v>
      </c>
      <c r="J515" s="5" t="e">
        <f>IF((COUNTIFS(#REF!,$C515,#REF!,J$1))&gt;=1,"SIM","")</f>
        <v>#REF!</v>
      </c>
      <c r="K515" s="5" t="e">
        <f>IF((COUNTIFS(#REF!,$C515,#REF!,K$1))&gt;=1,"SIM","")</f>
        <v>#REF!</v>
      </c>
      <c r="L515" s="5" t="e">
        <f>IF((COUNTIFS(#REF!,$C515,#REF!,L$1))&gt;=1,"SIM","")</f>
        <v>#REF!</v>
      </c>
      <c r="M515" s="5" t="e">
        <f>IF((COUNTIFS(#REF!,$C515,#REF!,M$1))&gt;=1,"SIM","")</f>
        <v>#REF!</v>
      </c>
      <c r="N515" s="5" t="e">
        <f>IF((COUNTIFS(#REF!,$C515,#REF!,N$1))&gt;=1,"SIM","")</f>
        <v>#REF!</v>
      </c>
      <c r="O515" s="5"/>
      <c r="P515" s="5" t="e">
        <f>IF((COUNTIFS(#REF!,$C515,#REF!,P$1))&gt;=1,"SIM","")</f>
        <v>#REF!</v>
      </c>
      <c r="Q515" s="5" t="e">
        <f>IF((COUNTIFS(#REF!,$C515,#REF!,Q$1))&gt;=1,"SIM","")</f>
        <v>#REF!</v>
      </c>
      <c r="R515" s="5" t="e">
        <f>IF((COUNTIFS(#REF!,$C515,#REF!,"*CARTA*"))&gt;=1,"SIM","")</f>
        <v>#REF!</v>
      </c>
      <c r="S515" s="5" t="e">
        <f>IF((COUNTIFS(#REF!,$C515,#REF!,"*CARTA NOTIFICAÇÃO/DEVOL*"))&gt;=1,"SIM","")</f>
        <v>#REF!</v>
      </c>
      <c r="T515" s="5" t="e">
        <f>IF((COUNTIFS(#REF!,$C515,#REF!,"*LIGAÇÃO ATIVA DEV PRIN/LOC*"))&gt;=1,"SIM","")</f>
        <v>#REF!</v>
      </c>
    </row>
    <row r="516" spans="1:20">
      <c r="A516" s="24" t="s">
        <v>2153</v>
      </c>
      <c r="B516" s="24" t="s">
        <v>399</v>
      </c>
      <c r="C516" s="24" t="s">
        <v>400</v>
      </c>
      <c r="D516" s="5" t="e">
        <f>IF((COUNTIFS(#REF!,$C516,#REF!,"*163*"))&gt;=1,"SIM","")</f>
        <v>#REF!</v>
      </c>
      <c r="E516" s="5" t="e">
        <f>IF((COUNTIFS(#REF!,$C516,#REF!,E$1))&gt;=1,"SIM","")</f>
        <v>#REF!</v>
      </c>
      <c r="F516" s="5" t="e">
        <f>IF((COUNTIFS(#REF!,$C516,#REF!,F$1))&gt;=1,"SIM","")</f>
        <v>#REF!</v>
      </c>
      <c r="G516" s="5" t="e">
        <f>IF((COUNTIFS(#REF!,$C516,#REF!,"*606*"))&gt;=1,"SIM","")</f>
        <v>#REF!</v>
      </c>
      <c r="H516" s="5" t="e">
        <f>IF((COUNTIFS(#REF!,$C516,#REF!,"*605*"))&gt;=1,"SIM","")</f>
        <v>#REF!</v>
      </c>
      <c r="I516" s="5" t="e">
        <f>IF((COUNTIFS(#REF!,$C516,#REF!,I$1))&gt;=1,"SIM","")</f>
        <v>#REF!</v>
      </c>
      <c r="J516" s="5" t="e">
        <f>IF((COUNTIFS(#REF!,$C516,#REF!,J$1))&gt;=1,"SIM","")</f>
        <v>#REF!</v>
      </c>
      <c r="K516" s="5" t="e">
        <f>IF((COUNTIFS(#REF!,$C516,#REF!,K$1))&gt;=1,"SIM","")</f>
        <v>#REF!</v>
      </c>
      <c r="L516" s="5" t="e">
        <f>IF((COUNTIFS(#REF!,$C516,#REF!,L$1))&gt;=1,"SIM","")</f>
        <v>#REF!</v>
      </c>
      <c r="M516" s="5" t="e">
        <f>IF((COUNTIFS(#REF!,$C516,#REF!,M$1))&gt;=1,"SIM","")</f>
        <v>#REF!</v>
      </c>
      <c r="N516" s="5" t="e">
        <f>IF((COUNTIFS(#REF!,$C516,#REF!,N$1))&gt;=1,"SIM","")</f>
        <v>#REF!</v>
      </c>
      <c r="O516" s="5"/>
      <c r="P516" s="5" t="e">
        <f>IF((COUNTIFS(#REF!,$C516,#REF!,P$1))&gt;=1,"SIM","")</f>
        <v>#REF!</v>
      </c>
      <c r="Q516" s="5" t="e">
        <f>IF((COUNTIFS(#REF!,$C516,#REF!,Q$1))&gt;=1,"SIM","")</f>
        <v>#REF!</v>
      </c>
      <c r="R516" s="5" t="e">
        <f>IF((COUNTIFS(#REF!,$C516,#REF!,"*CARTA*"))&gt;=1,"SIM","")</f>
        <v>#REF!</v>
      </c>
      <c r="S516" s="5" t="e">
        <f>IF((COUNTIFS(#REF!,$C516,#REF!,"*CARTA NOTIFICAÇÃO/DEVOL*"))&gt;=1,"SIM","")</f>
        <v>#REF!</v>
      </c>
      <c r="T516" s="5" t="e">
        <f>IF((COUNTIFS(#REF!,$C516,#REF!,"*LIGAÇÃO ATIVA DEV PRIN/LOC*"))&gt;=1,"SIM","")</f>
        <v>#REF!</v>
      </c>
    </row>
    <row r="517" spans="1:20">
      <c r="A517" s="24" t="s">
        <v>2153</v>
      </c>
      <c r="B517" s="24" t="s">
        <v>506</v>
      </c>
      <c r="C517" s="24" t="s">
        <v>507</v>
      </c>
      <c r="D517" s="5" t="e">
        <f>IF((COUNTIFS(#REF!,$C517,#REF!,"*163*"))&gt;=1,"SIM","")</f>
        <v>#REF!</v>
      </c>
      <c r="E517" s="5" t="e">
        <f>IF((COUNTIFS(#REF!,$C517,#REF!,E$1))&gt;=1,"SIM","")</f>
        <v>#REF!</v>
      </c>
      <c r="F517" s="5" t="e">
        <f>IF((COUNTIFS(#REF!,$C517,#REF!,F$1))&gt;=1,"SIM","")</f>
        <v>#REF!</v>
      </c>
      <c r="G517" s="5" t="e">
        <f>IF((COUNTIFS(#REF!,$C517,#REF!,"*606*"))&gt;=1,"SIM","")</f>
        <v>#REF!</v>
      </c>
      <c r="H517" s="5" t="e">
        <f>IF((COUNTIFS(#REF!,$C517,#REF!,"*605*"))&gt;=1,"SIM","")</f>
        <v>#REF!</v>
      </c>
      <c r="I517" s="5" t="e">
        <f>IF((COUNTIFS(#REF!,$C517,#REF!,I$1))&gt;=1,"SIM","")</f>
        <v>#REF!</v>
      </c>
      <c r="J517" s="5" t="e">
        <f>IF((COUNTIFS(#REF!,$C517,#REF!,J$1))&gt;=1,"SIM","")</f>
        <v>#REF!</v>
      </c>
      <c r="K517" s="5" t="e">
        <f>IF((COUNTIFS(#REF!,$C517,#REF!,K$1))&gt;=1,"SIM","")</f>
        <v>#REF!</v>
      </c>
      <c r="L517" s="5" t="e">
        <f>IF((COUNTIFS(#REF!,$C517,#REF!,L$1))&gt;=1,"SIM","")</f>
        <v>#REF!</v>
      </c>
      <c r="M517" s="5" t="e">
        <f>IF((COUNTIFS(#REF!,$C517,#REF!,M$1))&gt;=1,"SIM","")</f>
        <v>#REF!</v>
      </c>
      <c r="N517" s="5" t="e">
        <f>IF((COUNTIFS(#REF!,$C517,#REF!,N$1))&gt;=1,"SIM","")</f>
        <v>#REF!</v>
      </c>
      <c r="O517" s="5"/>
      <c r="P517" s="5" t="e">
        <f>IF((COUNTIFS(#REF!,$C517,#REF!,P$1))&gt;=1,"SIM","")</f>
        <v>#REF!</v>
      </c>
      <c r="Q517" s="5" t="e">
        <f>IF((COUNTIFS(#REF!,$C517,#REF!,Q$1))&gt;=1,"SIM","")</f>
        <v>#REF!</v>
      </c>
      <c r="R517" s="5" t="e">
        <f>IF((COUNTIFS(#REF!,$C517,#REF!,"*CARTA*"))&gt;=1,"SIM","")</f>
        <v>#REF!</v>
      </c>
      <c r="S517" s="5" t="e">
        <f>IF((COUNTIFS(#REF!,$C517,#REF!,"*CARTA NOTIFICAÇÃO/DEVOL*"))&gt;=1,"SIM","")</f>
        <v>#REF!</v>
      </c>
      <c r="T517" s="5" t="e">
        <f>IF((COUNTIFS(#REF!,$C517,#REF!,"*LIGAÇÃO ATIVA DEV PRIN/LOC*"))&gt;=1,"SIM","")</f>
        <v>#REF!</v>
      </c>
    </row>
    <row r="518" spans="1:20">
      <c r="A518" s="24" t="s">
        <v>2159</v>
      </c>
      <c r="B518" s="24" t="s">
        <v>2070</v>
      </c>
      <c r="C518" s="24" t="s">
        <v>2071</v>
      </c>
      <c r="D518" s="5" t="e">
        <f>IF((COUNTIFS(#REF!,$C518,#REF!,"*163*"))&gt;=1,"SIM","")</f>
        <v>#REF!</v>
      </c>
      <c r="E518" s="5" t="e">
        <f>IF((COUNTIFS(#REF!,$C518,#REF!,E$1))&gt;=1,"SIM","")</f>
        <v>#REF!</v>
      </c>
      <c r="F518" s="5" t="e">
        <f>IF((COUNTIFS(#REF!,$C518,#REF!,F$1))&gt;=1,"SIM","")</f>
        <v>#REF!</v>
      </c>
      <c r="G518" s="5" t="e">
        <f>IF((COUNTIFS(#REF!,$C518,#REF!,"*606*"))&gt;=1,"SIM","")</f>
        <v>#REF!</v>
      </c>
      <c r="H518" s="5" t="e">
        <f>IF((COUNTIFS(#REF!,$C518,#REF!,"*605*"))&gt;=1,"SIM","")</f>
        <v>#REF!</v>
      </c>
      <c r="I518" s="5" t="e">
        <f>IF((COUNTIFS(#REF!,$C518,#REF!,I$1))&gt;=1,"SIM","")</f>
        <v>#REF!</v>
      </c>
      <c r="J518" s="5" t="e">
        <f>IF((COUNTIFS(#REF!,$C518,#REF!,J$1))&gt;=1,"SIM","")</f>
        <v>#REF!</v>
      </c>
      <c r="K518" s="5" t="e">
        <f>IF((COUNTIFS(#REF!,$C518,#REF!,K$1))&gt;=1,"SIM","")</f>
        <v>#REF!</v>
      </c>
      <c r="L518" s="5" t="e">
        <f>IF((COUNTIFS(#REF!,$C518,#REF!,L$1))&gt;=1,"SIM","")</f>
        <v>#REF!</v>
      </c>
      <c r="M518" s="5" t="e">
        <f>IF((COUNTIFS(#REF!,$C518,#REF!,M$1))&gt;=1,"SIM","")</f>
        <v>#REF!</v>
      </c>
      <c r="N518" s="5" t="e">
        <f>IF((COUNTIFS(#REF!,$C518,#REF!,N$1))&gt;=1,"SIM","")</f>
        <v>#REF!</v>
      </c>
      <c r="O518" s="5"/>
      <c r="P518" s="5" t="e">
        <f>IF((COUNTIFS(#REF!,$C518,#REF!,P$1))&gt;=1,"SIM","")</f>
        <v>#REF!</v>
      </c>
      <c r="Q518" s="5" t="e">
        <f>IF((COUNTIFS(#REF!,$C518,#REF!,Q$1))&gt;=1,"SIM","")</f>
        <v>#REF!</v>
      </c>
      <c r="R518" s="5" t="e">
        <f>IF((COUNTIFS(#REF!,$C518,#REF!,"*CARTA*"))&gt;=1,"SIM","")</f>
        <v>#REF!</v>
      </c>
      <c r="S518" s="5" t="e">
        <f>IF((COUNTIFS(#REF!,$C518,#REF!,"*CARTA NOTIFICAÇÃO/DEVOL*"))&gt;=1,"SIM","")</f>
        <v>#REF!</v>
      </c>
      <c r="T518" s="5" t="e">
        <f>IF((COUNTIFS(#REF!,$C518,#REF!,"*LIGAÇÃO ATIVA DEV PRIN/LOC*"))&gt;=1,"SIM","")</f>
        <v>#REF!</v>
      </c>
    </row>
    <row r="519" spans="1:20">
      <c r="A519" s="24" t="s">
        <v>2159</v>
      </c>
      <c r="B519" s="24" t="s">
        <v>1811</v>
      </c>
      <c r="C519" s="24" t="s">
        <v>1812</v>
      </c>
      <c r="D519" s="5" t="e">
        <f>IF((COUNTIFS(#REF!,$C519,#REF!,"*163*"))&gt;=1,"SIM","")</f>
        <v>#REF!</v>
      </c>
      <c r="E519" s="5" t="e">
        <f>IF((COUNTIFS(#REF!,$C519,#REF!,E$1))&gt;=1,"SIM","")</f>
        <v>#REF!</v>
      </c>
      <c r="F519" s="5" t="e">
        <f>IF((COUNTIFS(#REF!,$C519,#REF!,F$1))&gt;=1,"SIM","")</f>
        <v>#REF!</v>
      </c>
      <c r="G519" s="5" t="e">
        <f>IF((COUNTIFS(#REF!,$C519,#REF!,"*606*"))&gt;=1,"SIM","")</f>
        <v>#REF!</v>
      </c>
      <c r="H519" s="5" t="e">
        <f>IF((COUNTIFS(#REF!,$C519,#REF!,"*605*"))&gt;=1,"SIM","")</f>
        <v>#REF!</v>
      </c>
      <c r="I519" s="5" t="e">
        <f>IF((COUNTIFS(#REF!,$C519,#REF!,I$1))&gt;=1,"SIM","")</f>
        <v>#REF!</v>
      </c>
      <c r="J519" s="5" t="e">
        <f>IF((COUNTIFS(#REF!,$C519,#REF!,J$1))&gt;=1,"SIM","")</f>
        <v>#REF!</v>
      </c>
      <c r="K519" s="5" t="e">
        <f>IF((COUNTIFS(#REF!,$C519,#REF!,K$1))&gt;=1,"SIM","")</f>
        <v>#REF!</v>
      </c>
      <c r="L519" s="5" t="e">
        <f>IF((COUNTIFS(#REF!,$C519,#REF!,L$1))&gt;=1,"SIM","")</f>
        <v>#REF!</v>
      </c>
      <c r="M519" s="5" t="e">
        <f>IF((COUNTIFS(#REF!,$C519,#REF!,M$1))&gt;=1,"SIM","")</f>
        <v>#REF!</v>
      </c>
      <c r="N519" s="5" t="e">
        <f>IF((COUNTIFS(#REF!,$C519,#REF!,N$1))&gt;=1,"SIM","")</f>
        <v>#REF!</v>
      </c>
      <c r="O519" s="5"/>
      <c r="P519" s="5" t="e">
        <f>IF((COUNTIFS(#REF!,$C519,#REF!,P$1))&gt;=1,"SIM","")</f>
        <v>#REF!</v>
      </c>
      <c r="Q519" s="5" t="e">
        <f>IF((COUNTIFS(#REF!,$C519,#REF!,Q$1))&gt;=1,"SIM","")</f>
        <v>#REF!</v>
      </c>
      <c r="R519" s="5" t="e">
        <f>IF((COUNTIFS(#REF!,$C519,#REF!,"*CARTA*"))&gt;=1,"SIM","")</f>
        <v>#REF!</v>
      </c>
      <c r="S519" s="5" t="e">
        <f>IF((COUNTIFS(#REF!,$C519,#REF!,"*CARTA NOTIFICAÇÃO/DEVOL*"))&gt;=1,"SIM","")</f>
        <v>#REF!</v>
      </c>
      <c r="T519" s="5" t="e">
        <f>IF((COUNTIFS(#REF!,$C519,#REF!,"*LIGAÇÃO ATIVA DEV PRIN/LOC*"))&gt;=1,"SIM","")</f>
        <v>#REF!</v>
      </c>
    </row>
    <row r="520" spans="1:20">
      <c r="A520" s="24" t="s">
        <v>2157</v>
      </c>
      <c r="B520" s="24" t="s">
        <v>1968</v>
      </c>
      <c r="C520" s="24" t="s">
        <v>1969</v>
      </c>
      <c r="D520" s="5" t="e">
        <f>IF((COUNTIFS(#REF!,$C520,#REF!,"*163*"))&gt;=1,"SIM","")</f>
        <v>#REF!</v>
      </c>
      <c r="E520" s="5" t="e">
        <f>IF((COUNTIFS(#REF!,$C520,#REF!,E$1))&gt;=1,"SIM","")</f>
        <v>#REF!</v>
      </c>
      <c r="F520" s="5" t="e">
        <f>IF((COUNTIFS(#REF!,$C520,#REF!,F$1))&gt;=1,"SIM","")</f>
        <v>#REF!</v>
      </c>
      <c r="G520" s="5" t="e">
        <f>IF((COUNTIFS(#REF!,$C520,#REF!,"*606*"))&gt;=1,"SIM","")</f>
        <v>#REF!</v>
      </c>
      <c r="H520" s="5" t="e">
        <f>IF((COUNTIFS(#REF!,$C520,#REF!,"*605*"))&gt;=1,"SIM","")</f>
        <v>#REF!</v>
      </c>
      <c r="I520" s="5" t="e">
        <f>IF((COUNTIFS(#REF!,$C520,#REF!,I$1))&gt;=1,"SIM","")</f>
        <v>#REF!</v>
      </c>
      <c r="J520" s="5" t="e">
        <f>IF((COUNTIFS(#REF!,$C520,#REF!,J$1))&gt;=1,"SIM","")</f>
        <v>#REF!</v>
      </c>
      <c r="K520" s="5" t="e">
        <f>IF((COUNTIFS(#REF!,$C520,#REF!,K$1))&gt;=1,"SIM","")</f>
        <v>#REF!</v>
      </c>
      <c r="L520" s="5" t="e">
        <f>IF((COUNTIFS(#REF!,$C520,#REF!,L$1))&gt;=1,"SIM","")</f>
        <v>#REF!</v>
      </c>
      <c r="M520" s="5" t="e">
        <f>IF((COUNTIFS(#REF!,$C520,#REF!,M$1))&gt;=1,"SIM","")</f>
        <v>#REF!</v>
      </c>
      <c r="N520" s="5" t="e">
        <f>IF((COUNTIFS(#REF!,$C520,#REF!,N$1))&gt;=1,"SIM","")</f>
        <v>#REF!</v>
      </c>
      <c r="O520" s="5"/>
      <c r="P520" s="5" t="e">
        <f>IF((COUNTIFS(#REF!,$C520,#REF!,P$1))&gt;=1,"SIM","")</f>
        <v>#REF!</v>
      </c>
      <c r="Q520" s="5" t="e">
        <f>IF((COUNTIFS(#REF!,$C520,#REF!,Q$1))&gt;=1,"SIM","")</f>
        <v>#REF!</v>
      </c>
      <c r="R520" s="5" t="e">
        <f>IF((COUNTIFS(#REF!,$C520,#REF!,"*CARTA*"))&gt;=1,"SIM","")</f>
        <v>#REF!</v>
      </c>
      <c r="S520" s="5" t="e">
        <f>IF((COUNTIFS(#REF!,$C520,#REF!,"*CARTA NOTIFICAÇÃO/DEVOL*"))&gt;=1,"SIM","")</f>
        <v>#REF!</v>
      </c>
      <c r="T520" s="5" t="e">
        <f>IF((COUNTIFS(#REF!,$C520,#REF!,"*LIGAÇÃO ATIVA DEV PRIN/LOC*"))&gt;=1,"SIM","")</f>
        <v>#REF!</v>
      </c>
    </row>
    <row r="521" spans="1:20">
      <c r="A521" s="24" t="s">
        <v>2153</v>
      </c>
      <c r="B521" s="24" t="s">
        <v>640</v>
      </c>
      <c r="C521" s="24" t="s">
        <v>641</v>
      </c>
      <c r="D521" s="5" t="e">
        <f>IF((COUNTIFS(#REF!,$C521,#REF!,"*163*"))&gt;=1,"SIM","")</f>
        <v>#REF!</v>
      </c>
      <c r="E521" s="5" t="e">
        <f>IF((COUNTIFS(#REF!,$C521,#REF!,E$1))&gt;=1,"SIM","")</f>
        <v>#REF!</v>
      </c>
      <c r="F521" s="5" t="e">
        <f>IF((COUNTIFS(#REF!,$C521,#REF!,F$1))&gt;=1,"SIM","")</f>
        <v>#REF!</v>
      </c>
      <c r="G521" s="5" t="e">
        <f>IF((COUNTIFS(#REF!,$C521,#REF!,"*606*"))&gt;=1,"SIM","")</f>
        <v>#REF!</v>
      </c>
      <c r="H521" s="5" t="e">
        <f>IF((COUNTIFS(#REF!,$C521,#REF!,"*605*"))&gt;=1,"SIM","")</f>
        <v>#REF!</v>
      </c>
      <c r="I521" s="5" t="e">
        <f>IF((COUNTIFS(#REF!,$C521,#REF!,I$1))&gt;=1,"SIM","")</f>
        <v>#REF!</v>
      </c>
      <c r="J521" s="5" t="e">
        <f>IF((COUNTIFS(#REF!,$C521,#REF!,J$1))&gt;=1,"SIM","")</f>
        <v>#REF!</v>
      </c>
      <c r="K521" s="5" t="e">
        <f>IF((COUNTIFS(#REF!,$C521,#REF!,K$1))&gt;=1,"SIM","")</f>
        <v>#REF!</v>
      </c>
      <c r="L521" s="5" t="e">
        <f>IF((COUNTIFS(#REF!,$C521,#REF!,L$1))&gt;=1,"SIM","")</f>
        <v>#REF!</v>
      </c>
      <c r="M521" s="5" t="e">
        <f>IF((COUNTIFS(#REF!,$C521,#REF!,M$1))&gt;=1,"SIM","")</f>
        <v>#REF!</v>
      </c>
      <c r="N521" s="5" t="e">
        <f>IF((COUNTIFS(#REF!,$C521,#REF!,N$1))&gt;=1,"SIM","")</f>
        <v>#REF!</v>
      </c>
      <c r="O521" s="5"/>
      <c r="P521" s="5" t="e">
        <f>IF((COUNTIFS(#REF!,$C521,#REF!,P$1))&gt;=1,"SIM","")</f>
        <v>#REF!</v>
      </c>
      <c r="Q521" s="5" t="e">
        <f>IF((COUNTIFS(#REF!,$C521,#REF!,Q$1))&gt;=1,"SIM","")</f>
        <v>#REF!</v>
      </c>
      <c r="R521" s="5" t="e">
        <f>IF((COUNTIFS(#REF!,$C521,#REF!,"*CARTA*"))&gt;=1,"SIM","")</f>
        <v>#REF!</v>
      </c>
      <c r="S521" s="5" t="e">
        <f>IF((COUNTIFS(#REF!,$C521,#REF!,"*CARTA NOTIFICAÇÃO/DEVOL*"))&gt;=1,"SIM","")</f>
        <v>#REF!</v>
      </c>
      <c r="T521" s="5" t="e">
        <f>IF((COUNTIFS(#REF!,$C521,#REF!,"*LIGAÇÃO ATIVA DEV PRIN/LOC*"))&gt;=1,"SIM","")</f>
        <v>#REF!</v>
      </c>
    </row>
    <row r="522" spans="1:20">
      <c r="A522" s="24" t="s">
        <v>2153</v>
      </c>
      <c r="B522" s="24" t="s">
        <v>644</v>
      </c>
      <c r="C522" s="24" t="s">
        <v>645</v>
      </c>
      <c r="D522" s="5" t="e">
        <f>IF((COUNTIFS(#REF!,$C522,#REF!,"*163*"))&gt;=1,"SIM","")</f>
        <v>#REF!</v>
      </c>
      <c r="E522" s="5" t="e">
        <f>IF((COUNTIFS(#REF!,$C522,#REF!,E$1))&gt;=1,"SIM","")</f>
        <v>#REF!</v>
      </c>
      <c r="F522" s="5" t="e">
        <f>IF((COUNTIFS(#REF!,$C522,#REF!,F$1))&gt;=1,"SIM","")</f>
        <v>#REF!</v>
      </c>
      <c r="G522" s="5" t="e">
        <f>IF((COUNTIFS(#REF!,$C522,#REF!,"*606*"))&gt;=1,"SIM","")</f>
        <v>#REF!</v>
      </c>
      <c r="H522" s="5" t="e">
        <f>IF((COUNTIFS(#REF!,$C522,#REF!,"*605*"))&gt;=1,"SIM","")</f>
        <v>#REF!</v>
      </c>
      <c r="I522" s="5" t="e">
        <f>IF((COUNTIFS(#REF!,$C522,#REF!,I$1))&gt;=1,"SIM","")</f>
        <v>#REF!</v>
      </c>
      <c r="J522" s="5" t="e">
        <f>IF((COUNTIFS(#REF!,$C522,#REF!,J$1))&gt;=1,"SIM","")</f>
        <v>#REF!</v>
      </c>
      <c r="K522" s="5" t="e">
        <f>IF((COUNTIFS(#REF!,$C522,#REF!,K$1))&gt;=1,"SIM","")</f>
        <v>#REF!</v>
      </c>
      <c r="L522" s="5" t="e">
        <f>IF((COUNTIFS(#REF!,$C522,#REF!,L$1))&gt;=1,"SIM","")</f>
        <v>#REF!</v>
      </c>
      <c r="M522" s="5" t="e">
        <f>IF((COUNTIFS(#REF!,$C522,#REF!,M$1))&gt;=1,"SIM","")</f>
        <v>#REF!</v>
      </c>
      <c r="N522" s="5" t="e">
        <f>IF((COUNTIFS(#REF!,$C522,#REF!,N$1))&gt;=1,"SIM","")</f>
        <v>#REF!</v>
      </c>
      <c r="O522" s="5"/>
      <c r="P522" s="5" t="e">
        <f>IF((COUNTIFS(#REF!,$C522,#REF!,P$1))&gt;=1,"SIM","")</f>
        <v>#REF!</v>
      </c>
      <c r="Q522" s="5" t="e">
        <f>IF((COUNTIFS(#REF!,$C522,#REF!,Q$1))&gt;=1,"SIM","")</f>
        <v>#REF!</v>
      </c>
      <c r="R522" s="5" t="e">
        <f>IF((COUNTIFS(#REF!,$C522,#REF!,"*CARTA*"))&gt;=1,"SIM","")</f>
        <v>#REF!</v>
      </c>
      <c r="S522" s="5" t="e">
        <f>IF((COUNTIFS(#REF!,$C522,#REF!,"*CARTA NOTIFICAÇÃO/DEVOL*"))&gt;=1,"SIM","")</f>
        <v>#REF!</v>
      </c>
      <c r="T522" s="5" t="e">
        <f>IF((COUNTIFS(#REF!,$C522,#REF!,"*LIGAÇÃO ATIVA DEV PRIN/LOC*"))&gt;=1,"SIM","")</f>
        <v>#REF!</v>
      </c>
    </row>
    <row r="523" spans="1:20">
      <c r="A523" s="24" t="s">
        <v>2157</v>
      </c>
      <c r="B523" s="24" t="s">
        <v>779</v>
      </c>
      <c r="C523" s="24" t="s">
        <v>780</v>
      </c>
      <c r="D523" s="5" t="e">
        <f>IF((COUNTIFS(#REF!,$C523,#REF!,"*163*"))&gt;=1,"SIM","")</f>
        <v>#REF!</v>
      </c>
      <c r="E523" s="5" t="e">
        <f>IF((COUNTIFS(#REF!,$C523,#REF!,E$1))&gt;=1,"SIM","")</f>
        <v>#REF!</v>
      </c>
      <c r="F523" s="5" t="e">
        <f>IF((COUNTIFS(#REF!,$C523,#REF!,F$1))&gt;=1,"SIM","")</f>
        <v>#REF!</v>
      </c>
      <c r="G523" s="5" t="e">
        <f>IF((COUNTIFS(#REF!,$C523,#REF!,"*606*"))&gt;=1,"SIM","")</f>
        <v>#REF!</v>
      </c>
      <c r="H523" s="5" t="e">
        <f>IF((COUNTIFS(#REF!,$C523,#REF!,"*605*"))&gt;=1,"SIM","")</f>
        <v>#REF!</v>
      </c>
      <c r="I523" s="5" t="e">
        <f>IF((COUNTIFS(#REF!,$C523,#REF!,I$1))&gt;=1,"SIM","")</f>
        <v>#REF!</v>
      </c>
      <c r="J523" s="5" t="e">
        <f>IF((COUNTIFS(#REF!,$C523,#REF!,J$1))&gt;=1,"SIM","")</f>
        <v>#REF!</v>
      </c>
      <c r="K523" s="5" t="e">
        <f>IF((COUNTIFS(#REF!,$C523,#REF!,K$1))&gt;=1,"SIM","")</f>
        <v>#REF!</v>
      </c>
      <c r="L523" s="5" t="e">
        <f>IF((COUNTIFS(#REF!,$C523,#REF!,L$1))&gt;=1,"SIM","")</f>
        <v>#REF!</v>
      </c>
      <c r="M523" s="5" t="e">
        <f>IF((COUNTIFS(#REF!,$C523,#REF!,M$1))&gt;=1,"SIM","")</f>
        <v>#REF!</v>
      </c>
      <c r="N523" s="5" t="e">
        <f>IF((COUNTIFS(#REF!,$C523,#REF!,N$1))&gt;=1,"SIM","")</f>
        <v>#REF!</v>
      </c>
      <c r="O523" s="5"/>
      <c r="P523" s="5" t="e">
        <f>IF((COUNTIFS(#REF!,$C523,#REF!,P$1))&gt;=1,"SIM","")</f>
        <v>#REF!</v>
      </c>
      <c r="Q523" s="5" t="e">
        <f>IF((COUNTIFS(#REF!,$C523,#REF!,Q$1))&gt;=1,"SIM","")</f>
        <v>#REF!</v>
      </c>
      <c r="R523" s="5" t="e">
        <f>IF((COUNTIFS(#REF!,$C523,#REF!,"*CARTA*"))&gt;=1,"SIM","")</f>
        <v>#REF!</v>
      </c>
      <c r="S523" s="5" t="e">
        <f>IF((COUNTIFS(#REF!,$C523,#REF!,"*CARTA NOTIFICAÇÃO/DEVOL*"))&gt;=1,"SIM","")</f>
        <v>#REF!</v>
      </c>
      <c r="T523" s="5" t="e">
        <f>IF((COUNTIFS(#REF!,$C523,#REF!,"*LIGAÇÃO ATIVA DEV PRIN/LOC*"))&gt;=1,"SIM","")</f>
        <v>#REF!</v>
      </c>
    </row>
    <row r="524" spans="1:20">
      <c r="A524" s="24" t="s">
        <v>2159</v>
      </c>
      <c r="B524" s="24" t="s">
        <v>1290</v>
      </c>
      <c r="C524" s="24" t="s">
        <v>1291</v>
      </c>
      <c r="D524" s="5" t="e">
        <f>IF((COUNTIFS(#REF!,$C524,#REF!,"*163*"))&gt;=1,"SIM","")</f>
        <v>#REF!</v>
      </c>
      <c r="E524" s="5" t="e">
        <f>IF((COUNTIFS(#REF!,$C524,#REF!,E$1))&gt;=1,"SIM","")</f>
        <v>#REF!</v>
      </c>
      <c r="F524" s="5" t="e">
        <f>IF((COUNTIFS(#REF!,$C524,#REF!,F$1))&gt;=1,"SIM","")</f>
        <v>#REF!</v>
      </c>
      <c r="G524" s="5" t="e">
        <f>IF((COUNTIFS(#REF!,$C524,#REF!,"*606*"))&gt;=1,"SIM","")</f>
        <v>#REF!</v>
      </c>
      <c r="H524" s="5" t="e">
        <f>IF((COUNTIFS(#REF!,$C524,#REF!,"*605*"))&gt;=1,"SIM","")</f>
        <v>#REF!</v>
      </c>
      <c r="I524" s="5" t="e">
        <f>IF((COUNTIFS(#REF!,$C524,#REF!,I$1))&gt;=1,"SIM","")</f>
        <v>#REF!</v>
      </c>
      <c r="J524" s="5" t="e">
        <f>IF((COUNTIFS(#REF!,$C524,#REF!,J$1))&gt;=1,"SIM","")</f>
        <v>#REF!</v>
      </c>
      <c r="K524" s="5" t="e">
        <f>IF((COUNTIFS(#REF!,$C524,#REF!,K$1))&gt;=1,"SIM","")</f>
        <v>#REF!</v>
      </c>
      <c r="L524" s="5" t="e">
        <f>IF((COUNTIFS(#REF!,$C524,#REF!,L$1))&gt;=1,"SIM","")</f>
        <v>#REF!</v>
      </c>
      <c r="M524" s="5" t="e">
        <f>IF((COUNTIFS(#REF!,$C524,#REF!,M$1))&gt;=1,"SIM","")</f>
        <v>#REF!</v>
      </c>
      <c r="N524" s="5" t="e">
        <f>IF((COUNTIFS(#REF!,$C524,#REF!,N$1))&gt;=1,"SIM","")</f>
        <v>#REF!</v>
      </c>
      <c r="O524" s="5"/>
      <c r="P524" s="5" t="e">
        <f>IF((COUNTIFS(#REF!,$C524,#REF!,P$1))&gt;=1,"SIM","")</f>
        <v>#REF!</v>
      </c>
      <c r="Q524" s="5" t="e">
        <f>IF((COUNTIFS(#REF!,$C524,#REF!,Q$1))&gt;=1,"SIM","")</f>
        <v>#REF!</v>
      </c>
      <c r="R524" s="5" t="e">
        <f>IF((COUNTIFS(#REF!,$C524,#REF!,"*CARTA*"))&gt;=1,"SIM","")</f>
        <v>#REF!</v>
      </c>
      <c r="S524" s="5" t="e">
        <f>IF((COUNTIFS(#REF!,$C524,#REF!,"*CARTA NOTIFICAÇÃO/DEVOL*"))&gt;=1,"SIM","")</f>
        <v>#REF!</v>
      </c>
      <c r="T524" s="5" t="e">
        <f>IF((COUNTIFS(#REF!,$C524,#REF!,"*LIGAÇÃO ATIVA DEV PRIN/LOC*"))&gt;=1,"SIM","")</f>
        <v>#REF!</v>
      </c>
    </row>
    <row r="525" spans="1:20">
      <c r="A525" s="24" t="s">
        <v>2155</v>
      </c>
      <c r="B525" s="24" t="s">
        <v>159</v>
      </c>
      <c r="C525" s="24" t="s">
        <v>160</v>
      </c>
      <c r="D525" s="5" t="e">
        <f>IF((COUNTIFS(#REF!,$C525,#REF!,"*163*"))&gt;=1,"SIM","")</f>
        <v>#REF!</v>
      </c>
      <c r="E525" s="5" t="e">
        <f>IF((COUNTIFS(#REF!,$C525,#REF!,E$1))&gt;=1,"SIM","")</f>
        <v>#REF!</v>
      </c>
      <c r="F525" s="5" t="e">
        <f>IF((COUNTIFS(#REF!,$C525,#REF!,F$1))&gt;=1,"SIM","")</f>
        <v>#REF!</v>
      </c>
      <c r="G525" s="5" t="e">
        <f>IF((COUNTIFS(#REF!,$C525,#REF!,"*606*"))&gt;=1,"SIM","")</f>
        <v>#REF!</v>
      </c>
      <c r="H525" s="5" t="e">
        <f>IF((COUNTIFS(#REF!,$C525,#REF!,"*605*"))&gt;=1,"SIM","")</f>
        <v>#REF!</v>
      </c>
      <c r="I525" s="5" t="e">
        <f>IF((COUNTIFS(#REF!,$C525,#REF!,I$1))&gt;=1,"SIM","")</f>
        <v>#REF!</v>
      </c>
      <c r="J525" s="5" t="e">
        <f>IF((COUNTIFS(#REF!,$C525,#REF!,J$1))&gt;=1,"SIM","")</f>
        <v>#REF!</v>
      </c>
      <c r="K525" s="5" t="e">
        <f>IF((COUNTIFS(#REF!,$C525,#REF!,K$1))&gt;=1,"SIM","")</f>
        <v>#REF!</v>
      </c>
      <c r="L525" s="5" t="e">
        <f>IF((COUNTIFS(#REF!,$C525,#REF!,L$1))&gt;=1,"SIM","")</f>
        <v>#REF!</v>
      </c>
      <c r="M525" s="5" t="e">
        <f>IF((COUNTIFS(#REF!,$C525,#REF!,M$1))&gt;=1,"SIM","")</f>
        <v>#REF!</v>
      </c>
      <c r="N525" s="5" t="e">
        <f>IF((COUNTIFS(#REF!,$C525,#REF!,N$1))&gt;=1,"SIM","")</f>
        <v>#REF!</v>
      </c>
      <c r="O525" s="5"/>
      <c r="P525" s="5" t="e">
        <f>IF((COUNTIFS(#REF!,$C525,#REF!,P$1))&gt;=1,"SIM","")</f>
        <v>#REF!</v>
      </c>
      <c r="Q525" s="5" t="e">
        <f>IF((COUNTIFS(#REF!,$C525,#REF!,Q$1))&gt;=1,"SIM","")</f>
        <v>#REF!</v>
      </c>
      <c r="R525" s="5" t="e">
        <f>IF((COUNTIFS(#REF!,$C525,#REF!,"*CARTA*"))&gt;=1,"SIM","")</f>
        <v>#REF!</v>
      </c>
      <c r="S525" s="5" t="e">
        <f>IF((COUNTIFS(#REF!,$C525,#REF!,"*CARTA NOTIFICAÇÃO/DEVOL*"))&gt;=1,"SIM","")</f>
        <v>#REF!</v>
      </c>
      <c r="T525" s="5" t="e">
        <f>IF((COUNTIFS(#REF!,$C525,#REF!,"*LIGAÇÃO ATIVA DEV PRIN/LOC*"))&gt;=1,"SIM","")</f>
        <v>#REF!</v>
      </c>
    </row>
    <row r="526" spans="1:20">
      <c r="A526" s="24" t="s">
        <v>2153</v>
      </c>
      <c r="B526" s="24" t="s">
        <v>612</v>
      </c>
      <c r="C526" s="24" t="s">
        <v>613</v>
      </c>
      <c r="D526" s="5" t="e">
        <f>IF((COUNTIFS(#REF!,$C526,#REF!,"*163*"))&gt;=1,"SIM","")</f>
        <v>#REF!</v>
      </c>
      <c r="E526" s="5" t="e">
        <f>IF((COUNTIFS(#REF!,$C526,#REF!,E$1))&gt;=1,"SIM","")</f>
        <v>#REF!</v>
      </c>
      <c r="F526" s="5" t="e">
        <f>IF((COUNTIFS(#REF!,$C526,#REF!,F$1))&gt;=1,"SIM","")</f>
        <v>#REF!</v>
      </c>
      <c r="G526" s="5" t="e">
        <f>IF((COUNTIFS(#REF!,$C526,#REF!,"*606*"))&gt;=1,"SIM","")</f>
        <v>#REF!</v>
      </c>
      <c r="H526" s="5" t="e">
        <f>IF((COUNTIFS(#REF!,$C526,#REF!,"*605*"))&gt;=1,"SIM","")</f>
        <v>#REF!</v>
      </c>
      <c r="I526" s="5" t="e">
        <f>IF((COUNTIFS(#REF!,$C526,#REF!,I$1))&gt;=1,"SIM","")</f>
        <v>#REF!</v>
      </c>
      <c r="J526" s="5" t="e">
        <f>IF((COUNTIFS(#REF!,$C526,#REF!,J$1))&gt;=1,"SIM","")</f>
        <v>#REF!</v>
      </c>
      <c r="K526" s="5" t="e">
        <f>IF((COUNTIFS(#REF!,$C526,#REF!,K$1))&gt;=1,"SIM","")</f>
        <v>#REF!</v>
      </c>
      <c r="L526" s="5" t="e">
        <f>IF((COUNTIFS(#REF!,$C526,#REF!,L$1))&gt;=1,"SIM","")</f>
        <v>#REF!</v>
      </c>
      <c r="M526" s="5" t="e">
        <f>IF((COUNTIFS(#REF!,$C526,#REF!,M$1))&gt;=1,"SIM","")</f>
        <v>#REF!</v>
      </c>
      <c r="N526" s="5" t="e">
        <f>IF((COUNTIFS(#REF!,$C526,#REF!,N$1))&gt;=1,"SIM","")</f>
        <v>#REF!</v>
      </c>
      <c r="O526" s="5"/>
      <c r="P526" s="5" t="e">
        <f>IF((COUNTIFS(#REF!,$C526,#REF!,P$1))&gt;=1,"SIM","")</f>
        <v>#REF!</v>
      </c>
      <c r="Q526" s="5" t="e">
        <f>IF((COUNTIFS(#REF!,$C526,#REF!,Q$1))&gt;=1,"SIM","")</f>
        <v>#REF!</v>
      </c>
      <c r="R526" s="5" t="e">
        <f>IF((COUNTIFS(#REF!,$C526,#REF!,"*CARTA*"))&gt;=1,"SIM","")</f>
        <v>#REF!</v>
      </c>
      <c r="S526" s="5" t="e">
        <f>IF((COUNTIFS(#REF!,$C526,#REF!,"*CARTA NOTIFICAÇÃO/DEVOL*"))&gt;=1,"SIM","")</f>
        <v>#REF!</v>
      </c>
      <c r="T526" s="5" t="e">
        <f>IF((COUNTIFS(#REF!,$C526,#REF!,"*LIGAÇÃO ATIVA DEV PRIN/LOC*"))&gt;=1,"SIM","")</f>
        <v>#REF!</v>
      </c>
    </row>
    <row r="527" spans="1:20">
      <c r="A527" s="24" t="s">
        <v>2153</v>
      </c>
      <c r="B527" s="24" t="s">
        <v>504</v>
      </c>
      <c r="C527" s="24" t="s">
        <v>505</v>
      </c>
      <c r="D527" s="5" t="e">
        <f>IF((COUNTIFS(#REF!,$C527,#REF!,"*163*"))&gt;=1,"SIM","")</f>
        <v>#REF!</v>
      </c>
      <c r="E527" s="5" t="e">
        <f>IF((COUNTIFS(#REF!,$C527,#REF!,E$1))&gt;=1,"SIM","")</f>
        <v>#REF!</v>
      </c>
      <c r="F527" s="5" t="e">
        <f>IF((COUNTIFS(#REF!,$C527,#REF!,F$1))&gt;=1,"SIM","")</f>
        <v>#REF!</v>
      </c>
      <c r="G527" s="5" t="e">
        <f>IF((COUNTIFS(#REF!,$C527,#REF!,"*606*"))&gt;=1,"SIM","")</f>
        <v>#REF!</v>
      </c>
      <c r="H527" s="5" t="e">
        <f>IF((COUNTIFS(#REF!,$C527,#REF!,"*605*"))&gt;=1,"SIM","")</f>
        <v>#REF!</v>
      </c>
      <c r="I527" s="5" t="e">
        <f>IF((COUNTIFS(#REF!,$C527,#REF!,I$1))&gt;=1,"SIM","")</f>
        <v>#REF!</v>
      </c>
      <c r="J527" s="5" t="e">
        <f>IF((COUNTIFS(#REF!,$C527,#REF!,J$1))&gt;=1,"SIM","")</f>
        <v>#REF!</v>
      </c>
      <c r="K527" s="5" t="e">
        <f>IF((COUNTIFS(#REF!,$C527,#REF!,K$1))&gt;=1,"SIM","")</f>
        <v>#REF!</v>
      </c>
      <c r="L527" s="5" t="e">
        <f>IF((COUNTIFS(#REF!,$C527,#REF!,L$1))&gt;=1,"SIM","")</f>
        <v>#REF!</v>
      </c>
      <c r="M527" s="5" t="e">
        <f>IF((COUNTIFS(#REF!,$C527,#REF!,M$1))&gt;=1,"SIM","")</f>
        <v>#REF!</v>
      </c>
      <c r="N527" s="5" t="e">
        <f>IF((COUNTIFS(#REF!,$C527,#REF!,N$1))&gt;=1,"SIM","")</f>
        <v>#REF!</v>
      </c>
      <c r="O527" s="5"/>
      <c r="P527" s="5" t="e">
        <f>IF((COUNTIFS(#REF!,$C527,#REF!,P$1))&gt;=1,"SIM","")</f>
        <v>#REF!</v>
      </c>
      <c r="Q527" s="5" t="e">
        <f>IF((COUNTIFS(#REF!,$C527,#REF!,Q$1))&gt;=1,"SIM","")</f>
        <v>#REF!</v>
      </c>
      <c r="R527" s="5" t="e">
        <f>IF((COUNTIFS(#REF!,$C527,#REF!,"*CARTA*"))&gt;=1,"SIM","")</f>
        <v>#REF!</v>
      </c>
      <c r="S527" s="5" t="e">
        <f>IF((COUNTIFS(#REF!,$C527,#REF!,"*CARTA NOTIFICAÇÃO/DEVOL*"))&gt;=1,"SIM","")</f>
        <v>#REF!</v>
      </c>
      <c r="T527" s="5" t="e">
        <f>IF((COUNTIFS(#REF!,$C527,#REF!,"*LIGAÇÃO ATIVA DEV PRIN/LOC*"))&gt;=1,"SIM","")</f>
        <v>#REF!</v>
      </c>
    </row>
    <row r="528" spans="1:20">
      <c r="A528" s="24" t="s">
        <v>2153</v>
      </c>
      <c r="B528" s="24" t="s">
        <v>962</v>
      </c>
      <c r="C528" s="24" t="s">
        <v>963</v>
      </c>
      <c r="D528" s="5" t="e">
        <f>IF((COUNTIFS(#REF!,$C528,#REF!,"*163*"))&gt;=1,"SIM","")</f>
        <v>#REF!</v>
      </c>
      <c r="E528" s="5" t="e">
        <f>IF((COUNTIFS(#REF!,$C528,#REF!,E$1))&gt;=1,"SIM","")</f>
        <v>#REF!</v>
      </c>
      <c r="F528" s="5" t="e">
        <f>IF((COUNTIFS(#REF!,$C528,#REF!,F$1))&gt;=1,"SIM","")</f>
        <v>#REF!</v>
      </c>
      <c r="G528" s="5" t="e">
        <f>IF((COUNTIFS(#REF!,$C528,#REF!,"*606*"))&gt;=1,"SIM","")</f>
        <v>#REF!</v>
      </c>
      <c r="H528" s="5" t="e">
        <f>IF((COUNTIFS(#REF!,$C528,#REF!,"*605*"))&gt;=1,"SIM","")</f>
        <v>#REF!</v>
      </c>
      <c r="I528" s="5" t="e">
        <f>IF((COUNTIFS(#REF!,$C528,#REF!,I$1))&gt;=1,"SIM","")</f>
        <v>#REF!</v>
      </c>
      <c r="J528" s="5" t="e">
        <f>IF((COUNTIFS(#REF!,$C528,#REF!,J$1))&gt;=1,"SIM","")</f>
        <v>#REF!</v>
      </c>
      <c r="K528" s="5" t="e">
        <f>IF((COUNTIFS(#REF!,$C528,#REF!,K$1))&gt;=1,"SIM","")</f>
        <v>#REF!</v>
      </c>
      <c r="L528" s="5" t="e">
        <f>IF((COUNTIFS(#REF!,$C528,#REF!,L$1))&gt;=1,"SIM","")</f>
        <v>#REF!</v>
      </c>
      <c r="M528" s="5" t="e">
        <f>IF((COUNTIFS(#REF!,$C528,#REF!,M$1))&gt;=1,"SIM","")</f>
        <v>#REF!</v>
      </c>
      <c r="N528" s="5" t="e">
        <f>IF((COUNTIFS(#REF!,$C528,#REF!,N$1))&gt;=1,"SIM","")</f>
        <v>#REF!</v>
      </c>
      <c r="O528" s="5"/>
      <c r="P528" s="5" t="e">
        <f>IF((COUNTIFS(#REF!,$C528,#REF!,P$1))&gt;=1,"SIM","")</f>
        <v>#REF!</v>
      </c>
      <c r="Q528" s="5" t="e">
        <f>IF((COUNTIFS(#REF!,$C528,#REF!,Q$1))&gt;=1,"SIM","")</f>
        <v>#REF!</v>
      </c>
      <c r="R528" s="5" t="e">
        <f>IF((COUNTIFS(#REF!,$C528,#REF!,"*CARTA*"))&gt;=1,"SIM","")</f>
        <v>#REF!</v>
      </c>
      <c r="S528" s="5" t="e">
        <f>IF((COUNTIFS(#REF!,$C528,#REF!,"*CARTA NOTIFICAÇÃO/DEVOL*"))&gt;=1,"SIM","")</f>
        <v>#REF!</v>
      </c>
      <c r="T528" s="5" t="e">
        <f>IF((COUNTIFS(#REF!,$C528,#REF!,"*LIGAÇÃO ATIVA DEV PRIN/LOC*"))&gt;=1,"SIM","")</f>
        <v>#REF!</v>
      </c>
    </row>
    <row r="529" spans="1:20">
      <c r="A529" s="24" t="s">
        <v>2159</v>
      </c>
      <c r="B529" s="24" t="s">
        <v>2122</v>
      </c>
      <c r="C529" s="24" t="s">
        <v>2123</v>
      </c>
      <c r="D529" s="5" t="e">
        <f>IF((COUNTIFS(#REF!,$C529,#REF!,"*163*"))&gt;=1,"SIM","")</f>
        <v>#REF!</v>
      </c>
      <c r="E529" s="5" t="e">
        <f>IF((COUNTIFS(#REF!,$C529,#REF!,E$1))&gt;=1,"SIM","")</f>
        <v>#REF!</v>
      </c>
      <c r="F529" s="5" t="e">
        <f>IF((COUNTIFS(#REF!,$C529,#REF!,F$1))&gt;=1,"SIM","")</f>
        <v>#REF!</v>
      </c>
      <c r="G529" s="5" t="e">
        <f>IF((COUNTIFS(#REF!,$C529,#REF!,"*606*"))&gt;=1,"SIM","")</f>
        <v>#REF!</v>
      </c>
      <c r="H529" s="5" t="e">
        <f>IF((COUNTIFS(#REF!,$C529,#REF!,"*605*"))&gt;=1,"SIM","")</f>
        <v>#REF!</v>
      </c>
      <c r="I529" s="5" t="e">
        <f>IF((COUNTIFS(#REF!,$C529,#REF!,I$1))&gt;=1,"SIM","")</f>
        <v>#REF!</v>
      </c>
      <c r="J529" s="5" t="e">
        <f>IF((COUNTIFS(#REF!,$C529,#REF!,J$1))&gt;=1,"SIM","")</f>
        <v>#REF!</v>
      </c>
      <c r="K529" s="5" t="e">
        <f>IF((COUNTIFS(#REF!,$C529,#REF!,K$1))&gt;=1,"SIM","")</f>
        <v>#REF!</v>
      </c>
      <c r="L529" s="5" t="e">
        <f>IF((COUNTIFS(#REF!,$C529,#REF!,L$1))&gt;=1,"SIM","")</f>
        <v>#REF!</v>
      </c>
      <c r="M529" s="5" t="e">
        <f>IF((COUNTIFS(#REF!,$C529,#REF!,M$1))&gt;=1,"SIM","")</f>
        <v>#REF!</v>
      </c>
      <c r="N529" s="5" t="e">
        <f>IF((COUNTIFS(#REF!,$C529,#REF!,N$1))&gt;=1,"SIM","")</f>
        <v>#REF!</v>
      </c>
      <c r="O529" s="5"/>
      <c r="P529" s="5" t="e">
        <f>IF((COUNTIFS(#REF!,$C529,#REF!,P$1))&gt;=1,"SIM","")</f>
        <v>#REF!</v>
      </c>
      <c r="Q529" s="5" t="e">
        <f>IF((COUNTIFS(#REF!,$C529,#REF!,Q$1))&gt;=1,"SIM","")</f>
        <v>#REF!</v>
      </c>
      <c r="R529" s="5" t="e">
        <f>IF((COUNTIFS(#REF!,$C529,#REF!,"*CARTA*"))&gt;=1,"SIM","")</f>
        <v>#REF!</v>
      </c>
      <c r="S529" s="5" t="e">
        <f>IF((COUNTIFS(#REF!,$C529,#REF!,"*CARTA NOTIFICAÇÃO/DEVOL*"))&gt;=1,"SIM","")</f>
        <v>#REF!</v>
      </c>
      <c r="T529" s="5" t="e">
        <f>IF((COUNTIFS(#REF!,$C529,#REF!,"*LIGAÇÃO ATIVA DEV PRIN/LOC*"))&gt;=1,"SIM","")</f>
        <v>#REF!</v>
      </c>
    </row>
    <row r="530" spans="1:20">
      <c r="A530" s="24" t="s">
        <v>2157</v>
      </c>
      <c r="B530" s="24" t="s">
        <v>1946</v>
      </c>
      <c r="C530" s="24" t="s">
        <v>1947</v>
      </c>
      <c r="D530" s="5" t="e">
        <f>IF((COUNTIFS(#REF!,$C530,#REF!,"*163*"))&gt;=1,"SIM","")</f>
        <v>#REF!</v>
      </c>
      <c r="E530" s="5" t="e">
        <f>IF((COUNTIFS(#REF!,$C530,#REF!,E$1))&gt;=1,"SIM","")</f>
        <v>#REF!</v>
      </c>
      <c r="F530" s="5" t="e">
        <f>IF((COUNTIFS(#REF!,$C530,#REF!,F$1))&gt;=1,"SIM","")</f>
        <v>#REF!</v>
      </c>
      <c r="G530" s="5" t="e">
        <f>IF((COUNTIFS(#REF!,$C530,#REF!,"*606*"))&gt;=1,"SIM","")</f>
        <v>#REF!</v>
      </c>
      <c r="H530" s="5" t="e">
        <f>IF((COUNTIFS(#REF!,$C530,#REF!,"*605*"))&gt;=1,"SIM","")</f>
        <v>#REF!</v>
      </c>
      <c r="I530" s="5" t="e">
        <f>IF((COUNTIFS(#REF!,$C530,#REF!,I$1))&gt;=1,"SIM","")</f>
        <v>#REF!</v>
      </c>
      <c r="J530" s="5" t="e">
        <f>IF((COUNTIFS(#REF!,$C530,#REF!,J$1))&gt;=1,"SIM","")</f>
        <v>#REF!</v>
      </c>
      <c r="K530" s="5" t="e">
        <f>IF((COUNTIFS(#REF!,$C530,#REF!,K$1))&gt;=1,"SIM","")</f>
        <v>#REF!</v>
      </c>
      <c r="L530" s="5" t="e">
        <f>IF((COUNTIFS(#REF!,$C530,#REF!,L$1))&gt;=1,"SIM","")</f>
        <v>#REF!</v>
      </c>
      <c r="M530" s="5" t="e">
        <f>IF((COUNTIFS(#REF!,$C530,#REF!,M$1))&gt;=1,"SIM","")</f>
        <v>#REF!</v>
      </c>
      <c r="N530" s="5" t="e">
        <f>IF((COUNTIFS(#REF!,$C530,#REF!,N$1))&gt;=1,"SIM","")</f>
        <v>#REF!</v>
      </c>
      <c r="O530" s="5"/>
      <c r="P530" s="5" t="e">
        <f>IF((COUNTIFS(#REF!,$C530,#REF!,P$1))&gt;=1,"SIM","")</f>
        <v>#REF!</v>
      </c>
      <c r="Q530" s="5" t="e">
        <f>IF((COUNTIFS(#REF!,$C530,#REF!,Q$1))&gt;=1,"SIM","")</f>
        <v>#REF!</v>
      </c>
      <c r="R530" s="5" t="e">
        <f>IF((COUNTIFS(#REF!,$C530,#REF!,"*CARTA*"))&gt;=1,"SIM","")</f>
        <v>#REF!</v>
      </c>
      <c r="S530" s="5" t="e">
        <f>IF((COUNTIFS(#REF!,$C530,#REF!,"*CARTA NOTIFICAÇÃO/DEVOL*"))&gt;=1,"SIM","")</f>
        <v>#REF!</v>
      </c>
      <c r="T530" s="5" t="e">
        <f>IF((COUNTIFS(#REF!,$C530,#REF!,"*LIGAÇÃO ATIVA DEV PRIN/LOC*"))&gt;=1,"SIM","")</f>
        <v>#REF!</v>
      </c>
    </row>
    <row r="531" spans="1:20">
      <c r="A531" s="24" t="s">
        <v>2159</v>
      </c>
      <c r="B531" s="24" t="s">
        <v>902</v>
      </c>
      <c r="C531" s="24" t="s">
        <v>903</v>
      </c>
      <c r="D531" s="5" t="e">
        <f>IF((COUNTIFS(#REF!,$C531,#REF!,"*163*"))&gt;=1,"SIM","")</f>
        <v>#REF!</v>
      </c>
      <c r="E531" s="5" t="e">
        <f>IF((COUNTIFS(#REF!,$C531,#REF!,E$1))&gt;=1,"SIM","")</f>
        <v>#REF!</v>
      </c>
      <c r="F531" s="5" t="e">
        <f>IF((COUNTIFS(#REF!,$C531,#REF!,F$1))&gt;=1,"SIM","")</f>
        <v>#REF!</v>
      </c>
      <c r="G531" s="5" t="e">
        <f>IF((COUNTIFS(#REF!,$C531,#REF!,"*606*"))&gt;=1,"SIM","")</f>
        <v>#REF!</v>
      </c>
      <c r="H531" s="5" t="e">
        <f>IF((COUNTIFS(#REF!,$C531,#REF!,"*605*"))&gt;=1,"SIM","")</f>
        <v>#REF!</v>
      </c>
      <c r="I531" s="5" t="e">
        <f>IF((COUNTIFS(#REF!,$C531,#REF!,I$1))&gt;=1,"SIM","")</f>
        <v>#REF!</v>
      </c>
      <c r="J531" s="5" t="e">
        <f>IF((COUNTIFS(#REF!,$C531,#REF!,J$1))&gt;=1,"SIM","")</f>
        <v>#REF!</v>
      </c>
      <c r="K531" s="5" t="e">
        <f>IF((COUNTIFS(#REF!,$C531,#REF!,K$1))&gt;=1,"SIM","")</f>
        <v>#REF!</v>
      </c>
      <c r="L531" s="5" t="e">
        <f>IF((COUNTIFS(#REF!,$C531,#REF!,L$1))&gt;=1,"SIM","")</f>
        <v>#REF!</v>
      </c>
      <c r="M531" s="5" t="e">
        <f>IF((COUNTIFS(#REF!,$C531,#REF!,M$1))&gt;=1,"SIM","")</f>
        <v>#REF!</v>
      </c>
      <c r="N531" s="5" t="e">
        <f>IF((COUNTIFS(#REF!,$C531,#REF!,N$1))&gt;=1,"SIM","")</f>
        <v>#REF!</v>
      </c>
      <c r="O531" s="5"/>
      <c r="P531" s="5" t="e">
        <f>IF((COUNTIFS(#REF!,$C531,#REF!,P$1))&gt;=1,"SIM","")</f>
        <v>#REF!</v>
      </c>
      <c r="Q531" s="5" t="e">
        <f>IF((COUNTIFS(#REF!,$C531,#REF!,Q$1))&gt;=1,"SIM","")</f>
        <v>#REF!</v>
      </c>
      <c r="R531" s="5" t="e">
        <f>IF((COUNTIFS(#REF!,$C531,#REF!,"*CARTA*"))&gt;=1,"SIM","")</f>
        <v>#REF!</v>
      </c>
      <c r="S531" s="5" t="e">
        <f>IF((COUNTIFS(#REF!,$C531,#REF!,"*CARTA NOTIFICAÇÃO/DEVOL*"))&gt;=1,"SIM","")</f>
        <v>#REF!</v>
      </c>
      <c r="T531" s="5" t="e">
        <f>IF((COUNTIFS(#REF!,$C531,#REF!,"*LIGAÇÃO ATIVA DEV PRIN/LOC*"))&gt;=1,"SIM","")</f>
        <v>#REF!</v>
      </c>
    </row>
    <row r="532" spans="1:20">
      <c r="A532" s="24" t="s">
        <v>2153</v>
      </c>
      <c r="B532" s="24" t="s">
        <v>471</v>
      </c>
      <c r="C532" s="24" t="s">
        <v>472</v>
      </c>
      <c r="D532" s="5" t="e">
        <f>IF((COUNTIFS(#REF!,$C532,#REF!,"*163*"))&gt;=1,"SIM","")</f>
        <v>#REF!</v>
      </c>
      <c r="E532" s="5" t="e">
        <f>IF((COUNTIFS(#REF!,$C532,#REF!,E$1))&gt;=1,"SIM","")</f>
        <v>#REF!</v>
      </c>
      <c r="F532" s="5" t="e">
        <f>IF((COUNTIFS(#REF!,$C532,#REF!,F$1))&gt;=1,"SIM","")</f>
        <v>#REF!</v>
      </c>
      <c r="G532" s="5" t="e">
        <f>IF((COUNTIFS(#REF!,$C532,#REF!,"*606*"))&gt;=1,"SIM","")</f>
        <v>#REF!</v>
      </c>
      <c r="H532" s="5" t="e">
        <f>IF((COUNTIFS(#REF!,$C532,#REF!,"*605*"))&gt;=1,"SIM","")</f>
        <v>#REF!</v>
      </c>
      <c r="I532" s="5" t="e">
        <f>IF((COUNTIFS(#REF!,$C532,#REF!,I$1))&gt;=1,"SIM","")</f>
        <v>#REF!</v>
      </c>
      <c r="J532" s="5" t="e">
        <f>IF((COUNTIFS(#REF!,$C532,#REF!,J$1))&gt;=1,"SIM","")</f>
        <v>#REF!</v>
      </c>
      <c r="K532" s="5" t="e">
        <f>IF((COUNTIFS(#REF!,$C532,#REF!,K$1))&gt;=1,"SIM","")</f>
        <v>#REF!</v>
      </c>
      <c r="L532" s="5" t="e">
        <f>IF((COUNTIFS(#REF!,$C532,#REF!,L$1))&gt;=1,"SIM","")</f>
        <v>#REF!</v>
      </c>
      <c r="M532" s="5" t="e">
        <f>IF((COUNTIFS(#REF!,$C532,#REF!,M$1))&gt;=1,"SIM","")</f>
        <v>#REF!</v>
      </c>
      <c r="N532" s="5" t="e">
        <f>IF((COUNTIFS(#REF!,$C532,#REF!,N$1))&gt;=1,"SIM","")</f>
        <v>#REF!</v>
      </c>
      <c r="O532" s="5"/>
      <c r="P532" s="5" t="e">
        <f>IF((COUNTIFS(#REF!,$C532,#REF!,P$1))&gt;=1,"SIM","")</f>
        <v>#REF!</v>
      </c>
      <c r="Q532" s="5" t="e">
        <f>IF((COUNTIFS(#REF!,$C532,#REF!,Q$1))&gt;=1,"SIM","")</f>
        <v>#REF!</v>
      </c>
      <c r="R532" s="5" t="e">
        <f>IF((COUNTIFS(#REF!,$C532,#REF!,"*CARTA*"))&gt;=1,"SIM","")</f>
        <v>#REF!</v>
      </c>
      <c r="S532" s="5" t="e">
        <f>IF((COUNTIFS(#REF!,$C532,#REF!,"*CARTA NOTIFICAÇÃO/DEVOL*"))&gt;=1,"SIM","")</f>
        <v>#REF!</v>
      </c>
      <c r="T532" s="5" t="e">
        <f>IF((COUNTIFS(#REF!,$C532,#REF!,"*LIGAÇÃO ATIVA DEV PRIN/LOC*"))&gt;=1,"SIM","")</f>
        <v>#REF!</v>
      </c>
    </row>
    <row r="533" spans="1:20">
      <c r="A533" s="24" t="s">
        <v>2159</v>
      </c>
      <c r="B533" s="24" t="s">
        <v>1541</v>
      </c>
      <c r="C533" s="24" t="s">
        <v>1542</v>
      </c>
      <c r="D533" s="5" t="e">
        <f>IF((COUNTIFS(#REF!,$C533,#REF!,"*163*"))&gt;=1,"SIM","")</f>
        <v>#REF!</v>
      </c>
      <c r="E533" s="5" t="e">
        <f>IF((COUNTIFS(#REF!,$C533,#REF!,E$1))&gt;=1,"SIM","")</f>
        <v>#REF!</v>
      </c>
      <c r="F533" s="5" t="e">
        <f>IF((COUNTIFS(#REF!,$C533,#REF!,F$1))&gt;=1,"SIM","")</f>
        <v>#REF!</v>
      </c>
      <c r="G533" s="5" t="e">
        <f>IF((COUNTIFS(#REF!,$C533,#REF!,"*606*"))&gt;=1,"SIM","")</f>
        <v>#REF!</v>
      </c>
      <c r="H533" s="5" t="e">
        <f>IF((COUNTIFS(#REF!,$C533,#REF!,"*605*"))&gt;=1,"SIM","")</f>
        <v>#REF!</v>
      </c>
      <c r="I533" s="5" t="e">
        <f>IF((COUNTIFS(#REF!,$C533,#REF!,I$1))&gt;=1,"SIM","")</f>
        <v>#REF!</v>
      </c>
      <c r="J533" s="5" t="e">
        <f>IF((COUNTIFS(#REF!,$C533,#REF!,J$1))&gt;=1,"SIM","")</f>
        <v>#REF!</v>
      </c>
      <c r="K533" s="5" t="e">
        <f>IF((COUNTIFS(#REF!,$C533,#REF!,K$1))&gt;=1,"SIM","")</f>
        <v>#REF!</v>
      </c>
      <c r="L533" s="5" t="e">
        <f>IF((COUNTIFS(#REF!,$C533,#REF!,L$1))&gt;=1,"SIM","")</f>
        <v>#REF!</v>
      </c>
      <c r="M533" s="5" t="e">
        <f>IF((COUNTIFS(#REF!,$C533,#REF!,M$1))&gt;=1,"SIM","")</f>
        <v>#REF!</v>
      </c>
      <c r="N533" s="5" t="e">
        <f>IF((COUNTIFS(#REF!,$C533,#REF!,N$1))&gt;=1,"SIM","")</f>
        <v>#REF!</v>
      </c>
      <c r="O533" s="5"/>
      <c r="P533" s="5" t="e">
        <f>IF((COUNTIFS(#REF!,$C533,#REF!,P$1))&gt;=1,"SIM","")</f>
        <v>#REF!</v>
      </c>
      <c r="Q533" s="5" t="e">
        <f>IF((COUNTIFS(#REF!,$C533,#REF!,Q$1))&gt;=1,"SIM","")</f>
        <v>#REF!</v>
      </c>
      <c r="R533" s="5" t="e">
        <f>IF((COUNTIFS(#REF!,$C533,#REF!,"*CARTA*"))&gt;=1,"SIM","")</f>
        <v>#REF!</v>
      </c>
      <c r="S533" s="5" t="e">
        <f>IF((COUNTIFS(#REF!,$C533,#REF!,"*CARTA NOTIFICAÇÃO/DEVOL*"))&gt;=1,"SIM","")</f>
        <v>#REF!</v>
      </c>
      <c r="T533" s="5" t="e">
        <f>IF((COUNTIFS(#REF!,$C533,#REF!,"*LIGAÇÃO ATIVA DEV PRIN/LOC*"))&gt;=1,"SIM","")</f>
        <v>#REF!</v>
      </c>
    </row>
    <row r="534" spans="1:20">
      <c r="A534" s="24" t="s">
        <v>2157</v>
      </c>
      <c r="B534" s="24" t="s">
        <v>1758</v>
      </c>
      <c r="C534" s="24" t="s">
        <v>1759</v>
      </c>
      <c r="D534" s="5" t="e">
        <f>IF((COUNTIFS(#REF!,$C534,#REF!,"*163*"))&gt;=1,"SIM","")</f>
        <v>#REF!</v>
      </c>
      <c r="E534" s="5" t="e">
        <f>IF((COUNTIFS(#REF!,$C534,#REF!,E$1))&gt;=1,"SIM","")</f>
        <v>#REF!</v>
      </c>
      <c r="F534" s="5" t="e">
        <f>IF((COUNTIFS(#REF!,$C534,#REF!,F$1))&gt;=1,"SIM","")</f>
        <v>#REF!</v>
      </c>
      <c r="G534" s="5" t="e">
        <f>IF((COUNTIFS(#REF!,$C534,#REF!,"*606*"))&gt;=1,"SIM","")</f>
        <v>#REF!</v>
      </c>
      <c r="H534" s="5" t="e">
        <f>IF((COUNTIFS(#REF!,$C534,#REF!,"*605*"))&gt;=1,"SIM","")</f>
        <v>#REF!</v>
      </c>
      <c r="I534" s="5" t="e">
        <f>IF((COUNTIFS(#REF!,$C534,#REF!,I$1))&gt;=1,"SIM","")</f>
        <v>#REF!</v>
      </c>
      <c r="J534" s="5" t="e">
        <f>IF((COUNTIFS(#REF!,$C534,#REF!,J$1))&gt;=1,"SIM","")</f>
        <v>#REF!</v>
      </c>
      <c r="K534" s="5" t="e">
        <f>IF((COUNTIFS(#REF!,$C534,#REF!,K$1))&gt;=1,"SIM","")</f>
        <v>#REF!</v>
      </c>
      <c r="L534" s="5" t="e">
        <f>IF((COUNTIFS(#REF!,$C534,#REF!,L$1))&gt;=1,"SIM","")</f>
        <v>#REF!</v>
      </c>
      <c r="M534" s="5" t="e">
        <f>IF((COUNTIFS(#REF!,$C534,#REF!,M$1))&gt;=1,"SIM","")</f>
        <v>#REF!</v>
      </c>
      <c r="N534" s="5" t="e">
        <f>IF((COUNTIFS(#REF!,$C534,#REF!,N$1))&gt;=1,"SIM","")</f>
        <v>#REF!</v>
      </c>
      <c r="O534" s="5"/>
      <c r="P534" s="5" t="e">
        <f>IF((COUNTIFS(#REF!,$C534,#REF!,P$1))&gt;=1,"SIM","")</f>
        <v>#REF!</v>
      </c>
      <c r="Q534" s="5" t="e">
        <f>IF((COUNTIFS(#REF!,$C534,#REF!,Q$1))&gt;=1,"SIM","")</f>
        <v>#REF!</v>
      </c>
      <c r="R534" s="5" t="e">
        <f>IF((COUNTIFS(#REF!,$C534,#REF!,"*CARTA*"))&gt;=1,"SIM","")</f>
        <v>#REF!</v>
      </c>
      <c r="S534" s="5" t="e">
        <f>IF((COUNTIFS(#REF!,$C534,#REF!,"*CARTA NOTIFICAÇÃO/DEVOL*"))&gt;=1,"SIM","")</f>
        <v>#REF!</v>
      </c>
      <c r="T534" s="5" t="e">
        <f>IF((COUNTIFS(#REF!,$C534,#REF!,"*LIGAÇÃO ATIVA DEV PRIN/LOC*"))&gt;=1,"SIM","")</f>
        <v>#REF!</v>
      </c>
    </row>
    <row r="535" spans="1:20">
      <c r="A535" s="24" t="s">
        <v>2157</v>
      </c>
      <c r="B535" s="24" t="s">
        <v>1985</v>
      </c>
      <c r="C535" s="24" t="s">
        <v>1986</v>
      </c>
      <c r="D535" s="5" t="e">
        <f>IF((COUNTIFS(#REF!,$C535,#REF!,"*163*"))&gt;=1,"SIM","")</f>
        <v>#REF!</v>
      </c>
      <c r="E535" s="5" t="e">
        <f>IF((COUNTIFS(#REF!,$C535,#REF!,E$1))&gt;=1,"SIM","")</f>
        <v>#REF!</v>
      </c>
      <c r="F535" s="5" t="e">
        <f>IF((COUNTIFS(#REF!,$C535,#REF!,F$1))&gt;=1,"SIM","")</f>
        <v>#REF!</v>
      </c>
      <c r="G535" s="5" t="e">
        <f>IF((COUNTIFS(#REF!,$C535,#REF!,"*606*"))&gt;=1,"SIM","")</f>
        <v>#REF!</v>
      </c>
      <c r="H535" s="5" t="e">
        <f>IF((COUNTIFS(#REF!,$C535,#REF!,"*605*"))&gt;=1,"SIM","")</f>
        <v>#REF!</v>
      </c>
      <c r="I535" s="5" t="e">
        <f>IF((COUNTIFS(#REF!,$C535,#REF!,I$1))&gt;=1,"SIM","")</f>
        <v>#REF!</v>
      </c>
      <c r="J535" s="5" t="e">
        <f>IF((COUNTIFS(#REF!,$C535,#REF!,J$1))&gt;=1,"SIM","")</f>
        <v>#REF!</v>
      </c>
      <c r="K535" s="5" t="e">
        <f>IF((COUNTIFS(#REF!,$C535,#REF!,K$1))&gt;=1,"SIM","")</f>
        <v>#REF!</v>
      </c>
      <c r="L535" s="5" t="e">
        <f>IF((COUNTIFS(#REF!,$C535,#REF!,L$1))&gt;=1,"SIM","")</f>
        <v>#REF!</v>
      </c>
      <c r="M535" s="5" t="e">
        <f>IF((COUNTIFS(#REF!,$C535,#REF!,M$1))&gt;=1,"SIM","")</f>
        <v>#REF!</v>
      </c>
      <c r="N535" s="5" t="e">
        <f>IF((COUNTIFS(#REF!,$C535,#REF!,N$1))&gt;=1,"SIM","")</f>
        <v>#REF!</v>
      </c>
      <c r="O535" s="5"/>
      <c r="P535" s="5" t="e">
        <f>IF((COUNTIFS(#REF!,$C535,#REF!,P$1))&gt;=1,"SIM","")</f>
        <v>#REF!</v>
      </c>
      <c r="Q535" s="5" t="e">
        <f>IF((COUNTIFS(#REF!,$C535,#REF!,Q$1))&gt;=1,"SIM","")</f>
        <v>#REF!</v>
      </c>
      <c r="R535" s="5" t="e">
        <f>IF((COUNTIFS(#REF!,$C535,#REF!,"*CARTA*"))&gt;=1,"SIM","")</f>
        <v>#REF!</v>
      </c>
      <c r="S535" s="5" t="e">
        <f>IF((COUNTIFS(#REF!,$C535,#REF!,"*CARTA NOTIFICAÇÃO/DEVOL*"))&gt;=1,"SIM","")</f>
        <v>#REF!</v>
      </c>
      <c r="T535" s="5" t="e">
        <f>IF((COUNTIFS(#REF!,$C535,#REF!,"*LIGAÇÃO ATIVA DEV PRIN/LOC*"))&gt;=1,"SIM","")</f>
        <v>#REF!</v>
      </c>
    </row>
    <row r="536" spans="1:20">
      <c r="A536" s="24" t="s">
        <v>2153</v>
      </c>
      <c r="B536" s="24" t="s">
        <v>710</v>
      </c>
      <c r="C536" s="24" t="s">
        <v>711</v>
      </c>
      <c r="D536" s="5" t="e">
        <f>IF((COUNTIFS(#REF!,$C536,#REF!,"*163*"))&gt;=1,"SIM","")</f>
        <v>#REF!</v>
      </c>
      <c r="E536" s="5" t="e">
        <f>IF((COUNTIFS(#REF!,$C536,#REF!,E$1))&gt;=1,"SIM","")</f>
        <v>#REF!</v>
      </c>
      <c r="F536" s="5" t="e">
        <f>IF((COUNTIFS(#REF!,$C536,#REF!,F$1))&gt;=1,"SIM","")</f>
        <v>#REF!</v>
      </c>
      <c r="G536" s="5" t="e">
        <f>IF((COUNTIFS(#REF!,$C536,#REF!,"*606*"))&gt;=1,"SIM","")</f>
        <v>#REF!</v>
      </c>
      <c r="H536" s="5" t="e">
        <f>IF((COUNTIFS(#REF!,$C536,#REF!,"*605*"))&gt;=1,"SIM","")</f>
        <v>#REF!</v>
      </c>
      <c r="I536" s="5" t="e">
        <f>IF((COUNTIFS(#REF!,$C536,#REF!,I$1))&gt;=1,"SIM","")</f>
        <v>#REF!</v>
      </c>
      <c r="J536" s="5" t="e">
        <f>IF((COUNTIFS(#REF!,$C536,#REF!,J$1))&gt;=1,"SIM","")</f>
        <v>#REF!</v>
      </c>
      <c r="K536" s="5" t="e">
        <f>IF((COUNTIFS(#REF!,$C536,#REF!,K$1))&gt;=1,"SIM","")</f>
        <v>#REF!</v>
      </c>
      <c r="L536" s="5" t="e">
        <f>IF((COUNTIFS(#REF!,$C536,#REF!,L$1))&gt;=1,"SIM","")</f>
        <v>#REF!</v>
      </c>
      <c r="M536" s="5" t="e">
        <f>IF((COUNTIFS(#REF!,$C536,#REF!,M$1))&gt;=1,"SIM","")</f>
        <v>#REF!</v>
      </c>
      <c r="N536" s="5" t="e">
        <f>IF((COUNTIFS(#REF!,$C536,#REF!,N$1))&gt;=1,"SIM","")</f>
        <v>#REF!</v>
      </c>
      <c r="O536" s="5"/>
      <c r="P536" s="5" t="e">
        <f>IF((COUNTIFS(#REF!,$C536,#REF!,P$1))&gt;=1,"SIM","")</f>
        <v>#REF!</v>
      </c>
      <c r="Q536" s="5" t="e">
        <f>IF((COUNTIFS(#REF!,$C536,#REF!,Q$1))&gt;=1,"SIM","")</f>
        <v>#REF!</v>
      </c>
      <c r="R536" s="5" t="e">
        <f>IF((COUNTIFS(#REF!,$C536,#REF!,"*CARTA*"))&gt;=1,"SIM","")</f>
        <v>#REF!</v>
      </c>
      <c r="S536" s="5" t="e">
        <f>IF((COUNTIFS(#REF!,$C536,#REF!,"*CARTA NOTIFICAÇÃO/DEVOL*"))&gt;=1,"SIM","")</f>
        <v>#REF!</v>
      </c>
      <c r="T536" s="5" t="e">
        <f>IF((COUNTIFS(#REF!,$C536,#REF!,"*LIGAÇÃO ATIVA DEV PRIN/LOC*"))&gt;=1,"SIM","")</f>
        <v>#REF!</v>
      </c>
    </row>
    <row r="537" spans="1:20">
      <c r="A537" s="24" t="s">
        <v>2153</v>
      </c>
      <c r="B537" s="24" t="s">
        <v>424</v>
      </c>
      <c r="C537" s="24" t="s">
        <v>425</v>
      </c>
      <c r="D537" s="5" t="e">
        <f>IF((COUNTIFS(#REF!,$C537,#REF!,"*163*"))&gt;=1,"SIM","")</f>
        <v>#REF!</v>
      </c>
      <c r="E537" s="5" t="e">
        <f>IF((COUNTIFS(#REF!,$C537,#REF!,E$1))&gt;=1,"SIM","")</f>
        <v>#REF!</v>
      </c>
      <c r="F537" s="5" t="e">
        <f>IF((COUNTIFS(#REF!,$C537,#REF!,F$1))&gt;=1,"SIM","")</f>
        <v>#REF!</v>
      </c>
      <c r="G537" s="5" t="e">
        <f>IF((COUNTIFS(#REF!,$C537,#REF!,"*606*"))&gt;=1,"SIM","")</f>
        <v>#REF!</v>
      </c>
      <c r="H537" s="5" t="e">
        <f>IF((COUNTIFS(#REF!,$C537,#REF!,"*605*"))&gt;=1,"SIM","")</f>
        <v>#REF!</v>
      </c>
      <c r="I537" s="5" t="e">
        <f>IF((COUNTIFS(#REF!,$C537,#REF!,I$1))&gt;=1,"SIM","")</f>
        <v>#REF!</v>
      </c>
      <c r="J537" s="5" t="e">
        <f>IF((COUNTIFS(#REF!,$C537,#REF!,J$1))&gt;=1,"SIM","")</f>
        <v>#REF!</v>
      </c>
      <c r="K537" s="5" t="e">
        <f>IF((COUNTIFS(#REF!,$C537,#REF!,K$1))&gt;=1,"SIM","")</f>
        <v>#REF!</v>
      </c>
      <c r="L537" s="5" t="e">
        <f>IF((COUNTIFS(#REF!,$C537,#REF!,L$1))&gt;=1,"SIM","")</f>
        <v>#REF!</v>
      </c>
      <c r="M537" s="5" t="e">
        <f>IF((COUNTIFS(#REF!,$C537,#REF!,M$1))&gt;=1,"SIM","")</f>
        <v>#REF!</v>
      </c>
      <c r="N537" s="5" t="e">
        <f>IF((COUNTIFS(#REF!,$C537,#REF!,N$1))&gt;=1,"SIM","")</f>
        <v>#REF!</v>
      </c>
      <c r="O537" s="5"/>
      <c r="P537" s="5" t="e">
        <f>IF((COUNTIFS(#REF!,$C537,#REF!,P$1))&gt;=1,"SIM","")</f>
        <v>#REF!</v>
      </c>
      <c r="Q537" s="5" t="e">
        <f>IF((COUNTIFS(#REF!,$C537,#REF!,Q$1))&gt;=1,"SIM","")</f>
        <v>#REF!</v>
      </c>
      <c r="R537" s="5" t="e">
        <f>IF((COUNTIFS(#REF!,$C537,#REF!,"*CARTA*"))&gt;=1,"SIM","")</f>
        <v>#REF!</v>
      </c>
      <c r="S537" s="5" t="e">
        <f>IF((COUNTIFS(#REF!,$C537,#REF!,"*CARTA NOTIFICAÇÃO/DEVOL*"))&gt;=1,"SIM","")</f>
        <v>#REF!</v>
      </c>
      <c r="T537" s="5" t="e">
        <f>IF((COUNTIFS(#REF!,$C537,#REF!,"*LIGAÇÃO ATIVA DEV PRIN/LOC*"))&gt;=1,"SIM","")</f>
        <v>#REF!</v>
      </c>
    </row>
    <row r="538" spans="1:20">
      <c r="A538" s="24" t="s">
        <v>2155</v>
      </c>
      <c r="B538" s="24" t="s">
        <v>166</v>
      </c>
      <c r="C538" s="24" t="s">
        <v>167</v>
      </c>
      <c r="D538" s="5" t="e">
        <f>IF((COUNTIFS(#REF!,$C538,#REF!,"*163*"))&gt;=1,"SIM","")</f>
        <v>#REF!</v>
      </c>
      <c r="E538" s="5" t="e">
        <f>IF((COUNTIFS(#REF!,$C538,#REF!,E$1))&gt;=1,"SIM","")</f>
        <v>#REF!</v>
      </c>
      <c r="F538" s="5" t="e">
        <f>IF((COUNTIFS(#REF!,$C538,#REF!,F$1))&gt;=1,"SIM","")</f>
        <v>#REF!</v>
      </c>
      <c r="G538" s="5" t="e">
        <f>IF((COUNTIFS(#REF!,$C538,#REF!,"*606*"))&gt;=1,"SIM","")</f>
        <v>#REF!</v>
      </c>
      <c r="H538" s="5" t="e">
        <f>IF((COUNTIFS(#REF!,$C538,#REF!,"*605*"))&gt;=1,"SIM","")</f>
        <v>#REF!</v>
      </c>
      <c r="I538" s="5" t="e">
        <f>IF((COUNTIFS(#REF!,$C538,#REF!,I$1))&gt;=1,"SIM","")</f>
        <v>#REF!</v>
      </c>
      <c r="J538" s="5" t="e">
        <f>IF((COUNTIFS(#REF!,$C538,#REF!,J$1))&gt;=1,"SIM","")</f>
        <v>#REF!</v>
      </c>
      <c r="K538" s="5" t="e">
        <f>IF((COUNTIFS(#REF!,$C538,#REF!,K$1))&gt;=1,"SIM","")</f>
        <v>#REF!</v>
      </c>
      <c r="L538" s="5" t="e">
        <f>IF((COUNTIFS(#REF!,$C538,#REF!,L$1))&gt;=1,"SIM","")</f>
        <v>#REF!</v>
      </c>
      <c r="M538" s="5" t="e">
        <f>IF((COUNTIFS(#REF!,$C538,#REF!,M$1))&gt;=1,"SIM","")</f>
        <v>#REF!</v>
      </c>
      <c r="N538" s="5" t="e">
        <f>IF((COUNTIFS(#REF!,$C538,#REF!,N$1))&gt;=1,"SIM","")</f>
        <v>#REF!</v>
      </c>
      <c r="O538" s="5"/>
      <c r="P538" s="5" t="e">
        <f>IF((COUNTIFS(#REF!,$C538,#REF!,P$1))&gt;=1,"SIM","")</f>
        <v>#REF!</v>
      </c>
      <c r="Q538" s="5" t="e">
        <f>IF((COUNTIFS(#REF!,$C538,#REF!,Q$1))&gt;=1,"SIM","")</f>
        <v>#REF!</v>
      </c>
      <c r="R538" s="5" t="e">
        <f>IF((COUNTIFS(#REF!,$C538,#REF!,"*CARTA*"))&gt;=1,"SIM","")</f>
        <v>#REF!</v>
      </c>
      <c r="S538" s="5" t="e">
        <f>IF((COUNTIFS(#REF!,$C538,#REF!,"*CARTA NOTIFICAÇÃO/DEVOL*"))&gt;=1,"SIM","")</f>
        <v>#REF!</v>
      </c>
      <c r="T538" s="5" t="e">
        <f>IF((COUNTIFS(#REF!,$C538,#REF!,"*LIGAÇÃO ATIVA DEV PRIN/LOC*"))&gt;=1,"SIM","")</f>
        <v>#REF!</v>
      </c>
    </row>
    <row r="539" spans="1:20">
      <c r="A539" s="24" t="s">
        <v>2157</v>
      </c>
      <c r="B539" s="24" t="s">
        <v>2120</v>
      </c>
      <c r="C539" s="24" t="s">
        <v>2121</v>
      </c>
      <c r="D539" s="5" t="e">
        <f>IF((COUNTIFS(#REF!,$C539,#REF!,"*163*"))&gt;=1,"SIM","")</f>
        <v>#REF!</v>
      </c>
      <c r="E539" s="5" t="e">
        <f>IF((COUNTIFS(#REF!,$C539,#REF!,E$1))&gt;=1,"SIM","")</f>
        <v>#REF!</v>
      </c>
      <c r="F539" s="5" t="e">
        <f>IF((COUNTIFS(#REF!,$C539,#REF!,F$1))&gt;=1,"SIM","")</f>
        <v>#REF!</v>
      </c>
      <c r="G539" s="5" t="e">
        <f>IF((COUNTIFS(#REF!,$C539,#REF!,"*606*"))&gt;=1,"SIM","")</f>
        <v>#REF!</v>
      </c>
      <c r="H539" s="5" t="e">
        <f>IF((COUNTIFS(#REF!,$C539,#REF!,"*605*"))&gt;=1,"SIM","")</f>
        <v>#REF!</v>
      </c>
      <c r="I539" s="5" t="e">
        <f>IF((COUNTIFS(#REF!,$C539,#REF!,I$1))&gt;=1,"SIM","")</f>
        <v>#REF!</v>
      </c>
      <c r="J539" s="5" t="e">
        <f>IF((COUNTIFS(#REF!,$C539,#REF!,J$1))&gt;=1,"SIM","")</f>
        <v>#REF!</v>
      </c>
      <c r="K539" s="5" t="e">
        <f>IF((COUNTIFS(#REF!,$C539,#REF!,K$1))&gt;=1,"SIM","")</f>
        <v>#REF!</v>
      </c>
      <c r="L539" s="5" t="e">
        <f>IF((COUNTIFS(#REF!,$C539,#REF!,L$1))&gt;=1,"SIM","")</f>
        <v>#REF!</v>
      </c>
      <c r="M539" s="5" t="e">
        <f>IF((COUNTIFS(#REF!,$C539,#REF!,M$1))&gt;=1,"SIM","")</f>
        <v>#REF!</v>
      </c>
      <c r="N539" s="5" t="e">
        <f>IF((COUNTIFS(#REF!,$C539,#REF!,N$1))&gt;=1,"SIM","")</f>
        <v>#REF!</v>
      </c>
      <c r="O539" s="5"/>
      <c r="P539" s="5" t="e">
        <f>IF((COUNTIFS(#REF!,$C539,#REF!,P$1))&gt;=1,"SIM","")</f>
        <v>#REF!</v>
      </c>
      <c r="Q539" s="5" t="e">
        <f>IF((COUNTIFS(#REF!,$C539,#REF!,Q$1))&gt;=1,"SIM","")</f>
        <v>#REF!</v>
      </c>
      <c r="R539" s="5" t="e">
        <f>IF((COUNTIFS(#REF!,$C539,#REF!,"*CARTA*"))&gt;=1,"SIM","")</f>
        <v>#REF!</v>
      </c>
      <c r="S539" s="5" t="e">
        <f>IF((COUNTIFS(#REF!,$C539,#REF!,"*CARTA NOTIFICAÇÃO/DEVOL*"))&gt;=1,"SIM","")</f>
        <v>#REF!</v>
      </c>
      <c r="T539" s="5" t="e">
        <f>IF((COUNTIFS(#REF!,$C539,#REF!,"*LIGAÇÃO ATIVA DEV PRIN/LOC*"))&gt;=1,"SIM","")</f>
        <v>#REF!</v>
      </c>
    </row>
    <row r="540" spans="1:20">
      <c r="A540" s="24" t="s">
        <v>2153</v>
      </c>
      <c r="B540" s="24" t="s">
        <v>307</v>
      </c>
      <c r="C540" s="24" t="s">
        <v>308</v>
      </c>
      <c r="D540" s="5" t="e">
        <f>IF((COUNTIFS(#REF!,$C540,#REF!,"*163*"))&gt;=1,"SIM","")</f>
        <v>#REF!</v>
      </c>
      <c r="E540" s="5" t="e">
        <f>IF((COUNTIFS(#REF!,$C540,#REF!,E$1))&gt;=1,"SIM","")</f>
        <v>#REF!</v>
      </c>
      <c r="F540" s="5" t="e">
        <f>IF((COUNTIFS(#REF!,$C540,#REF!,F$1))&gt;=1,"SIM","")</f>
        <v>#REF!</v>
      </c>
      <c r="G540" s="5" t="e">
        <f>IF((COUNTIFS(#REF!,$C540,#REF!,"*606*"))&gt;=1,"SIM","")</f>
        <v>#REF!</v>
      </c>
      <c r="H540" s="5" t="e">
        <f>IF((COUNTIFS(#REF!,$C540,#REF!,"*605*"))&gt;=1,"SIM","")</f>
        <v>#REF!</v>
      </c>
      <c r="I540" s="5" t="e">
        <f>IF((COUNTIFS(#REF!,$C540,#REF!,I$1))&gt;=1,"SIM","")</f>
        <v>#REF!</v>
      </c>
      <c r="J540" s="5" t="e">
        <f>IF((COUNTIFS(#REF!,$C540,#REF!,J$1))&gt;=1,"SIM","")</f>
        <v>#REF!</v>
      </c>
      <c r="K540" s="5" t="e">
        <f>IF((COUNTIFS(#REF!,$C540,#REF!,K$1))&gt;=1,"SIM","")</f>
        <v>#REF!</v>
      </c>
      <c r="L540" s="5" t="e">
        <f>IF((COUNTIFS(#REF!,$C540,#REF!,L$1))&gt;=1,"SIM","")</f>
        <v>#REF!</v>
      </c>
      <c r="M540" s="5" t="e">
        <f>IF((COUNTIFS(#REF!,$C540,#REF!,M$1))&gt;=1,"SIM","")</f>
        <v>#REF!</v>
      </c>
      <c r="N540" s="5" t="e">
        <f>IF((COUNTIFS(#REF!,$C540,#REF!,N$1))&gt;=1,"SIM","")</f>
        <v>#REF!</v>
      </c>
      <c r="O540" s="5"/>
      <c r="P540" s="5" t="e">
        <f>IF((COUNTIFS(#REF!,$C540,#REF!,P$1))&gt;=1,"SIM","")</f>
        <v>#REF!</v>
      </c>
      <c r="Q540" s="5" t="e">
        <f>IF((COUNTIFS(#REF!,$C540,#REF!,Q$1))&gt;=1,"SIM","")</f>
        <v>#REF!</v>
      </c>
      <c r="R540" s="5" t="e">
        <f>IF((COUNTIFS(#REF!,$C540,#REF!,"*CARTA*"))&gt;=1,"SIM","")</f>
        <v>#REF!</v>
      </c>
      <c r="S540" s="5" t="e">
        <f>IF((COUNTIFS(#REF!,$C540,#REF!,"*CARTA NOTIFICAÇÃO/DEVOL*"))&gt;=1,"SIM","")</f>
        <v>#REF!</v>
      </c>
      <c r="T540" s="5" t="e">
        <f>IF((COUNTIFS(#REF!,$C540,#REF!,"*LIGAÇÃO ATIVA DEV PRIN/LOC*"))&gt;=1,"SIM","")</f>
        <v>#REF!</v>
      </c>
    </row>
    <row r="541" spans="1:20">
      <c r="A541" s="24" t="s">
        <v>2159</v>
      </c>
      <c r="B541" s="24" t="s">
        <v>1458</v>
      </c>
      <c r="C541" s="24" t="s">
        <v>1459</v>
      </c>
      <c r="D541" s="5" t="e">
        <f>IF((COUNTIFS(#REF!,$C541,#REF!,"*163*"))&gt;=1,"SIM","")</f>
        <v>#REF!</v>
      </c>
      <c r="E541" s="5" t="e">
        <f>IF((COUNTIFS(#REF!,$C541,#REF!,E$1))&gt;=1,"SIM","")</f>
        <v>#REF!</v>
      </c>
      <c r="F541" s="5" t="e">
        <f>IF((COUNTIFS(#REF!,$C541,#REF!,F$1))&gt;=1,"SIM","")</f>
        <v>#REF!</v>
      </c>
      <c r="G541" s="5" t="e">
        <f>IF((COUNTIFS(#REF!,$C541,#REF!,"*606*"))&gt;=1,"SIM","")</f>
        <v>#REF!</v>
      </c>
      <c r="H541" s="5" t="e">
        <f>IF((COUNTIFS(#REF!,$C541,#REF!,"*605*"))&gt;=1,"SIM","")</f>
        <v>#REF!</v>
      </c>
      <c r="I541" s="5" t="e">
        <f>IF((COUNTIFS(#REF!,$C541,#REF!,I$1))&gt;=1,"SIM","")</f>
        <v>#REF!</v>
      </c>
      <c r="J541" s="5" t="e">
        <f>IF((COUNTIFS(#REF!,$C541,#REF!,J$1))&gt;=1,"SIM","")</f>
        <v>#REF!</v>
      </c>
      <c r="K541" s="5" t="e">
        <f>IF((COUNTIFS(#REF!,$C541,#REF!,K$1))&gt;=1,"SIM","")</f>
        <v>#REF!</v>
      </c>
      <c r="L541" s="5" t="e">
        <f>IF((COUNTIFS(#REF!,$C541,#REF!,L$1))&gt;=1,"SIM","")</f>
        <v>#REF!</v>
      </c>
      <c r="M541" s="5" t="e">
        <f>IF((COUNTIFS(#REF!,$C541,#REF!,M$1))&gt;=1,"SIM","")</f>
        <v>#REF!</v>
      </c>
      <c r="N541" s="5" t="e">
        <f>IF((COUNTIFS(#REF!,$C541,#REF!,N$1))&gt;=1,"SIM","")</f>
        <v>#REF!</v>
      </c>
      <c r="O541" s="5"/>
      <c r="P541" s="5" t="e">
        <f>IF((COUNTIFS(#REF!,$C541,#REF!,P$1))&gt;=1,"SIM","")</f>
        <v>#REF!</v>
      </c>
      <c r="Q541" s="5" t="e">
        <f>IF((COUNTIFS(#REF!,$C541,#REF!,Q$1))&gt;=1,"SIM","")</f>
        <v>#REF!</v>
      </c>
      <c r="R541" s="5" t="e">
        <f>IF((COUNTIFS(#REF!,$C541,#REF!,"*CARTA*"))&gt;=1,"SIM","")</f>
        <v>#REF!</v>
      </c>
      <c r="S541" s="5" t="e">
        <f>IF((COUNTIFS(#REF!,$C541,#REF!,"*CARTA NOTIFICAÇÃO/DEVOL*"))&gt;=1,"SIM","")</f>
        <v>#REF!</v>
      </c>
      <c r="T541" s="5" t="e">
        <f>IF((COUNTIFS(#REF!,$C541,#REF!,"*LIGAÇÃO ATIVA DEV PRIN/LOC*"))&gt;=1,"SIM","")</f>
        <v>#REF!</v>
      </c>
    </row>
    <row r="542" spans="1:20">
      <c r="A542" s="24" t="s">
        <v>2157</v>
      </c>
      <c r="B542" s="24" t="s">
        <v>1453</v>
      </c>
      <c r="C542" s="24" t="s">
        <v>1454</v>
      </c>
      <c r="D542" s="5" t="e">
        <f>IF((COUNTIFS(#REF!,$C542,#REF!,"*163*"))&gt;=1,"SIM","")</f>
        <v>#REF!</v>
      </c>
      <c r="E542" s="5" t="e">
        <f>IF((COUNTIFS(#REF!,$C542,#REF!,E$1))&gt;=1,"SIM","")</f>
        <v>#REF!</v>
      </c>
      <c r="F542" s="5" t="e">
        <f>IF((COUNTIFS(#REF!,$C542,#REF!,F$1))&gt;=1,"SIM","")</f>
        <v>#REF!</v>
      </c>
      <c r="G542" s="5" t="e">
        <f>IF((COUNTIFS(#REF!,$C542,#REF!,"*606*"))&gt;=1,"SIM","")</f>
        <v>#REF!</v>
      </c>
      <c r="H542" s="5" t="e">
        <f>IF((COUNTIFS(#REF!,$C542,#REF!,"*605*"))&gt;=1,"SIM","")</f>
        <v>#REF!</v>
      </c>
      <c r="I542" s="5" t="e">
        <f>IF((COUNTIFS(#REF!,$C542,#REF!,I$1))&gt;=1,"SIM","")</f>
        <v>#REF!</v>
      </c>
      <c r="J542" s="5" t="e">
        <f>IF((COUNTIFS(#REF!,$C542,#REF!,J$1))&gt;=1,"SIM","")</f>
        <v>#REF!</v>
      </c>
      <c r="K542" s="5" t="e">
        <f>IF((COUNTIFS(#REF!,$C542,#REF!,K$1))&gt;=1,"SIM","")</f>
        <v>#REF!</v>
      </c>
      <c r="L542" s="5" t="e">
        <f>IF((COUNTIFS(#REF!,$C542,#REF!,L$1))&gt;=1,"SIM","")</f>
        <v>#REF!</v>
      </c>
      <c r="M542" s="5" t="e">
        <f>IF((COUNTIFS(#REF!,$C542,#REF!,M$1))&gt;=1,"SIM","")</f>
        <v>#REF!</v>
      </c>
      <c r="N542" s="5" t="e">
        <f>IF((COUNTIFS(#REF!,$C542,#REF!,N$1))&gt;=1,"SIM","")</f>
        <v>#REF!</v>
      </c>
      <c r="O542" s="5"/>
      <c r="P542" s="5" t="e">
        <f>IF((COUNTIFS(#REF!,$C542,#REF!,P$1))&gt;=1,"SIM","")</f>
        <v>#REF!</v>
      </c>
      <c r="Q542" s="5" t="e">
        <f>IF((COUNTIFS(#REF!,$C542,#REF!,Q$1))&gt;=1,"SIM","")</f>
        <v>#REF!</v>
      </c>
      <c r="R542" s="5" t="e">
        <f>IF((COUNTIFS(#REF!,$C542,#REF!,"*CARTA*"))&gt;=1,"SIM","")</f>
        <v>#REF!</v>
      </c>
      <c r="S542" s="5" t="e">
        <f>IF((COUNTIFS(#REF!,$C542,#REF!,"*CARTA NOTIFICAÇÃO/DEVOL*"))&gt;=1,"SIM","")</f>
        <v>#REF!</v>
      </c>
      <c r="T542" s="5" t="e">
        <f>IF((COUNTIFS(#REF!,$C542,#REF!,"*LIGAÇÃO ATIVA DEV PRIN/LOC*"))&gt;=1,"SIM","")</f>
        <v>#REF!</v>
      </c>
    </row>
    <row r="543" spans="1:20">
      <c r="A543" s="24" t="s">
        <v>2159</v>
      </c>
      <c r="B543" s="24" t="s">
        <v>777</v>
      </c>
      <c r="C543" s="24" t="s">
        <v>778</v>
      </c>
      <c r="D543" s="5" t="e">
        <f>IF((COUNTIFS(#REF!,$C543,#REF!,"*163*"))&gt;=1,"SIM","")</f>
        <v>#REF!</v>
      </c>
      <c r="E543" s="5" t="e">
        <f>IF((COUNTIFS(#REF!,$C543,#REF!,E$1))&gt;=1,"SIM","")</f>
        <v>#REF!</v>
      </c>
      <c r="F543" s="5" t="e">
        <f>IF((COUNTIFS(#REF!,$C543,#REF!,F$1))&gt;=1,"SIM","")</f>
        <v>#REF!</v>
      </c>
      <c r="G543" s="5" t="e">
        <f>IF((COUNTIFS(#REF!,$C543,#REF!,"*606*"))&gt;=1,"SIM","")</f>
        <v>#REF!</v>
      </c>
      <c r="H543" s="5" t="e">
        <f>IF((COUNTIFS(#REF!,$C543,#REF!,"*605*"))&gt;=1,"SIM","")</f>
        <v>#REF!</v>
      </c>
      <c r="I543" s="5" t="e">
        <f>IF((COUNTIFS(#REF!,$C543,#REF!,I$1))&gt;=1,"SIM","")</f>
        <v>#REF!</v>
      </c>
      <c r="J543" s="5" t="e">
        <f>IF((COUNTIFS(#REF!,$C543,#REF!,J$1))&gt;=1,"SIM","")</f>
        <v>#REF!</v>
      </c>
      <c r="K543" s="5" t="e">
        <f>IF((COUNTIFS(#REF!,$C543,#REF!,K$1))&gt;=1,"SIM","")</f>
        <v>#REF!</v>
      </c>
      <c r="L543" s="5" t="e">
        <f>IF((COUNTIFS(#REF!,$C543,#REF!,L$1))&gt;=1,"SIM","")</f>
        <v>#REF!</v>
      </c>
      <c r="M543" s="5" t="e">
        <f>IF((COUNTIFS(#REF!,$C543,#REF!,M$1))&gt;=1,"SIM","")</f>
        <v>#REF!</v>
      </c>
      <c r="N543" s="5" t="e">
        <f>IF((COUNTIFS(#REF!,$C543,#REF!,N$1))&gt;=1,"SIM","")</f>
        <v>#REF!</v>
      </c>
      <c r="O543" s="5"/>
      <c r="P543" s="5" t="e">
        <f>IF((COUNTIFS(#REF!,$C543,#REF!,P$1))&gt;=1,"SIM","")</f>
        <v>#REF!</v>
      </c>
      <c r="Q543" s="5" t="e">
        <f>IF((COUNTIFS(#REF!,$C543,#REF!,Q$1))&gt;=1,"SIM","")</f>
        <v>#REF!</v>
      </c>
      <c r="R543" s="5" t="e">
        <f>IF((COUNTIFS(#REF!,$C543,#REF!,"*CARTA*"))&gt;=1,"SIM","")</f>
        <v>#REF!</v>
      </c>
      <c r="S543" s="5" t="e">
        <f>IF((COUNTIFS(#REF!,$C543,#REF!,"*CARTA NOTIFICAÇÃO/DEVOL*"))&gt;=1,"SIM","")</f>
        <v>#REF!</v>
      </c>
      <c r="T543" s="5" t="e">
        <f>IF((COUNTIFS(#REF!,$C543,#REF!,"*LIGAÇÃO ATIVA DEV PRIN/LOC*"))&gt;=1,"SIM","")</f>
        <v>#REF!</v>
      </c>
    </row>
    <row r="544" spans="1:20">
      <c r="A544" s="24" t="s">
        <v>2153</v>
      </c>
      <c r="B544" s="24" t="s">
        <v>524</v>
      </c>
      <c r="C544" s="24" t="s">
        <v>525</v>
      </c>
      <c r="D544" s="5" t="e">
        <f>IF((COUNTIFS(#REF!,$C544,#REF!,"*163*"))&gt;=1,"SIM","")</f>
        <v>#REF!</v>
      </c>
      <c r="E544" s="5" t="e">
        <f>IF((COUNTIFS(#REF!,$C544,#REF!,E$1))&gt;=1,"SIM","")</f>
        <v>#REF!</v>
      </c>
      <c r="F544" s="5" t="e">
        <f>IF((COUNTIFS(#REF!,$C544,#REF!,F$1))&gt;=1,"SIM","")</f>
        <v>#REF!</v>
      </c>
      <c r="G544" s="5" t="e">
        <f>IF((COUNTIFS(#REF!,$C544,#REF!,"*606*"))&gt;=1,"SIM","")</f>
        <v>#REF!</v>
      </c>
      <c r="H544" s="5" t="e">
        <f>IF((COUNTIFS(#REF!,$C544,#REF!,"*605*"))&gt;=1,"SIM","")</f>
        <v>#REF!</v>
      </c>
      <c r="I544" s="5" t="e">
        <f>IF((COUNTIFS(#REF!,$C544,#REF!,I$1))&gt;=1,"SIM","")</f>
        <v>#REF!</v>
      </c>
      <c r="J544" s="5" t="e">
        <f>IF((COUNTIFS(#REF!,$C544,#REF!,J$1))&gt;=1,"SIM","")</f>
        <v>#REF!</v>
      </c>
      <c r="K544" s="5" t="e">
        <f>IF((COUNTIFS(#REF!,$C544,#REF!,K$1))&gt;=1,"SIM","")</f>
        <v>#REF!</v>
      </c>
      <c r="L544" s="5" t="e">
        <f>IF((COUNTIFS(#REF!,$C544,#REF!,L$1))&gt;=1,"SIM","")</f>
        <v>#REF!</v>
      </c>
      <c r="M544" s="5" t="e">
        <f>IF((COUNTIFS(#REF!,$C544,#REF!,M$1))&gt;=1,"SIM","")</f>
        <v>#REF!</v>
      </c>
      <c r="N544" s="5" t="e">
        <f>IF((COUNTIFS(#REF!,$C544,#REF!,N$1))&gt;=1,"SIM","")</f>
        <v>#REF!</v>
      </c>
      <c r="O544" s="5"/>
      <c r="P544" s="5" t="e">
        <f>IF((COUNTIFS(#REF!,$C544,#REF!,P$1))&gt;=1,"SIM","")</f>
        <v>#REF!</v>
      </c>
      <c r="Q544" s="5" t="e">
        <f>IF((COUNTIFS(#REF!,$C544,#REF!,Q$1))&gt;=1,"SIM","")</f>
        <v>#REF!</v>
      </c>
      <c r="R544" s="5" t="e">
        <f>IF((COUNTIFS(#REF!,$C544,#REF!,"*CARTA*"))&gt;=1,"SIM","")</f>
        <v>#REF!</v>
      </c>
      <c r="S544" s="5" t="e">
        <f>IF((COUNTIFS(#REF!,$C544,#REF!,"*CARTA NOTIFICAÇÃO/DEVOL*"))&gt;=1,"SIM","")</f>
        <v>#REF!</v>
      </c>
      <c r="T544" s="5" t="e">
        <f>IF((COUNTIFS(#REF!,$C544,#REF!,"*LIGAÇÃO ATIVA DEV PRIN/LOC*"))&gt;=1,"SIM","")</f>
        <v>#REF!</v>
      </c>
    </row>
    <row r="545" spans="1:20">
      <c r="A545" s="24" t="s">
        <v>2159</v>
      </c>
      <c r="B545" s="24" t="s">
        <v>1028</v>
      </c>
      <c r="C545" s="24" t="s">
        <v>1029</v>
      </c>
      <c r="D545" s="5" t="e">
        <f>IF((COUNTIFS(#REF!,$C545,#REF!,"*163*"))&gt;=1,"SIM","")</f>
        <v>#REF!</v>
      </c>
      <c r="E545" s="5" t="e">
        <f>IF((COUNTIFS(#REF!,$C545,#REF!,E$1))&gt;=1,"SIM","")</f>
        <v>#REF!</v>
      </c>
      <c r="F545" s="5" t="e">
        <f>IF((COUNTIFS(#REF!,$C545,#REF!,F$1))&gt;=1,"SIM","")</f>
        <v>#REF!</v>
      </c>
      <c r="G545" s="5" t="e">
        <f>IF((COUNTIFS(#REF!,$C545,#REF!,"*606*"))&gt;=1,"SIM","")</f>
        <v>#REF!</v>
      </c>
      <c r="H545" s="5" t="e">
        <f>IF((COUNTIFS(#REF!,$C545,#REF!,"*605*"))&gt;=1,"SIM","")</f>
        <v>#REF!</v>
      </c>
      <c r="I545" s="5" t="e">
        <f>IF((COUNTIFS(#REF!,$C545,#REF!,I$1))&gt;=1,"SIM","")</f>
        <v>#REF!</v>
      </c>
      <c r="J545" s="5" t="e">
        <f>IF((COUNTIFS(#REF!,$C545,#REF!,J$1))&gt;=1,"SIM","")</f>
        <v>#REF!</v>
      </c>
      <c r="K545" s="5" t="e">
        <f>IF((COUNTIFS(#REF!,$C545,#REF!,K$1))&gt;=1,"SIM","")</f>
        <v>#REF!</v>
      </c>
      <c r="L545" s="5" t="e">
        <f>IF((COUNTIFS(#REF!,$C545,#REF!,L$1))&gt;=1,"SIM","")</f>
        <v>#REF!</v>
      </c>
      <c r="M545" s="5" t="e">
        <f>IF((COUNTIFS(#REF!,$C545,#REF!,M$1))&gt;=1,"SIM","")</f>
        <v>#REF!</v>
      </c>
      <c r="N545" s="5" t="e">
        <f>IF((COUNTIFS(#REF!,$C545,#REF!,N$1))&gt;=1,"SIM","")</f>
        <v>#REF!</v>
      </c>
      <c r="O545" s="5"/>
      <c r="P545" s="5" t="e">
        <f>IF((COUNTIFS(#REF!,$C545,#REF!,P$1))&gt;=1,"SIM","")</f>
        <v>#REF!</v>
      </c>
      <c r="Q545" s="5" t="e">
        <f>IF((COUNTIFS(#REF!,$C545,#REF!,Q$1))&gt;=1,"SIM","")</f>
        <v>#REF!</v>
      </c>
      <c r="R545" s="5" t="e">
        <f>IF((COUNTIFS(#REF!,$C545,#REF!,"*CARTA*"))&gt;=1,"SIM","")</f>
        <v>#REF!</v>
      </c>
      <c r="S545" s="5" t="e">
        <f>IF((COUNTIFS(#REF!,$C545,#REF!,"*CARTA NOTIFICAÇÃO/DEVOL*"))&gt;=1,"SIM","")</f>
        <v>#REF!</v>
      </c>
      <c r="T545" s="5" t="e">
        <f>IF((COUNTIFS(#REF!,$C545,#REF!,"*LIGAÇÃO ATIVA DEV PRIN/LOC*"))&gt;=1,"SIM","")</f>
        <v>#REF!</v>
      </c>
    </row>
    <row r="546" spans="1:20">
      <c r="A546" s="24" t="s">
        <v>2153</v>
      </c>
      <c r="B546" s="24" t="s">
        <v>662</v>
      </c>
      <c r="C546" s="24" t="s">
        <v>663</v>
      </c>
      <c r="D546" s="5" t="e">
        <f>IF((COUNTIFS(#REF!,$C546,#REF!,"*163*"))&gt;=1,"SIM","")</f>
        <v>#REF!</v>
      </c>
      <c r="E546" s="5" t="e">
        <f>IF((COUNTIFS(#REF!,$C546,#REF!,E$1))&gt;=1,"SIM","")</f>
        <v>#REF!</v>
      </c>
      <c r="F546" s="5" t="e">
        <f>IF((COUNTIFS(#REF!,$C546,#REF!,F$1))&gt;=1,"SIM","")</f>
        <v>#REF!</v>
      </c>
      <c r="G546" s="5" t="e">
        <f>IF((COUNTIFS(#REF!,$C546,#REF!,"*606*"))&gt;=1,"SIM","")</f>
        <v>#REF!</v>
      </c>
      <c r="H546" s="5" t="e">
        <f>IF((COUNTIFS(#REF!,$C546,#REF!,"*605*"))&gt;=1,"SIM","")</f>
        <v>#REF!</v>
      </c>
      <c r="I546" s="5" t="e">
        <f>IF((COUNTIFS(#REF!,$C546,#REF!,I$1))&gt;=1,"SIM","")</f>
        <v>#REF!</v>
      </c>
      <c r="J546" s="5" t="e">
        <f>IF((COUNTIFS(#REF!,$C546,#REF!,J$1))&gt;=1,"SIM","")</f>
        <v>#REF!</v>
      </c>
      <c r="K546" s="5" t="e">
        <f>IF((COUNTIFS(#REF!,$C546,#REF!,K$1))&gt;=1,"SIM","")</f>
        <v>#REF!</v>
      </c>
      <c r="L546" s="5" t="e">
        <f>IF((COUNTIFS(#REF!,$C546,#REF!,L$1))&gt;=1,"SIM","")</f>
        <v>#REF!</v>
      </c>
      <c r="M546" s="5" t="e">
        <f>IF((COUNTIFS(#REF!,$C546,#REF!,M$1))&gt;=1,"SIM","")</f>
        <v>#REF!</v>
      </c>
      <c r="N546" s="5" t="e">
        <f>IF((COUNTIFS(#REF!,$C546,#REF!,N$1))&gt;=1,"SIM","")</f>
        <v>#REF!</v>
      </c>
      <c r="O546" s="5"/>
      <c r="P546" s="5" t="e">
        <f>IF((COUNTIFS(#REF!,$C546,#REF!,P$1))&gt;=1,"SIM","")</f>
        <v>#REF!</v>
      </c>
      <c r="Q546" s="5" t="e">
        <f>IF((COUNTIFS(#REF!,$C546,#REF!,Q$1))&gt;=1,"SIM","")</f>
        <v>#REF!</v>
      </c>
      <c r="R546" s="5" t="e">
        <f>IF((COUNTIFS(#REF!,$C546,#REF!,"*CARTA*"))&gt;=1,"SIM","")</f>
        <v>#REF!</v>
      </c>
      <c r="S546" s="5" t="e">
        <f>IF((COUNTIFS(#REF!,$C546,#REF!,"*CARTA NOTIFICAÇÃO/DEVOL*"))&gt;=1,"SIM","")</f>
        <v>#REF!</v>
      </c>
      <c r="T546" s="5" t="e">
        <f>IF((COUNTIFS(#REF!,$C546,#REF!,"*LIGAÇÃO ATIVA DEV PRIN/LOC*"))&gt;=1,"SIM","")</f>
        <v>#REF!</v>
      </c>
    </row>
    <row r="547" spans="1:20">
      <c r="A547" s="24" t="s">
        <v>2153</v>
      </c>
      <c r="B547" s="24" t="s">
        <v>193</v>
      </c>
      <c r="C547" s="24" t="s">
        <v>194</v>
      </c>
      <c r="D547" s="5" t="e">
        <f>IF((COUNTIFS(#REF!,$C547,#REF!,"*163*"))&gt;=1,"SIM","")</f>
        <v>#REF!</v>
      </c>
      <c r="E547" s="5" t="e">
        <f>IF((COUNTIFS(#REF!,$C547,#REF!,E$1))&gt;=1,"SIM","")</f>
        <v>#REF!</v>
      </c>
      <c r="F547" s="5" t="e">
        <f>IF((COUNTIFS(#REF!,$C547,#REF!,F$1))&gt;=1,"SIM","")</f>
        <v>#REF!</v>
      </c>
      <c r="G547" s="5" t="e">
        <f>IF((COUNTIFS(#REF!,$C547,#REF!,"*606*"))&gt;=1,"SIM","")</f>
        <v>#REF!</v>
      </c>
      <c r="H547" s="5" t="e">
        <f>IF((COUNTIFS(#REF!,$C547,#REF!,"*605*"))&gt;=1,"SIM","")</f>
        <v>#REF!</v>
      </c>
      <c r="I547" s="5" t="e">
        <f>IF((COUNTIFS(#REF!,$C547,#REF!,I$1))&gt;=1,"SIM","")</f>
        <v>#REF!</v>
      </c>
      <c r="J547" s="5" t="e">
        <f>IF((COUNTIFS(#REF!,$C547,#REF!,J$1))&gt;=1,"SIM","")</f>
        <v>#REF!</v>
      </c>
      <c r="K547" s="5" t="e">
        <f>IF((COUNTIFS(#REF!,$C547,#REF!,K$1))&gt;=1,"SIM","")</f>
        <v>#REF!</v>
      </c>
      <c r="L547" s="5" t="e">
        <f>IF((COUNTIFS(#REF!,$C547,#REF!,L$1))&gt;=1,"SIM","")</f>
        <v>#REF!</v>
      </c>
      <c r="M547" s="5" t="e">
        <f>IF((COUNTIFS(#REF!,$C547,#REF!,M$1))&gt;=1,"SIM","")</f>
        <v>#REF!</v>
      </c>
      <c r="N547" s="5" t="e">
        <f>IF((COUNTIFS(#REF!,$C547,#REF!,N$1))&gt;=1,"SIM","")</f>
        <v>#REF!</v>
      </c>
      <c r="O547" s="5"/>
      <c r="P547" s="5" t="e">
        <f>IF((COUNTIFS(#REF!,$C547,#REF!,P$1))&gt;=1,"SIM","")</f>
        <v>#REF!</v>
      </c>
      <c r="Q547" s="5" t="e">
        <f>IF((COUNTIFS(#REF!,$C547,#REF!,Q$1))&gt;=1,"SIM","")</f>
        <v>#REF!</v>
      </c>
      <c r="R547" s="5" t="e">
        <f>IF((COUNTIFS(#REF!,$C547,#REF!,"*CARTA*"))&gt;=1,"SIM","")</f>
        <v>#REF!</v>
      </c>
      <c r="S547" s="5" t="e">
        <f>IF((COUNTIFS(#REF!,$C547,#REF!,"*CARTA NOTIFICAÇÃO/DEVOL*"))&gt;=1,"SIM","")</f>
        <v>#REF!</v>
      </c>
      <c r="T547" s="5" t="e">
        <f>IF((COUNTIFS(#REF!,$C547,#REF!,"*LIGAÇÃO ATIVA DEV PRIN/LOC*"))&gt;=1,"SIM","")</f>
        <v>#REF!</v>
      </c>
    </row>
    <row r="548" spans="1:20">
      <c r="A548" s="24" t="s">
        <v>2159</v>
      </c>
      <c r="B548" s="24" t="s">
        <v>2103</v>
      </c>
      <c r="C548" s="24" t="s">
        <v>2104</v>
      </c>
      <c r="D548" s="5" t="e">
        <f>IF((COUNTIFS(#REF!,$C548,#REF!,"*163*"))&gt;=1,"SIM","")</f>
        <v>#REF!</v>
      </c>
      <c r="E548" s="5" t="e">
        <f>IF((COUNTIFS(#REF!,$C548,#REF!,E$1))&gt;=1,"SIM","")</f>
        <v>#REF!</v>
      </c>
      <c r="F548" s="5" t="e">
        <f>IF((COUNTIFS(#REF!,$C548,#REF!,F$1))&gt;=1,"SIM","")</f>
        <v>#REF!</v>
      </c>
      <c r="G548" s="5" t="e">
        <f>IF((COUNTIFS(#REF!,$C548,#REF!,"*606*"))&gt;=1,"SIM","")</f>
        <v>#REF!</v>
      </c>
      <c r="H548" s="5" t="e">
        <f>IF((COUNTIFS(#REF!,$C548,#REF!,"*605*"))&gt;=1,"SIM","")</f>
        <v>#REF!</v>
      </c>
      <c r="I548" s="5" t="e">
        <f>IF((COUNTIFS(#REF!,$C548,#REF!,I$1))&gt;=1,"SIM","")</f>
        <v>#REF!</v>
      </c>
      <c r="J548" s="5" t="e">
        <f>IF((COUNTIFS(#REF!,$C548,#REF!,J$1))&gt;=1,"SIM","")</f>
        <v>#REF!</v>
      </c>
      <c r="K548" s="5" t="e">
        <f>IF((COUNTIFS(#REF!,$C548,#REF!,K$1))&gt;=1,"SIM","")</f>
        <v>#REF!</v>
      </c>
      <c r="L548" s="5" t="e">
        <f>IF((COUNTIFS(#REF!,$C548,#REF!,L$1))&gt;=1,"SIM","")</f>
        <v>#REF!</v>
      </c>
      <c r="M548" s="5" t="e">
        <f>IF((COUNTIFS(#REF!,$C548,#REF!,M$1))&gt;=1,"SIM","")</f>
        <v>#REF!</v>
      </c>
      <c r="N548" s="5" t="e">
        <f>IF((COUNTIFS(#REF!,$C548,#REF!,N$1))&gt;=1,"SIM","")</f>
        <v>#REF!</v>
      </c>
      <c r="O548" s="5"/>
      <c r="P548" s="5" t="e">
        <f>IF((COUNTIFS(#REF!,$C548,#REF!,P$1))&gt;=1,"SIM","")</f>
        <v>#REF!</v>
      </c>
      <c r="Q548" s="5" t="e">
        <f>IF((COUNTIFS(#REF!,$C548,#REF!,Q$1))&gt;=1,"SIM","")</f>
        <v>#REF!</v>
      </c>
      <c r="R548" s="5" t="e">
        <f>IF((COUNTIFS(#REF!,$C548,#REF!,"*CARTA*"))&gt;=1,"SIM","")</f>
        <v>#REF!</v>
      </c>
      <c r="S548" s="5" t="e">
        <f>IF((COUNTIFS(#REF!,$C548,#REF!,"*CARTA NOTIFICAÇÃO/DEVOL*"))&gt;=1,"SIM","")</f>
        <v>#REF!</v>
      </c>
      <c r="T548" s="5" t="e">
        <f>IF((COUNTIFS(#REF!,$C548,#REF!,"*LIGAÇÃO ATIVA DEV PRIN/LOC*"))&gt;=1,"SIM","")</f>
        <v>#REF!</v>
      </c>
    </row>
    <row r="549" spans="1:20">
      <c r="A549" s="24" t="s">
        <v>2159</v>
      </c>
      <c r="B549" s="24" t="s">
        <v>1326</v>
      </c>
      <c r="C549" s="24" t="s">
        <v>1327</v>
      </c>
      <c r="D549" s="5" t="e">
        <f>IF((COUNTIFS(#REF!,$C549,#REF!,"*163*"))&gt;=1,"SIM","")</f>
        <v>#REF!</v>
      </c>
      <c r="E549" s="5" t="e">
        <f>IF((COUNTIFS(#REF!,$C549,#REF!,E$1))&gt;=1,"SIM","")</f>
        <v>#REF!</v>
      </c>
      <c r="F549" s="5" t="e">
        <f>IF((COUNTIFS(#REF!,$C549,#REF!,F$1))&gt;=1,"SIM","")</f>
        <v>#REF!</v>
      </c>
      <c r="G549" s="5" t="e">
        <f>IF((COUNTIFS(#REF!,$C549,#REF!,"*606*"))&gt;=1,"SIM","")</f>
        <v>#REF!</v>
      </c>
      <c r="H549" s="5" t="e">
        <f>IF((COUNTIFS(#REF!,$C549,#REF!,"*605*"))&gt;=1,"SIM","")</f>
        <v>#REF!</v>
      </c>
      <c r="I549" s="5" t="e">
        <f>IF((COUNTIFS(#REF!,$C549,#REF!,I$1))&gt;=1,"SIM","")</f>
        <v>#REF!</v>
      </c>
      <c r="J549" s="5" t="e">
        <f>IF((COUNTIFS(#REF!,$C549,#REF!,J$1))&gt;=1,"SIM","")</f>
        <v>#REF!</v>
      </c>
      <c r="K549" s="5" t="e">
        <f>IF((COUNTIFS(#REF!,$C549,#REF!,K$1))&gt;=1,"SIM","")</f>
        <v>#REF!</v>
      </c>
      <c r="L549" s="5" t="e">
        <f>IF((COUNTIFS(#REF!,$C549,#REF!,L$1))&gt;=1,"SIM","")</f>
        <v>#REF!</v>
      </c>
      <c r="M549" s="5" t="e">
        <f>IF((COUNTIFS(#REF!,$C549,#REF!,M$1))&gt;=1,"SIM","")</f>
        <v>#REF!</v>
      </c>
      <c r="N549" s="5" t="e">
        <f>IF((COUNTIFS(#REF!,$C549,#REF!,N$1))&gt;=1,"SIM","")</f>
        <v>#REF!</v>
      </c>
      <c r="O549" s="5"/>
      <c r="P549" s="5" t="e">
        <f>IF((COUNTIFS(#REF!,$C549,#REF!,P$1))&gt;=1,"SIM","")</f>
        <v>#REF!</v>
      </c>
      <c r="Q549" s="5" t="e">
        <f>IF((COUNTIFS(#REF!,$C549,#REF!,Q$1))&gt;=1,"SIM","")</f>
        <v>#REF!</v>
      </c>
      <c r="R549" s="5" t="e">
        <f>IF((COUNTIFS(#REF!,$C549,#REF!,"*CARTA*"))&gt;=1,"SIM","")</f>
        <v>#REF!</v>
      </c>
      <c r="S549" s="5" t="e">
        <f>IF((COUNTIFS(#REF!,$C549,#REF!,"*CARTA NOTIFICAÇÃO/DEVOL*"))&gt;=1,"SIM","")</f>
        <v>#REF!</v>
      </c>
      <c r="T549" s="5" t="e">
        <f>IF((COUNTIFS(#REF!,$C549,#REF!,"*LIGAÇÃO ATIVA DEV PRIN/LOC*"))&gt;=1,"SIM","")</f>
        <v>#REF!</v>
      </c>
    </row>
    <row r="550" spans="1:20">
      <c r="A550" s="24" t="s">
        <v>2157</v>
      </c>
      <c r="B550" s="24" t="s">
        <v>1682</v>
      </c>
      <c r="C550" s="24" t="s">
        <v>1683</v>
      </c>
      <c r="D550" s="5" t="e">
        <f>IF((COUNTIFS(#REF!,$C550,#REF!,"*163*"))&gt;=1,"SIM","")</f>
        <v>#REF!</v>
      </c>
      <c r="E550" s="5" t="e">
        <f>IF((COUNTIFS(#REF!,$C550,#REF!,E$1))&gt;=1,"SIM","")</f>
        <v>#REF!</v>
      </c>
      <c r="F550" s="5" t="e">
        <f>IF((COUNTIFS(#REF!,$C550,#REF!,F$1))&gt;=1,"SIM","")</f>
        <v>#REF!</v>
      </c>
      <c r="G550" s="5" t="e">
        <f>IF((COUNTIFS(#REF!,$C550,#REF!,"*606*"))&gt;=1,"SIM","")</f>
        <v>#REF!</v>
      </c>
      <c r="H550" s="5" t="e">
        <f>IF((COUNTIFS(#REF!,$C550,#REF!,"*605*"))&gt;=1,"SIM","")</f>
        <v>#REF!</v>
      </c>
      <c r="I550" s="5" t="e">
        <f>IF((COUNTIFS(#REF!,$C550,#REF!,I$1))&gt;=1,"SIM","")</f>
        <v>#REF!</v>
      </c>
      <c r="J550" s="5" t="e">
        <f>IF((COUNTIFS(#REF!,$C550,#REF!,J$1))&gt;=1,"SIM","")</f>
        <v>#REF!</v>
      </c>
      <c r="K550" s="5" t="e">
        <f>IF((COUNTIFS(#REF!,$C550,#REF!,K$1))&gt;=1,"SIM","")</f>
        <v>#REF!</v>
      </c>
      <c r="L550" s="5" t="e">
        <f>IF((COUNTIFS(#REF!,$C550,#REF!,L$1))&gt;=1,"SIM","")</f>
        <v>#REF!</v>
      </c>
      <c r="M550" s="5" t="e">
        <f>IF((COUNTIFS(#REF!,$C550,#REF!,M$1))&gt;=1,"SIM","")</f>
        <v>#REF!</v>
      </c>
      <c r="N550" s="5" t="e">
        <f>IF((COUNTIFS(#REF!,$C550,#REF!,N$1))&gt;=1,"SIM","")</f>
        <v>#REF!</v>
      </c>
      <c r="O550" s="5"/>
      <c r="P550" s="5" t="e">
        <f>IF((COUNTIFS(#REF!,$C550,#REF!,P$1))&gt;=1,"SIM","")</f>
        <v>#REF!</v>
      </c>
      <c r="Q550" s="5" t="e">
        <f>IF((COUNTIFS(#REF!,$C550,#REF!,Q$1))&gt;=1,"SIM","")</f>
        <v>#REF!</v>
      </c>
      <c r="R550" s="5" t="e">
        <f>IF((COUNTIFS(#REF!,$C550,#REF!,"*CARTA*"))&gt;=1,"SIM","")</f>
        <v>#REF!</v>
      </c>
      <c r="S550" s="5" t="e">
        <f>IF((COUNTIFS(#REF!,$C550,#REF!,"*CARTA NOTIFICAÇÃO/DEVOL*"))&gt;=1,"SIM","")</f>
        <v>#REF!</v>
      </c>
      <c r="T550" s="5" t="e">
        <f>IF((COUNTIFS(#REF!,$C550,#REF!,"*LIGAÇÃO ATIVA DEV PRIN/LOC*"))&gt;=1,"SIM","")</f>
        <v>#REF!</v>
      </c>
    </row>
    <row r="551" spans="1:20">
      <c r="A551" s="24" t="s">
        <v>2159</v>
      </c>
      <c r="B551" s="24" t="s">
        <v>1869</v>
      </c>
      <c r="C551" s="24" t="s">
        <v>1870</v>
      </c>
      <c r="D551" s="5" t="e">
        <f>IF((COUNTIFS(#REF!,$C551,#REF!,"*163*"))&gt;=1,"SIM","")</f>
        <v>#REF!</v>
      </c>
      <c r="E551" s="5" t="e">
        <f>IF((COUNTIFS(#REF!,$C551,#REF!,E$1))&gt;=1,"SIM","")</f>
        <v>#REF!</v>
      </c>
      <c r="F551" s="5" t="e">
        <f>IF((COUNTIFS(#REF!,$C551,#REF!,F$1))&gt;=1,"SIM","")</f>
        <v>#REF!</v>
      </c>
      <c r="G551" s="5" t="e">
        <f>IF((COUNTIFS(#REF!,$C551,#REF!,"*606*"))&gt;=1,"SIM","")</f>
        <v>#REF!</v>
      </c>
      <c r="H551" s="5" t="e">
        <f>IF((COUNTIFS(#REF!,$C551,#REF!,"*605*"))&gt;=1,"SIM","")</f>
        <v>#REF!</v>
      </c>
      <c r="I551" s="5" t="e">
        <f>IF((COUNTIFS(#REF!,$C551,#REF!,I$1))&gt;=1,"SIM","")</f>
        <v>#REF!</v>
      </c>
      <c r="J551" s="5" t="e">
        <f>IF((COUNTIFS(#REF!,$C551,#REF!,J$1))&gt;=1,"SIM","")</f>
        <v>#REF!</v>
      </c>
      <c r="K551" s="5" t="e">
        <f>IF((COUNTIFS(#REF!,$C551,#REF!,K$1))&gt;=1,"SIM","")</f>
        <v>#REF!</v>
      </c>
      <c r="L551" s="5" t="e">
        <f>IF((COUNTIFS(#REF!,$C551,#REF!,L$1))&gt;=1,"SIM","")</f>
        <v>#REF!</v>
      </c>
      <c r="M551" s="5" t="e">
        <f>IF((COUNTIFS(#REF!,$C551,#REF!,M$1))&gt;=1,"SIM","")</f>
        <v>#REF!</v>
      </c>
      <c r="N551" s="5" t="e">
        <f>IF((COUNTIFS(#REF!,$C551,#REF!,N$1))&gt;=1,"SIM","")</f>
        <v>#REF!</v>
      </c>
      <c r="O551" s="5"/>
      <c r="P551" s="5" t="e">
        <f>IF((COUNTIFS(#REF!,$C551,#REF!,P$1))&gt;=1,"SIM","")</f>
        <v>#REF!</v>
      </c>
      <c r="Q551" s="5" t="e">
        <f>IF((COUNTIFS(#REF!,$C551,#REF!,Q$1))&gt;=1,"SIM","")</f>
        <v>#REF!</v>
      </c>
      <c r="R551" s="5" t="e">
        <f>IF((COUNTIFS(#REF!,$C551,#REF!,"*CARTA*"))&gt;=1,"SIM","")</f>
        <v>#REF!</v>
      </c>
      <c r="S551" s="5" t="e">
        <f>IF((COUNTIFS(#REF!,$C551,#REF!,"*CARTA NOTIFICAÇÃO/DEVOL*"))&gt;=1,"SIM","")</f>
        <v>#REF!</v>
      </c>
      <c r="T551" s="5" t="e">
        <f>IF((COUNTIFS(#REF!,$C551,#REF!,"*LIGAÇÃO ATIVA DEV PRIN/LOC*"))&gt;=1,"SIM","")</f>
        <v>#REF!</v>
      </c>
    </row>
    <row r="552" spans="1:20">
      <c r="A552" s="24" t="s">
        <v>2158</v>
      </c>
      <c r="B552" s="24" t="s">
        <v>1813</v>
      </c>
      <c r="C552" s="24" t="s">
        <v>1814</v>
      </c>
      <c r="D552" s="5" t="e">
        <f>IF((COUNTIFS(#REF!,$C552,#REF!,"*163*"))&gt;=1,"SIM","")</f>
        <v>#REF!</v>
      </c>
      <c r="E552" s="5" t="e">
        <f>IF((COUNTIFS(#REF!,$C552,#REF!,E$1))&gt;=1,"SIM","")</f>
        <v>#REF!</v>
      </c>
      <c r="F552" s="5" t="e">
        <f>IF((COUNTIFS(#REF!,$C552,#REF!,F$1))&gt;=1,"SIM","")</f>
        <v>#REF!</v>
      </c>
      <c r="G552" s="5" t="e">
        <f>IF((COUNTIFS(#REF!,$C552,#REF!,"*606*"))&gt;=1,"SIM","")</f>
        <v>#REF!</v>
      </c>
      <c r="H552" s="5" t="e">
        <f>IF((COUNTIFS(#REF!,$C552,#REF!,"*605*"))&gt;=1,"SIM","")</f>
        <v>#REF!</v>
      </c>
      <c r="I552" s="5" t="e">
        <f>IF((COUNTIFS(#REF!,$C552,#REF!,I$1))&gt;=1,"SIM","")</f>
        <v>#REF!</v>
      </c>
      <c r="J552" s="5" t="e">
        <f>IF((COUNTIFS(#REF!,$C552,#REF!,J$1))&gt;=1,"SIM","")</f>
        <v>#REF!</v>
      </c>
      <c r="K552" s="5" t="e">
        <f>IF((COUNTIFS(#REF!,$C552,#REF!,K$1))&gt;=1,"SIM","")</f>
        <v>#REF!</v>
      </c>
      <c r="L552" s="5" t="e">
        <f>IF((COUNTIFS(#REF!,$C552,#REF!,L$1))&gt;=1,"SIM","")</f>
        <v>#REF!</v>
      </c>
      <c r="M552" s="5" t="e">
        <f>IF((COUNTIFS(#REF!,$C552,#REF!,M$1))&gt;=1,"SIM","")</f>
        <v>#REF!</v>
      </c>
      <c r="N552" s="5" t="e">
        <f>IF((COUNTIFS(#REF!,$C552,#REF!,N$1))&gt;=1,"SIM","")</f>
        <v>#REF!</v>
      </c>
      <c r="O552" s="5"/>
      <c r="P552" s="5" t="e">
        <f>IF((COUNTIFS(#REF!,$C552,#REF!,P$1))&gt;=1,"SIM","")</f>
        <v>#REF!</v>
      </c>
      <c r="Q552" s="5" t="e">
        <f>IF((COUNTIFS(#REF!,$C552,#REF!,Q$1))&gt;=1,"SIM","")</f>
        <v>#REF!</v>
      </c>
      <c r="R552" s="5" t="e">
        <f>IF((COUNTIFS(#REF!,$C552,#REF!,"*CARTA*"))&gt;=1,"SIM","")</f>
        <v>#REF!</v>
      </c>
      <c r="S552" s="5" t="e">
        <f>IF((COUNTIFS(#REF!,$C552,#REF!,"*CARTA NOTIFICAÇÃO/DEVOL*"))&gt;=1,"SIM","")</f>
        <v>#REF!</v>
      </c>
      <c r="T552" s="5" t="e">
        <f>IF((COUNTIFS(#REF!,$C552,#REF!,"*LIGAÇÃO ATIVA DEV PRIN/LOC*"))&gt;=1,"SIM","")</f>
        <v>#REF!</v>
      </c>
    </row>
    <row r="553" spans="1:20">
      <c r="A553" s="24" t="s">
        <v>2153</v>
      </c>
      <c r="B553" s="24" t="s">
        <v>295</v>
      </c>
      <c r="C553" s="24" t="s">
        <v>2368</v>
      </c>
      <c r="D553" s="5" t="e">
        <f>IF((COUNTIFS(#REF!,$C553,#REF!,"*163*"))&gt;=1,"SIM","")</f>
        <v>#REF!</v>
      </c>
      <c r="E553" s="5" t="e">
        <f>IF((COUNTIFS(#REF!,$C553,#REF!,E$1))&gt;=1,"SIM","")</f>
        <v>#REF!</v>
      </c>
      <c r="F553" s="5" t="e">
        <f>IF((COUNTIFS(#REF!,$C553,#REF!,F$1))&gt;=1,"SIM","")</f>
        <v>#REF!</v>
      </c>
      <c r="G553" s="5" t="e">
        <f>IF((COUNTIFS(#REF!,$C553,#REF!,"*606*"))&gt;=1,"SIM","")</f>
        <v>#REF!</v>
      </c>
      <c r="H553" s="5" t="e">
        <f>IF((COUNTIFS(#REF!,$C553,#REF!,"*605*"))&gt;=1,"SIM","")</f>
        <v>#REF!</v>
      </c>
      <c r="I553" s="5" t="e">
        <f>IF((COUNTIFS(#REF!,$C553,#REF!,I$1))&gt;=1,"SIM","")</f>
        <v>#REF!</v>
      </c>
      <c r="J553" s="5" t="e">
        <f>IF((COUNTIFS(#REF!,$C553,#REF!,J$1))&gt;=1,"SIM","")</f>
        <v>#REF!</v>
      </c>
      <c r="K553" s="5" t="e">
        <f>IF((COUNTIFS(#REF!,$C553,#REF!,K$1))&gt;=1,"SIM","")</f>
        <v>#REF!</v>
      </c>
      <c r="L553" s="5" t="e">
        <f>IF((COUNTIFS(#REF!,$C553,#REF!,L$1))&gt;=1,"SIM","")</f>
        <v>#REF!</v>
      </c>
      <c r="M553" s="5" t="e">
        <f>IF((COUNTIFS(#REF!,$C553,#REF!,M$1))&gt;=1,"SIM","")</f>
        <v>#REF!</v>
      </c>
      <c r="N553" s="5" t="e">
        <f>IF((COUNTIFS(#REF!,$C553,#REF!,N$1))&gt;=1,"SIM","")</f>
        <v>#REF!</v>
      </c>
      <c r="O553" s="5"/>
      <c r="P553" s="5" t="e">
        <f>IF((COUNTIFS(#REF!,$C553,#REF!,P$1))&gt;=1,"SIM","")</f>
        <v>#REF!</v>
      </c>
      <c r="Q553" s="5" t="e">
        <f>IF((COUNTIFS(#REF!,$C553,#REF!,Q$1))&gt;=1,"SIM","")</f>
        <v>#REF!</v>
      </c>
      <c r="R553" s="5" t="e">
        <f>IF((COUNTIFS(#REF!,$C553,#REF!,"*CARTA*"))&gt;=1,"SIM","")</f>
        <v>#REF!</v>
      </c>
      <c r="S553" s="5" t="e">
        <f>IF((COUNTIFS(#REF!,$C553,#REF!,"*CARTA NOTIFICAÇÃO/DEVOL*"))&gt;=1,"SIM","")</f>
        <v>#REF!</v>
      </c>
      <c r="T553" s="5" t="e">
        <f>IF((COUNTIFS(#REF!,$C553,#REF!,"*LIGAÇÃO ATIVA DEV PRIN/LOC*"))&gt;=1,"SIM","")</f>
        <v>#REF!</v>
      </c>
    </row>
    <row r="554" spans="1:20">
      <c r="A554" s="24" t="s">
        <v>2157</v>
      </c>
      <c r="B554" s="24" t="s">
        <v>2101</v>
      </c>
      <c r="C554" s="24" t="s">
        <v>2102</v>
      </c>
      <c r="D554" s="5" t="e">
        <f>IF((COUNTIFS(#REF!,$C554,#REF!,"*163*"))&gt;=1,"SIM","")</f>
        <v>#REF!</v>
      </c>
      <c r="E554" s="5" t="e">
        <f>IF((COUNTIFS(#REF!,$C554,#REF!,E$1))&gt;=1,"SIM","")</f>
        <v>#REF!</v>
      </c>
      <c r="F554" s="5" t="e">
        <f>IF((COUNTIFS(#REF!,$C554,#REF!,F$1))&gt;=1,"SIM","")</f>
        <v>#REF!</v>
      </c>
      <c r="G554" s="5" t="e">
        <f>IF((COUNTIFS(#REF!,$C554,#REF!,"*606*"))&gt;=1,"SIM","")</f>
        <v>#REF!</v>
      </c>
      <c r="H554" s="5" t="e">
        <f>IF((COUNTIFS(#REF!,$C554,#REF!,"*605*"))&gt;=1,"SIM","")</f>
        <v>#REF!</v>
      </c>
      <c r="I554" s="5" t="e">
        <f>IF((COUNTIFS(#REF!,$C554,#REF!,I$1))&gt;=1,"SIM","")</f>
        <v>#REF!</v>
      </c>
      <c r="J554" s="5" t="e">
        <f>IF((COUNTIFS(#REF!,$C554,#REF!,J$1))&gt;=1,"SIM","")</f>
        <v>#REF!</v>
      </c>
      <c r="K554" s="5" t="e">
        <f>IF((COUNTIFS(#REF!,$C554,#REF!,K$1))&gt;=1,"SIM","")</f>
        <v>#REF!</v>
      </c>
      <c r="L554" s="5" t="e">
        <f>IF((COUNTIFS(#REF!,$C554,#REF!,L$1))&gt;=1,"SIM","")</f>
        <v>#REF!</v>
      </c>
      <c r="M554" s="5" t="e">
        <f>IF((COUNTIFS(#REF!,$C554,#REF!,M$1))&gt;=1,"SIM","")</f>
        <v>#REF!</v>
      </c>
      <c r="N554" s="5" t="e">
        <f>IF((COUNTIFS(#REF!,$C554,#REF!,N$1))&gt;=1,"SIM","")</f>
        <v>#REF!</v>
      </c>
      <c r="O554" s="5"/>
      <c r="P554" s="5" t="e">
        <f>IF((COUNTIFS(#REF!,$C554,#REF!,P$1))&gt;=1,"SIM","")</f>
        <v>#REF!</v>
      </c>
      <c r="Q554" s="5" t="e">
        <f>IF((COUNTIFS(#REF!,$C554,#REF!,Q$1))&gt;=1,"SIM","")</f>
        <v>#REF!</v>
      </c>
      <c r="R554" s="5" t="e">
        <f>IF((COUNTIFS(#REF!,$C554,#REF!,"*CARTA*"))&gt;=1,"SIM","")</f>
        <v>#REF!</v>
      </c>
      <c r="S554" s="5" t="e">
        <f>IF((COUNTIFS(#REF!,$C554,#REF!,"*CARTA NOTIFICAÇÃO/DEVOL*"))&gt;=1,"SIM","")</f>
        <v>#REF!</v>
      </c>
      <c r="T554" s="5" t="e">
        <f>IF((COUNTIFS(#REF!,$C554,#REF!,"*LIGAÇÃO ATIVA DEV PRIN/LOC*"))&gt;=1,"SIM","")</f>
        <v>#REF!</v>
      </c>
    </row>
    <row r="555" spans="1:20">
      <c r="A555" s="24" t="s">
        <v>2153</v>
      </c>
      <c r="B555" s="24" t="s">
        <v>474</v>
      </c>
      <c r="C555" s="24" t="s">
        <v>475</v>
      </c>
      <c r="D555" s="5" t="e">
        <f>IF((COUNTIFS(#REF!,$C555,#REF!,"*163*"))&gt;=1,"SIM","")</f>
        <v>#REF!</v>
      </c>
      <c r="E555" s="5" t="e">
        <f>IF((COUNTIFS(#REF!,$C555,#REF!,E$1))&gt;=1,"SIM","")</f>
        <v>#REF!</v>
      </c>
      <c r="F555" s="5" t="e">
        <f>IF((COUNTIFS(#REF!,$C555,#REF!,F$1))&gt;=1,"SIM","")</f>
        <v>#REF!</v>
      </c>
      <c r="G555" s="5" t="e">
        <f>IF((COUNTIFS(#REF!,$C555,#REF!,"*606*"))&gt;=1,"SIM","")</f>
        <v>#REF!</v>
      </c>
      <c r="H555" s="5" t="e">
        <f>IF((COUNTIFS(#REF!,$C555,#REF!,"*605*"))&gt;=1,"SIM","")</f>
        <v>#REF!</v>
      </c>
      <c r="I555" s="5" t="e">
        <f>IF((COUNTIFS(#REF!,$C555,#REF!,I$1))&gt;=1,"SIM","")</f>
        <v>#REF!</v>
      </c>
      <c r="J555" s="5" t="e">
        <f>IF((COUNTIFS(#REF!,$C555,#REF!,J$1))&gt;=1,"SIM","")</f>
        <v>#REF!</v>
      </c>
      <c r="K555" s="5" t="e">
        <f>IF((COUNTIFS(#REF!,$C555,#REF!,K$1))&gt;=1,"SIM","")</f>
        <v>#REF!</v>
      </c>
      <c r="L555" s="5" t="e">
        <f>IF((COUNTIFS(#REF!,$C555,#REF!,L$1))&gt;=1,"SIM","")</f>
        <v>#REF!</v>
      </c>
      <c r="M555" s="5" t="e">
        <f>IF((COUNTIFS(#REF!,$C555,#REF!,M$1))&gt;=1,"SIM","")</f>
        <v>#REF!</v>
      </c>
      <c r="N555" s="5" t="e">
        <f>IF((COUNTIFS(#REF!,$C555,#REF!,N$1))&gt;=1,"SIM","")</f>
        <v>#REF!</v>
      </c>
      <c r="O555" s="5"/>
      <c r="P555" s="5" t="e">
        <f>IF((COUNTIFS(#REF!,$C555,#REF!,P$1))&gt;=1,"SIM","")</f>
        <v>#REF!</v>
      </c>
      <c r="Q555" s="5" t="e">
        <f>IF((COUNTIFS(#REF!,$C555,#REF!,Q$1))&gt;=1,"SIM","")</f>
        <v>#REF!</v>
      </c>
      <c r="R555" s="5" t="e">
        <f>IF((COUNTIFS(#REF!,$C555,#REF!,"*CARTA*"))&gt;=1,"SIM","")</f>
        <v>#REF!</v>
      </c>
      <c r="S555" s="5" t="e">
        <f>IF((COUNTIFS(#REF!,$C555,#REF!,"*CARTA NOTIFICAÇÃO/DEVOL*"))&gt;=1,"SIM","")</f>
        <v>#REF!</v>
      </c>
      <c r="T555" s="5" t="e">
        <f>IF((COUNTIFS(#REF!,$C555,#REF!,"*LIGAÇÃO ATIVA DEV PRIN/LOC*"))&gt;=1,"SIM","")</f>
        <v>#REF!</v>
      </c>
    </row>
    <row r="556" spans="1:20">
      <c r="A556" s="24" t="s">
        <v>2153</v>
      </c>
      <c r="B556" s="24" t="s">
        <v>940</v>
      </c>
      <c r="C556" s="24" t="s">
        <v>941</v>
      </c>
      <c r="D556" s="5" t="e">
        <f>IF((COUNTIFS(#REF!,$C556,#REF!,"*163*"))&gt;=1,"SIM","")</f>
        <v>#REF!</v>
      </c>
      <c r="E556" s="5" t="e">
        <f>IF((COUNTIFS(#REF!,$C556,#REF!,E$1))&gt;=1,"SIM","")</f>
        <v>#REF!</v>
      </c>
      <c r="F556" s="5" t="e">
        <f>IF((COUNTIFS(#REF!,$C556,#REF!,F$1))&gt;=1,"SIM","")</f>
        <v>#REF!</v>
      </c>
      <c r="G556" s="5" t="e">
        <f>IF((COUNTIFS(#REF!,$C556,#REF!,"*606*"))&gt;=1,"SIM","")</f>
        <v>#REF!</v>
      </c>
      <c r="H556" s="5" t="e">
        <f>IF((COUNTIFS(#REF!,$C556,#REF!,"*605*"))&gt;=1,"SIM","")</f>
        <v>#REF!</v>
      </c>
      <c r="I556" s="5" t="e">
        <f>IF((COUNTIFS(#REF!,$C556,#REF!,I$1))&gt;=1,"SIM","")</f>
        <v>#REF!</v>
      </c>
      <c r="J556" s="5" t="e">
        <f>IF((COUNTIFS(#REF!,$C556,#REF!,J$1))&gt;=1,"SIM","")</f>
        <v>#REF!</v>
      </c>
      <c r="K556" s="5" t="e">
        <f>IF((COUNTIFS(#REF!,$C556,#REF!,K$1))&gt;=1,"SIM","")</f>
        <v>#REF!</v>
      </c>
      <c r="L556" s="5" t="e">
        <f>IF((COUNTIFS(#REF!,$C556,#REF!,L$1))&gt;=1,"SIM","")</f>
        <v>#REF!</v>
      </c>
      <c r="M556" s="5" t="e">
        <f>IF((COUNTIFS(#REF!,$C556,#REF!,M$1))&gt;=1,"SIM","")</f>
        <v>#REF!</v>
      </c>
      <c r="N556" s="5" t="e">
        <f>IF((COUNTIFS(#REF!,$C556,#REF!,N$1))&gt;=1,"SIM","")</f>
        <v>#REF!</v>
      </c>
      <c r="O556" s="5"/>
      <c r="P556" s="5" t="e">
        <f>IF((COUNTIFS(#REF!,$C556,#REF!,P$1))&gt;=1,"SIM","")</f>
        <v>#REF!</v>
      </c>
      <c r="Q556" s="5" t="e">
        <f>IF((COUNTIFS(#REF!,$C556,#REF!,Q$1))&gt;=1,"SIM","")</f>
        <v>#REF!</v>
      </c>
      <c r="R556" s="5" t="e">
        <f>IF((COUNTIFS(#REF!,$C556,#REF!,"*CARTA*"))&gt;=1,"SIM","")</f>
        <v>#REF!</v>
      </c>
      <c r="S556" s="5" t="e">
        <f>IF((COUNTIFS(#REF!,$C556,#REF!,"*CARTA NOTIFICAÇÃO/DEVOL*"))&gt;=1,"SIM","")</f>
        <v>#REF!</v>
      </c>
      <c r="T556" s="5" t="e">
        <f>IF((COUNTIFS(#REF!,$C556,#REF!,"*LIGAÇÃO ATIVA DEV PRIN/LOC*"))&gt;=1,"SIM","")</f>
        <v>#REF!</v>
      </c>
    </row>
    <row r="557" spans="1:20">
      <c r="A557" s="24" t="s">
        <v>2159</v>
      </c>
      <c r="B557" s="24" t="s">
        <v>1358</v>
      </c>
      <c r="C557" s="24" t="s">
        <v>1359</v>
      </c>
      <c r="D557" s="5" t="e">
        <f>IF((COUNTIFS(#REF!,$C557,#REF!,"*163*"))&gt;=1,"SIM","")</f>
        <v>#REF!</v>
      </c>
      <c r="E557" s="5" t="e">
        <f>IF((COUNTIFS(#REF!,$C557,#REF!,E$1))&gt;=1,"SIM","")</f>
        <v>#REF!</v>
      </c>
      <c r="F557" s="5" t="e">
        <f>IF((COUNTIFS(#REF!,$C557,#REF!,F$1))&gt;=1,"SIM","")</f>
        <v>#REF!</v>
      </c>
      <c r="G557" s="5" t="e">
        <f>IF((COUNTIFS(#REF!,$C557,#REF!,"*606*"))&gt;=1,"SIM","")</f>
        <v>#REF!</v>
      </c>
      <c r="H557" s="5" t="e">
        <f>IF((COUNTIFS(#REF!,$C557,#REF!,"*605*"))&gt;=1,"SIM","")</f>
        <v>#REF!</v>
      </c>
      <c r="I557" s="5" t="e">
        <f>IF((COUNTIFS(#REF!,$C557,#REF!,I$1))&gt;=1,"SIM","")</f>
        <v>#REF!</v>
      </c>
      <c r="J557" s="5" t="e">
        <f>IF((COUNTIFS(#REF!,$C557,#REF!,J$1))&gt;=1,"SIM","")</f>
        <v>#REF!</v>
      </c>
      <c r="K557" s="5" t="e">
        <f>IF((COUNTIFS(#REF!,$C557,#REF!,K$1))&gt;=1,"SIM","")</f>
        <v>#REF!</v>
      </c>
      <c r="L557" s="5" t="e">
        <f>IF((COUNTIFS(#REF!,$C557,#REF!,L$1))&gt;=1,"SIM","")</f>
        <v>#REF!</v>
      </c>
      <c r="M557" s="5" t="e">
        <f>IF((COUNTIFS(#REF!,$C557,#REF!,M$1))&gt;=1,"SIM","")</f>
        <v>#REF!</v>
      </c>
      <c r="N557" s="5" t="e">
        <f>IF((COUNTIFS(#REF!,$C557,#REF!,N$1))&gt;=1,"SIM","")</f>
        <v>#REF!</v>
      </c>
      <c r="O557" s="5"/>
      <c r="P557" s="5" t="e">
        <f>IF((COUNTIFS(#REF!,$C557,#REF!,P$1))&gt;=1,"SIM","")</f>
        <v>#REF!</v>
      </c>
      <c r="Q557" s="5" t="e">
        <f>IF((COUNTIFS(#REF!,$C557,#REF!,Q$1))&gt;=1,"SIM","")</f>
        <v>#REF!</v>
      </c>
      <c r="R557" s="5" t="e">
        <f>IF((COUNTIFS(#REF!,$C557,#REF!,"*CARTA*"))&gt;=1,"SIM","")</f>
        <v>#REF!</v>
      </c>
      <c r="S557" s="5" t="e">
        <f>IF((COUNTIFS(#REF!,$C557,#REF!,"*CARTA NOTIFICAÇÃO/DEVOL*"))&gt;=1,"SIM","")</f>
        <v>#REF!</v>
      </c>
      <c r="T557" s="5" t="e">
        <f>IF((COUNTIFS(#REF!,$C557,#REF!,"*LIGAÇÃO ATIVA DEV PRIN/LOC*"))&gt;=1,"SIM","")</f>
        <v>#REF!</v>
      </c>
    </row>
    <row r="558" spans="1:20">
      <c r="A558" s="24" t="s">
        <v>2158</v>
      </c>
      <c r="B558" s="24" t="s">
        <v>1061</v>
      </c>
      <c r="C558" s="24" t="s">
        <v>1062</v>
      </c>
      <c r="D558" s="5" t="e">
        <f>IF((COUNTIFS(#REF!,$C558,#REF!,"*163*"))&gt;=1,"SIM","")</f>
        <v>#REF!</v>
      </c>
      <c r="E558" s="5" t="e">
        <f>IF((COUNTIFS(#REF!,$C558,#REF!,E$1))&gt;=1,"SIM","")</f>
        <v>#REF!</v>
      </c>
      <c r="F558" s="5" t="e">
        <f>IF((COUNTIFS(#REF!,$C558,#REF!,F$1))&gt;=1,"SIM","")</f>
        <v>#REF!</v>
      </c>
      <c r="G558" s="5" t="e">
        <f>IF((COUNTIFS(#REF!,$C558,#REF!,"*606*"))&gt;=1,"SIM","")</f>
        <v>#REF!</v>
      </c>
      <c r="H558" s="5" t="e">
        <f>IF((COUNTIFS(#REF!,$C558,#REF!,"*605*"))&gt;=1,"SIM","")</f>
        <v>#REF!</v>
      </c>
      <c r="I558" s="5" t="e">
        <f>IF((COUNTIFS(#REF!,$C558,#REF!,I$1))&gt;=1,"SIM","")</f>
        <v>#REF!</v>
      </c>
      <c r="J558" s="5" t="e">
        <f>IF((COUNTIFS(#REF!,$C558,#REF!,J$1))&gt;=1,"SIM","")</f>
        <v>#REF!</v>
      </c>
      <c r="K558" s="5" t="e">
        <f>IF((COUNTIFS(#REF!,$C558,#REF!,K$1))&gt;=1,"SIM","")</f>
        <v>#REF!</v>
      </c>
      <c r="L558" s="5" t="e">
        <f>IF((COUNTIFS(#REF!,$C558,#REF!,L$1))&gt;=1,"SIM","")</f>
        <v>#REF!</v>
      </c>
      <c r="M558" s="5" t="e">
        <f>IF((COUNTIFS(#REF!,$C558,#REF!,M$1))&gt;=1,"SIM","")</f>
        <v>#REF!</v>
      </c>
      <c r="N558" s="5" t="e">
        <f>IF((COUNTIFS(#REF!,$C558,#REF!,N$1))&gt;=1,"SIM","")</f>
        <v>#REF!</v>
      </c>
      <c r="O558" s="5"/>
      <c r="P558" s="5" t="e">
        <f>IF((COUNTIFS(#REF!,$C558,#REF!,P$1))&gt;=1,"SIM","")</f>
        <v>#REF!</v>
      </c>
      <c r="Q558" s="5" t="e">
        <f>IF((COUNTIFS(#REF!,$C558,#REF!,Q$1))&gt;=1,"SIM","")</f>
        <v>#REF!</v>
      </c>
      <c r="R558" s="5" t="e">
        <f>IF((COUNTIFS(#REF!,$C558,#REF!,"*CARTA*"))&gt;=1,"SIM","")</f>
        <v>#REF!</v>
      </c>
      <c r="S558" s="5" t="e">
        <f>IF((COUNTIFS(#REF!,$C558,#REF!,"*CARTA NOTIFICAÇÃO/DEVOL*"))&gt;=1,"SIM","")</f>
        <v>#REF!</v>
      </c>
      <c r="T558" s="5" t="e">
        <f>IF((COUNTIFS(#REF!,$C558,#REF!,"*LIGAÇÃO ATIVA DEV PRIN/LOC*"))&gt;=1,"SIM","")</f>
        <v>#REF!</v>
      </c>
    </row>
    <row r="559" spans="1:20">
      <c r="A559" s="24" t="s">
        <v>2159</v>
      </c>
      <c r="B559" s="24" t="s">
        <v>1080</v>
      </c>
      <c r="C559" s="24" t="s">
        <v>1081</v>
      </c>
      <c r="D559" s="5" t="e">
        <f>IF((COUNTIFS(#REF!,$C559,#REF!,"*163*"))&gt;=1,"SIM","")</f>
        <v>#REF!</v>
      </c>
      <c r="E559" s="5" t="e">
        <f>IF((COUNTIFS(#REF!,$C559,#REF!,E$1))&gt;=1,"SIM","")</f>
        <v>#REF!</v>
      </c>
      <c r="F559" s="5" t="e">
        <f>IF((COUNTIFS(#REF!,$C559,#REF!,F$1))&gt;=1,"SIM","")</f>
        <v>#REF!</v>
      </c>
      <c r="G559" s="5" t="e">
        <f>IF((COUNTIFS(#REF!,$C559,#REF!,"*606*"))&gt;=1,"SIM","")</f>
        <v>#REF!</v>
      </c>
      <c r="H559" s="5" t="e">
        <f>IF((COUNTIFS(#REF!,$C559,#REF!,"*605*"))&gt;=1,"SIM","")</f>
        <v>#REF!</v>
      </c>
      <c r="I559" s="5" t="e">
        <f>IF((COUNTIFS(#REF!,$C559,#REF!,I$1))&gt;=1,"SIM","")</f>
        <v>#REF!</v>
      </c>
      <c r="J559" s="5" t="e">
        <f>IF((COUNTIFS(#REF!,$C559,#REF!,J$1))&gt;=1,"SIM","")</f>
        <v>#REF!</v>
      </c>
      <c r="K559" s="5" t="e">
        <f>IF((COUNTIFS(#REF!,$C559,#REF!,K$1))&gt;=1,"SIM","")</f>
        <v>#REF!</v>
      </c>
      <c r="L559" s="5" t="e">
        <f>IF((COUNTIFS(#REF!,$C559,#REF!,L$1))&gt;=1,"SIM","")</f>
        <v>#REF!</v>
      </c>
      <c r="M559" s="5" t="e">
        <f>IF((COUNTIFS(#REF!,$C559,#REF!,M$1))&gt;=1,"SIM","")</f>
        <v>#REF!</v>
      </c>
      <c r="N559" s="5" t="e">
        <f>IF((COUNTIFS(#REF!,$C559,#REF!,N$1))&gt;=1,"SIM","")</f>
        <v>#REF!</v>
      </c>
      <c r="O559" s="5"/>
      <c r="P559" s="5" t="e">
        <f>IF((COUNTIFS(#REF!,$C559,#REF!,P$1))&gt;=1,"SIM","")</f>
        <v>#REF!</v>
      </c>
      <c r="Q559" s="5" t="e">
        <f>IF((COUNTIFS(#REF!,$C559,#REF!,Q$1))&gt;=1,"SIM","")</f>
        <v>#REF!</v>
      </c>
      <c r="R559" s="5" t="e">
        <f>IF((COUNTIFS(#REF!,$C559,#REF!,"*CARTA*"))&gt;=1,"SIM","")</f>
        <v>#REF!</v>
      </c>
      <c r="S559" s="5" t="e">
        <f>IF((COUNTIFS(#REF!,$C559,#REF!,"*CARTA NOTIFICAÇÃO/DEVOL*"))&gt;=1,"SIM","")</f>
        <v>#REF!</v>
      </c>
      <c r="T559" s="5" t="e">
        <f>IF((COUNTIFS(#REF!,$C559,#REF!,"*LIGAÇÃO ATIVA DEV PRIN/LOC*"))&gt;=1,"SIM","")</f>
        <v>#REF!</v>
      </c>
    </row>
    <row r="560" spans="1:20">
      <c r="A560" s="24" t="s">
        <v>2153</v>
      </c>
      <c r="B560" s="24" t="s">
        <v>491</v>
      </c>
      <c r="C560" s="24" t="s">
        <v>492</v>
      </c>
      <c r="D560" s="5" t="e">
        <f>IF((COUNTIFS(#REF!,$C560,#REF!,"*163*"))&gt;=1,"SIM","")</f>
        <v>#REF!</v>
      </c>
      <c r="E560" s="5" t="e">
        <f>IF((COUNTIFS(#REF!,$C560,#REF!,E$1))&gt;=1,"SIM","")</f>
        <v>#REF!</v>
      </c>
      <c r="F560" s="5" t="e">
        <f>IF((COUNTIFS(#REF!,$C560,#REF!,F$1))&gt;=1,"SIM","")</f>
        <v>#REF!</v>
      </c>
      <c r="G560" s="5" t="e">
        <f>IF((COUNTIFS(#REF!,$C560,#REF!,"*606*"))&gt;=1,"SIM","")</f>
        <v>#REF!</v>
      </c>
      <c r="H560" s="5" t="e">
        <f>IF((COUNTIFS(#REF!,$C560,#REF!,"*605*"))&gt;=1,"SIM","")</f>
        <v>#REF!</v>
      </c>
      <c r="I560" s="5" t="e">
        <f>IF((COUNTIFS(#REF!,$C560,#REF!,I$1))&gt;=1,"SIM","")</f>
        <v>#REF!</v>
      </c>
      <c r="J560" s="5" t="e">
        <f>IF((COUNTIFS(#REF!,$C560,#REF!,J$1))&gt;=1,"SIM","")</f>
        <v>#REF!</v>
      </c>
      <c r="K560" s="5" t="e">
        <f>IF((COUNTIFS(#REF!,$C560,#REF!,K$1))&gt;=1,"SIM","")</f>
        <v>#REF!</v>
      </c>
      <c r="L560" s="5" t="e">
        <f>IF((COUNTIFS(#REF!,$C560,#REF!,L$1))&gt;=1,"SIM","")</f>
        <v>#REF!</v>
      </c>
      <c r="M560" s="5" t="e">
        <f>IF((COUNTIFS(#REF!,$C560,#REF!,M$1))&gt;=1,"SIM","")</f>
        <v>#REF!</v>
      </c>
      <c r="N560" s="5" t="e">
        <f>IF((COUNTIFS(#REF!,$C560,#REF!,N$1))&gt;=1,"SIM","")</f>
        <v>#REF!</v>
      </c>
      <c r="O560" s="5"/>
      <c r="P560" s="5" t="e">
        <f>IF((COUNTIFS(#REF!,$C560,#REF!,P$1))&gt;=1,"SIM","")</f>
        <v>#REF!</v>
      </c>
      <c r="Q560" s="5" t="e">
        <f>IF((COUNTIFS(#REF!,$C560,#REF!,Q$1))&gt;=1,"SIM","")</f>
        <v>#REF!</v>
      </c>
      <c r="R560" s="5" t="e">
        <f>IF((COUNTIFS(#REF!,$C560,#REF!,"*CARTA*"))&gt;=1,"SIM","")</f>
        <v>#REF!</v>
      </c>
      <c r="S560" s="5" t="e">
        <f>IF((COUNTIFS(#REF!,$C560,#REF!,"*CARTA NOTIFICAÇÃO/DEVOL*"))&gt;=1,"SIM","")</f>
        <v>#REF!</v>
      </c>
      <c r="T560" s="5" t="e">
        <f>IF((COUNTIFS(#REF!,$C560,#REF!,"*LIGAÇÃO ATIVA DEV PRIN/LOC*"))&gt;=1,"SIM","")</f>
        <v>#REF!</v>
      </c>
    </row>
    <row r="561" spans="1:20">
      <c r="A561" s="24" t="s">
        <v>2158</v>
      </c>
      <c r="B561" s="24" t="s">
        <v>1965</v>
      </c>
      <c r="C561" s="24" t="s">
        <v>1966</v>
      </c>
      <c r="D561" s="5" t="e">
        <f>IF((COUNTIFS(#REF!,$C561,#REF!,"*163*"))&gt;=1,"SIM","")</f>
        <v>#REF!</v>
      </c>
      <c r="E561" s="5" t="e">
        <f>IF((COUNTIFS(#REF!,$C561,#REF!,E$1))&gt;=1,"SIM","")</f>
        <v>#REF!</v>
      </c>
      <c r="F561" s="5" t="e">
        <f>IF((COUNTIFS(#REF!,$C561,#REF!,F$1))&gt;=1,"SIM","")</f>
        <v>#REF!</v>
      </c>
      <c r="G561" s="5" t="e">
        <f>IF((COUNTIFS(#REF!,$C561,#REF!,"*606*"))&gt;=1,"SIM","")</f>
        <v>#REF!</v>
      </c>
      <c r="H561" s="5" t="e">
        <f>IF((COUNTIFS(#REF!,$C561,#REF!,"*605*"))&gt;=1,"SIM","")</f>
        <v>#REF!</v>
      </c>
      <c r="I561" s="5" t="e">
        <f>IF((COUNTIFS(#REF!,$C561,#REF!,I$1))&gt;=1,"SIM","")</f>
        <v>#REF!</v>
      </c>
      <c r="J561" s="5" t="e">
        <f>IF((COUNTIFS(#REF!,$C561,#REF!,J$1))&gt;=1,"SIM","")</f>
        <v>#REF!</v>
      </c>
      <c r="K561" s="5" t="e">
        <f>IF((COUNTIFS(#REF!,$C561,#REF!,K$1))&gt;=1,"SIM","")</f>
        <v>#REF!</v>
      </c>
      <c r="L561" s="5" t="e">
        <f>IF((COUNTIFS(#REF!,$C561,#REF!,L$1))&gt;=1,"SIM","")</f>
        <v>#REF!</v>
      </c>
      <c r="M561" s="5" t="e">
        <f>IF((COUNTIFS(#REF!,$C561,#REF!,M$1))&gt;=1,"SIM","")</f>
        <v>#REF!</v>
      </c>
      <c r="N561" s="5" t="e">
        <f>IF((COUNTIFS(#REF!,$C561,#REF!,N$1))&gt;=1,"SIM","")</f>
        <v>#REF!</v>
      </c>
      <c r="O561" s="5"/>
      <c r="P561" s="5" t="e">
        <f>IF((COUNTIFS(#REF!,$C561,#REF!,P$1))&gt;=1,"SIM","")</f>
        <v>#REF!</v>
      </c>
      <c r="Q561" s="5" t="e">
        <f>IF((COUNTIFS(#REF!,$C561,#REF!,Q$1))&gt;=1,"SIM","")</f>
        <v>#REF!</v>
      </c>
      <c r="R561" s="5" t="e">
        <f>IF((COUNTIFS(#REF!,$C561,#REF!,"*CARTA*"))&gt;=1,"SIM","")</f>
        <v>#REF!</v>
      </c>
      <c r="S561" s="5" t="e">
        <f>IF((COUNTIFS(#REF!,$C561,#REF!,"*CARTA NOTIFICAÇÃO/DEVOL*"))&gt;=1,"SIM","")</f>
        <v>#REF!</v>
      </c>
      <c r="T561" s="5" t="e">
        <f>IF((COUNTIFS(#REF!,$C561,#REF!,"*LIGAÇÃO ATIVA DEV PRIN/LOC*"))&gt;=1,"SIM","")</f>
        <v>#REF!</v>
      </c>
    </row>
    <row r="562" spans="1:20">
      <c r="A562" s="24" t="s">
        <v>2153</v>
      </c>
      <c r="B562" s="24" t="s">
        <v>361</v>
      </c>
      <c r="C562" s="24" t="s">
        <v>362</v>
      </c>
      <c r="D562" s="5" t="e">
        <f>IF((COUNTIFS(#REF!,$C562,#REF!,"*163*"))&gt;=1,"SIM","")</f>
        <v>#REF!</v>
      </c>
      <c r="E562" s="5" t="e">
        <f>IF((COUNTIFS(#REF!,$C562,#REF!,E$1))&gt;=1,"SIM","")</f>
        <v>#REF!</v>
      </c>
      <c r="F562" s="5" t="e">
        <f>IF((COUNTIFS(#REF!,$C562,#REF!,F$1))&gt;=1,"SIM","")</f>
        <v>#REF!</v>
      </c>
      <c r="G562" s="5" t="e">
        <f>IF((COUNTIFS(#REF!,$C562,#REF!,"*606*"))&gt;=1,"SIM","")</f>
        <v>#REF!</v>
      </c>
      <c r="H562" s="5" t="e">
        <f>IF((COUNTIFS(#REF!,$C562,#REF!,"*605*"))&gt;=1,"SIM","")</f>
        <v>#REF!</v>
      </c>
      <c r="I562" s="5" t="e">
        <f>IF((COUNTIFS(#REF!,$C562,#REF!,I$1))&gt;=1,"SIM","")</f>
        <v>#REF!</v>
      </c>
      <c r="J562" s="5" t="e">
        <f>IF((COUNTIFS(#REF!,$C562,#REF!,J$1))&gt;=1,"SIM","")</f>
        <v>#REF!</v>
      </c>
      <c r="K562" s="5" t="e">
        <f>IF((COUNTIFS(#REF!,$C562,#REF!,K$1))&gt;=1,"SIM","")</f>
        <v>#REF!</v>
      </c>
      <c r="L562" s="5" t="e">
        <f>IF((COUNTIFS(#REF!,$C562,#REF!,L$1))&gt;=1,"SIM","")</f>
        <v>#REF!</v>
      </c>
      <c r="M562" s="5" t="e">
        <f>IF((COUNTIFS(#REF!,$C562,#REF!,M$1))&gt;=1,"SIM","")</f>
        <v>#REF!</v>
      </c>
      <c r="N562" s="5" t="e">
        <f>IF((COUNTIFS(#REF!,$C562,#REF!,N$1))&gt;=1,"SIM","")</f>
        <v>#REF!</v>
      </c>
      <c r="O562" s="5"/>
      <c r="P562" s="5" t="e">
        <f>IF((COUNTIFS(#REF!,$C562,#REF!,P$1))&gt;=1,"SIM","")</f>
        <v>#REF!</v>
      </c>
      <c r="Q562" s="5" t="e">
        <f>IF((COUNTIFS(#REF!,$C562,#REF!,Q$1))&gt;=1,"SIM","")</f>
        <v>#REF!</v>
      </c>
      <c r="R562" s="5" t="e">
        <f>IF((COUNTIFS(#REF!,$C562,#REF!,"*CARTA*"))&gt;=1,"SIM","")</f>
        <v>#REF!</v>
      </c>
      <c r="S562" s="5" t="e">
        <f>IF((COUNTIFS(#REF!,$C562,#REF!,"*CARTA NOTIFICAÇÃO/DEVOL*"))&gt;=1,"SIM","")</f>
        <v>#REF!</v>
      </c>
      <c r="T562" s="5" t="e">
        <f>IF((COUNTIFS(#REF!,$C562,#REF!,"*LIGAÇÃO ATIVA DEV PRIN/LOC*"))&gt;=1,"SIM","")</f>
        <v>#REF!</v>
      </c>
    </row>
    <row r="563" spans="1:20">
      <c r="A563" s="24" t="s">
        <v>2159</v>
      </c>
      <c r="B563" s="24" t="s">
        <v>2118</v>
      </c>
      <c r="C563" s="24" t="s">
        <v>2119</v>
      </c>
      <c r="D563" s="5" t="e">
        <f>IF((COUNTIFS(#REF!,$C563,#REF!,"*163*"))&gt;=1,"SIM","")</f>
        <v>#REF!</v>
      </c>
      <c r="E563" s="5" t="e">
        <f>IF((COUNTIFS(#REF!,$C563,#REF!,E$1))&gt;=1,"SIM","")</f>
        <v>#REF!</v>
      </c>
      <c r="F563" s="5" t="e">
        <f>IF((COUNTIFS(#REF!,$C563,#REF!,F$1))&gt;=1,"SIM","")</f>
        <v>#REF!</v>
      </c>
      <c r="G563" s="5" t="e">
        <f>IF((COUNTIFS(#REF!,$C563,#REF!,"*606*"))&gt;=1,"SIM","")</f>
        <v>#REF!</v>
      </c>
      <c r="H563" s="5" t="e">
        <f>IF((COUNTIFS(#REF!,$C563,#REF!,"*605*"))&gt;=1,"SIM","")</f>
        <v>#REF!</v>
      </c>
      <c r="I563" s="5" t="e">
        <f>IF((COUNTIFS(#REF!,$C563,#REF!,I$1))&gt;=1,"SIM","")</f>
        <v>#REF!</v>
      </c>
      <c r="J563" s="5" t="e">
        <f>IF((COUNTIFS(#REF!,$C563,#REF!,J$1))&gt;=1,"SIM","")</f>
        <v>#REF!</v>
      </c>
      <c r="K563" s="5" t="e">
        <f>IF((COUNTIFS(#REF!,$C563,#REF!,K$1))&gt;=1,"SIM","")</f>
        <v>#REF!</v>
      </c>
      <c r="L563" s="5" t="e">
        <f>IF((COUNTIFS(#REF!,$C563,#REF!,L$1))&gt;=1,"SIM","")</f>
        <v>#REF!</v>
      </c>
      <c r="M563" s="5" t="e">
        <f>IF((COUNTIFS(#REF!,$C563,#REF!,M$1))&gt;=1,"SIM","")</f>
        <v>#REF!</v>
      </c>
      <c r="N563" s="5" t="e">
        <f>IF((COUNTIFS(#REF!,$C563,#REF!,N$1))&gt;=1,"SIM","")</f>
        <v>#REF!</v>
      </c>
      <c r="O563" s="5"/>
      <c r="P563" s="5" t="e">
        <f>IF((COUNTIFS(#REF!,$C563,#REF!,P$1))&gt;=1,"SIM","")</f>
        <v>#REF!</v>
      </c>
      <c r="Q563" s="5" t="e">
        <f>IF((COUNTIFS(#REF!,$C563,#REF!,Q$1))&gt;=1,"SIM","")</f>
        <v>#REF!</v>
      </c>
      <c r="R563" s="5" t="e">
        <f>IF((COUNTIFS(#REF!,$C563,#REF!,"*CARTA*"))&gt;=1,"SIM","")</f>
        <v>#REF!</v>
      </c>
      <c r="S563" s="5" t="e">
        <f>IF((COUNTIFS(#REF!,$C563,#REF!,"*CARTA NOTIFICAÇÃO/DEVOL*"))&gt;=1,"SIM","")</f>
        <v>#REF!</v>
      </c>
      <c r="T563" s="5" t="e">
        <f>IF((COUNTIFS(#REF!,$C563,#REF!,"*LIGAÇÃO ATIVA DEV PRIN/LOC*"))&gt;=1,"SIM","")</f>
        <v>#REF!</v>
      </c>
    </row>
    <row r="564" spans="1:20">
      <c r="A564" s="24" t="s">
        <v>2153</v>
      </c>
      <c r="B564" s="24" t="s">
        <v>588</v>
      </c>
      <c r="C564" s="24" t="s">
        <v>589</v>
      </c>
      <c r="D564" s="5" t="e">
        <f>IF((COUNTIFS(#REF!,$C564,#REF!,"*163*"))&gt;=1,"SIM","")</f>
        <v>#REF!</v>
      </c>
      <c r="E564" s="5" t="e">
        <f>IF((COUNTIFS(#REF!,$C564,#REF!,E$1))&gt;=1,"SIM","")</f>
        <v>#REF!</v>
      </c>
      <c r="F564" s="5" t="e">
        <f>IF((COUNTIFS(#REF!,$C564,#REF!,F$1))&gt;=1,"SIM","")</f>
        <v>#REF!</v>
      </c>
      <c r="G564" s="5" t="e">
        <f>IF((COUNTIFS(#REF!,$C564,#REF!,"*606*"))&gt;=1,"SIM","")</f>
        <v>#REF!</v>
      </c>
      <c r="H564" s="5" t="e">
        <f>IF((COUNTIFS(#REF!,$C564,#REF!,"*605*"))&gt;=1,"SIM","")</f>
        <v>#REF!</v>
      </c>
      <c r="I564" s="5" t="e">
        <f>IF((COUNTIFS(#REF!,$C564,#REF!,I$1))&gt;=1,"SIM","")</f>
        <v>#REF!</v>
      </c>
      <c r="J564" s="5" t="e">
        <f>IF((COUNTIFS(#REF!,$C564,#REF!,J$1))&gt;=1,"SIM","")</f>
        <v>#REF!</v>
      </c>
      <c r="K564" s="5" t="e">
        <f>IF((COUNTIFS(#REF!,$C564,#REF!,K$1))&gt;=1,"SIM","")</f>
        <v>#REF!</v>
      </c>
      <c r="L564" s="5" t="e">
        <f>IF((COUNTIFS(#REF!,$C564,#REF!,L$1))&gt;=1,"SIM","")</f>
        <v>#REF!</v>
      </c>
      <c r="M564" s="5" t="e">
        <f>IF((COUNTIFS(#REF!,$C564,#REF!,M$1))&gt;=1,"SIM","")</f>
        <v>#REF!</v>
      </c>
      <c r="N564" s="5" t="e">
        <f>IF((COUNTIFS(#REF!,$C564,#REF!,N$1))&gt;=1,"SIM","")</f>
        <v>#REF!</v>
      </c>
      <c r="O564" s="5"/>
      <c r="P564" s="5" t="e">
        <f>IF((COUNTIFS(#REF!,$C564,#REF!,P$1))&gt;=1,"SIM","")</f>
        <v>#REF!</v>
      </c>
      <c r="Q564" s="5" t="e">
        <f>IF((COUNTIFS(#REF!,$C564,#REF!,Q$1))&gt;=1,"SIM","")</f>
        <v>#REF!</v>
      </c>
      <c r="R564" s="5" t="e">
        <f>IF((COUNTIFS(#REF!,$C564,#REF!,"*CARTA*"))&gt;=1,"SIM","")</f>
        <v>#REF!</v>
      </c>
      <c r="S564" s="5" t="e">
        <f>IF((COUNTIFS(#REF!,$C564,#REF!,"*CARTA NOTIFICAÇÃO/DEVOL*"))&gt;=1,"SIM","")</f>
        <v>#REF!</v>
      </c>
      <c r="T564" s="5" t="e">
        <f>IF((COUNTIFS(#REF!,$C564,#REF!,"*LIGAÇÃO ATIVA DEV PRIN/LOC*"))&gt;=1,"SIM","")</f>
        <v>#REF!</v>
      </c>
    </row>
    <row r="565" spans="1:20">
      <c r="A565" s="24" t="s">
        <v>2153</v>
      </c>
      <c r="B565" s="24" t="s">
        <v>1180</v>
      </c>
      <c r="C565" s="24" t="s">
        <v>589</v>
      </c>
      <c r="D565" s="5" t="e">
        <f>IF((COUNTIFS(#REF!,$C565,#REF!,"*163*"))&gt;=1,"SIM","")</f>
        <v>#REF!</v>
      </c>
      <c r="E565" s="5" t="e">
        <f>IF((COUNTIFS(#REF!,$C565,#REF!,E$1))&gt;=1,"SIM","")</f>
        <v>#REF!</v>
      </c>
      <c r="F565" s="5" t="e">
        <f>IF((COUNTIFS(#REF!,$C565,#REF!,F$1))&gt;=1,"SIM","")</f>
        <v>#REF!</v>
      </c>
      <c r="G565" s="5" t="e">
        <f>IF((COUNTIFS(#REF!,$C565,#REF!,"*606*"))&gt;=1,"SIM","")</f>
        <v>#REF!</v>
      </c>
      <c r="H565" s="5" t="e">
        <f>IF((COUNTIFS(#REF!,$C565,#REF!,"*605*"))&gt;=1,"SIM","")</f>
        <v>#REF!</v>
      </c>
      <c r="I565" s="5" t="e">
        <f>IF((COUNTIFS(#REF!,$C565,#REF!,I$1))&gt;=1,"SIM","")</f>
        <v>#REF!</v>
      </c>
      <c r="J565" s="5" t="e">
        <f>IF((COUNTIFS(#REF!,$C565,#REF!,J$1))&gt;=1,"SIM","")</f>
        <v>#REF!</v>
      </c>
      <c r="K565" s="5" t="e">
        <f>IF((COUNTIFS(#REF!,$C565,#REF!,K$1))&gt;=1,"SIM","")</f>
        <v>#REF!</v>
      </c>
      <c r="L565" s="5" t="e">
        <f>IF((COUNTIFS(#REF!,$C565,#REF!,L$1))&gt;=1,"SIM","")</f>
        <v>#REF!</v>
      </c>
      <c r="M565" s="5" t="e">
        <f>IF((COUNTIFS(#REF!,$C565,#REF!,M$1))&gt;=1,"SIM","")</f>
        <v>#REF!</v>
      </c>
      <c r="N565" s="5" t="e">
        <f>IF((COUNTIFS(#REF!,$C565,#REF!,N$1))&gt;=1,"SIM","")</f>
        <v>#REF!</v>
      </c>
      <c r="O565" s="5"/>
      <c r="P565" s="5" t="e">
        <f>IF((COUNTIFS(#REF!,$C565,#REF!,P$1))&gt;=1,"SIM","")</f>
        <v>#REF!</v>
      </c>
      <c r="Q565" s="5" t="e">
        <f>IF((COUNTIFS(#REF!,$C565,#REF!,Q$1))&gt;=1,"SIM","")</f>
        <v>#REF!</v>
      </c>
      <c r="R565" s="5" t="e">
        <f>IF((COUNTIFS(#REF!,$C565,#REF!,"*CARTA*"))&gt;=1,"SIM","")</f>
        <v>#REF!</v>
      </c>
      <c r="S565" s="5" t="e">
        <f>IF((COUNTIFS(#REF!,$C565,#REF!,"*CARTA NOTIFICAÇÃO/DEVOL*"))&gt;=1,"SIM","")</f>
        <v>#REF!</v>
      </c>
      <c r="T565" s="5" t="e">
        <f>IF((COUNTIFS(#REF!,$C565,#REF!,"*LIGAÇÃO ATIVA DEV PRIN/LOC*"))&gt;=1,"SIM","")</f>
        <v>#REF!</v>
      </c>
    </row>
    <row r="566" spans="1:20">
      <c r="A566" s="24" t="s">
        <v>2153</v>
      </c>
      <c r="B566" s="24" t="s">
        <v>1065</v>
      </c>
      <c r="C566" s="24" t="s">
        <v>1066</v>
      </c>
      <c r="D566" s="5" t="e">
        <f>IF((COUNTIFS(#REF!,$C566,#REF!,"*163*"))&gt;=1,"SIM","")</f>
        <v>#REF!</v>
      </c>
      <c r="E566" s="5" t="e">
        <f>IF((COUNTIFS(#REF!,$C566,#REF!,E$1))&gt;=1,"SIM","")</f>
        <v>#REF!</v>
      </c>
      <c r="F566" s="5" t="e">
        <f>IF((COUNTIFS(#REF!,$C566,#REF!,F$1))&gt;=1,"SIM","")</f>
        <v>#REF!</v>
      </c>
      <c r="G566" s="5" t="e">
        <f>IF((COUNTIFS(#REF!,$C566,#REF!,"*606*"))&gt;=1,"SIM","")</f>
        <v>#REF!</v>
      </c>
      <c r="H566" s="5" t="e">
        <f>IF((COUNTIFS(#REF!,$C566,#REF!,"*605*"))&gt;=1,"SIM","")</f>
        <v>#REF!</v>
      </c>
      <c r="I566" s="5" t="e">
        <f>IF((COUNTIFS(#REF!,$C566,#REF!,I$1))&gt;=1,"SIM","")</f>
        <v>#REF!</v>
      </c>
      <c r="J566" s="5" t="e">
        <f>IF((COUNTIFS(#REF!,$C566,#REF!,J$1))&gt;=1,"SIM","")</f>
        <v>#REF!</v>
      </c>
      <c r="K566" s="5" t="e">
        <f>IF((COUNTIFS(#REF!,$C566,#REF!,K$1))&gt;=1,"SIM","")</f>
        <v>#REF!</v>
      </c>
      <c r="L566" s="5" t="e">
        <f>IF((COUNTIFS(#REF!,$C566,#REF!,L$1))&gt;=1,"SIM","")</f>
        <v>#REF!</v>
      </c>
      <c r="M566" s="5" t="e">
        <f>IF((COUNTIFS(#REF!,$C566,#REF!,M$1))&gt;=1,"SIM","")</f>
        <v>#REF!</v>
      </c>
      <c r="N566" s="5" t="e">
        <f>IF((COUNTIFS(#REF!,$C566,#REF!,N$1))&gt;=1,"SIM","")</f>
        <v>#REF!</v>
      </c>
      <c r="O566" s="5"/>
      <c r="P566" s="5" t="e">
        <f>IF((COUNTIFS(#REF!,$C566,#REF!,P$1))&gt;=1,"SIM","")</f>
        <v>#REF!</v>
      </c>
      <c r="Q566" s="5" t="e">
        <f>IF((COUNTIFS(#REF!,$C566,#REF!,Q$1))&gt;=1,"SIM","")</f>
        <v>#REF!</v>
      </c>
      <c r="R566" s="5" t="e">
        <f>IF((COUNTIFS(#REF!,$C566,#REF!,"*CARTA*"))&gt;=1,"SIM","")</f>
        <v>#REF!</v>
      </c>
      <c r="S566" s="5" t="e">
        <f>IF((COUNTIFS(#REF!,$C566,#REF!,"*CARTA NOTIFICAÇÃO/DEVOL*"))&gt;=1,"SIM","")</f>
        <v>#REF!</v>
      </c>
      <c r="T566" s="5" t="e">
        <f>IF((COUNTIFS(#REF!,$C566,#REF!,"*LIGAÇÃO ATIVA DEV PRIN/LOC*"))&gt;=1,"SIM","")</f>
        <v>#REF!</v>
      </c>
    </row>
    <row r="567" spans="1:20">
      <c r="A567" s="24" t="s">
        <v>2153</v>
      </c>
      <c r="B567" s="24" t="s">
        <v>382</v>
      </c>
      <c r="C567" s="24" t="s">
        <v>383</v>
      </c>
      <c r="D567" s="5" t="e">
        <f>IF((COUNTIFS(#REF!,$C567,#REF!,"*163*"))&gt;=1,"SIM","")</f>
        <v>#REF!</v>
      </c>
      <c r="E567" s="5" t="e">
        <f>IF((COUNTIFS(#REF!,$C567,#REF!,E$1))&gt;=1,"SIM","")</f>
        <v>#REF!</v>
      </c>
      <c r="F567" s="5" t="e">
        <f>IF((COUNTIFS(#REF!,$C567,#REF!,F$1))&gt;=1,"SIM","")</f>
        <v>#REF!</v>
      </c>
      <c r="G567" s="5" t="e">
        <f>IF((COUNTIFS(#REF!,$C567,#REF!,"*606*"))&gt;=1,"SIM","")</f>
        <v>#REF!</v>
      </c>
      <c r="H567" s="5" t="e">
        <f>IF((COUNTIFS(#REF!,$C567,#REF!,"*605*"))&gt;=1,"SIM","")</f>
        <v>#REF!</v>
      </c>
      <c r="I567" s="5" t="e">
        <f>IF((COUNTIFS(#REF!,$C567,#REF!,I$1))&gt;=1,"SIM","")</f>
        <v>#REF!</v>
      </c>
      <c r="J567" s="5" t="e">
        <f>IF((COUNTIFS(#REF!,$C567,#REF!,J$1))&gt;=1,"SIM","")</f>
        <v>#REF!</v>
      </c>
      <c r="K567" s="5" t="e">
        <f>IF((COUNTIFS(#REF!,$C567,#REF!,K$1))&gt;=1,"SIM","")</f>
        <v>#REF!</v>
      </c>
      <c r="L567" s="5" t="e">
        <f>IF((COUNTIFS(#REF!,$C567,#REF!,L$1))&gt;=1,"SIM","")</f>
        <v>#REF!</v>
      </c>
      <c r="M567" s="5" t="e">
        <f>IF((COUNTIFS(#REF!,$C567,#REF!,M$1))&gt;=1,"SIM","")</f>
        <v>#REF!</v>
      </c>
      <c r="N567" s="5" t="e">
        <f>IF((COUNTIFS(#REF!,$C567,#REF!,N$1))&gt;=1,"SIM","")</f>
        <v>#REF!</v>
      </c>
      <c r="O567" s="5"/>
      <c r="P567" s="5" t="e">
        <f>IF((COUNTIFS(#REF!,$C567,#REF!,P$1))&gt;=1,"SIM","")</f>
        <v>#REF!</v>
      </c>
      <c r="Q567" s="5" t="e">
        <f>IF((COUNTIFS(#REF!,$C567,#REF!,Q$1))&gt;=1,"SIM","")</f>
        <v>#REF!</v>
      </c>
      <c r="R567" s="5" t="e">
        <f>IF((COUNTIFS(#REF!,$C567,#REF!,"*CARTA*"))&gt;=1,"SIM","")</f>
        <v>#REF!</v>
      </c>
      <c r="S567" s="5" t="e">
        <f>IF((COUNTIFS(#REF!,$C567,#REF!,"*CARTA NOTIFICAÇÃO/DEVOL*"))&gt;=1,"SIM","")</f>
        <v>#REF!</v>
      </c>
      <c r="T567" s="5" t="e">
        <f>IF((COUNTIFS(#REF!,$C567,#REF!,"*LIGAÇÃO ATIVA DEV PRIN/LOC*"))&gt;=1,"SIM","")</f>
        <v>#REF!</v>
      </c>
    </row>
    <row r="568" spans="1:20">
      <c r="A568" s="24" t="s">
        <v>2159</v>
      </c>
      <c r="B568" s="24" t="s">
        <v>1642</v>
      </c>
      <c r="C568" s="24" t="s">
        <v>1643</v>
      </c>
      <c r="D568" s="5" t="e">
        <f>IF((COUNTIFS(#REF!,$C568,#REF!,"*163*"))&gt;=1,"SIM","")</f>
        <v>#REF!</v>
      </c>
      <c r="E568" s="5" t="e">
        <f>IF((COUNTIFS(#REF!,$C568,#REF!,E$1))&gt;=1,"SIM","")</f>
        <v>#REF!</v>
      </c>
      <c r="F568" s="5" t="e">
        <f>IF((COUNTIFS(#REF!,$C568,#REF!,F$1))&gt;=1,"SIM","")</f>
        <v>#REF!</v>
      </c>
      <c r="G568" s="5" t="e">
        <f>IF((COUNTIFS(#REF!,$C568,#REF!,"*606*"))&gt;=1,"SIM","")</f>
        <v>#REF!</v>
      </c>
      <c r="H568" s="5" t="e">
        <f>IF((COUNTIFS(#REF!,$C568,#REF!,"*605*"))&gt;=1,"SIM","")</f>
        <v>#REF!</v>
      </c>
      <c r="I568" s="5" t="e">
        <f>IF((COUNTIFS(#REF!,$C568,#REF!,I$1))&gt;=1,"SIM","")</f>
        <v>#REF!</v>
      </c>
      <c r="J568" s="5" t="e">
        <f>IF((COUNTIFS(#REF!,$C568,#REF!,J$1))&gt;=1,"SIM","")</f>
        <v>#REF!</v>
      </c>
      <c r="K568" s="5" t="e">
        <f>IF((COUNTIFS(#REF!,$C568,#REF!,K$1))&gt;=1,"SIM","")</f>
        <v>#REF!</v>
      </c>
      <c r="L568" s="5" t="e">
        <f>IF((COUNTIFS(#REF!,$C568,#REF!,L$1))&gt;=1,"SIM","")</f>
        <v>#REF!</v>
      </c>
      <c r="M568" s="5" t="e">
        <f>IF((COUNTIFS(#REF!,$C568,#REF!,M$1))&gt;=1,"SIM","")</f>
        <v>#REF!</v>
      </c>
      <c r="N568" s="5" t="e">
        <f>IF((COUNTIFS(#REF!,$C568,#REF!,N$1))&gt;=1,"SIM","")</f>
        <v>#REF!</v>
      </c>
      <c r="O568" s="5"/>
      <c r="P568" s="5" t="e">
        <f>IF((COUNTIFS(#REF!,$C568,#REF!,P$1))&gt;=1,"SIM","")</f>
        <v>#REF!</v>
      </c>
      <c r="Q568" s="5" t="e">
        <f>IF((COUNTIFS(#REF!,$C568,#REF!,Q$1))&gt;=1,"SIM","")</f>
        <v>#REF!</v>
      </c>
      <c r="R568" s="5" t="e">
        <f>IF((COUNTIFS(#REF!,$C568,#REF!,"*CARTA*"))&gt;=1,"SIM","")</f>
        <v>#REF!</v>
      </c>
      <c r="S568" s="5" t="e">
        <f>IF((COUNTIFS(#REF!,$C568,#REF!,"*CARTA NOTIFICAÇÃO/DEVOL*"))&gt;=1,"SIM","")</f>
        <v>#REF!</v>
      </c>
      <c r="T568" s="5" t="e">
        <f>IF((COUNTIFS(#REF!,$C568,#REF!,"*LIGAÇÃO ATIVA DEV PRIN/LOC*"))&gt;=1,"SIM","")</f>
        <v>#REF!</v>
      </c>
    </row>
    <row r="569" spans="1:20">
      <c r="A569" s="24" t="s">
        <v>2155</v>
      </c>
      <c r="B569" s="24" t="s">
        <v>145</v>
      </c>
      <c r="C569" s="24" t="s">
        <v>146</v>
      </c>
      <c r="D569" s="5" t="e">
        <f>IF((COUNTIFS(#REF!,$C569,#REF!,"*163*"))&gt;=1,"SIM","")</f>
        <v>#REF!</v>
      </c>
      <c r="E569" s="5" t="e">
        <f>IF((COUNTIFS(#REF!,$C569,#REF!,E$1))&gt;=1,"SIM","")</f>
        <v>#REF!</v>
      </c>
      <c r="F569" s="5" t="e">
        <f>IF((COUNTIFS(#REF!,$C569,#REF!,F$1))&gt;=1,"SIM","")</f>
        <v>#REF!</v>
      </c>
      <c r="G569" s="5" t="e">
        <f>IF((COUNTIFS(#REF!,$C569,#REF!,"*606*"))&gt;=1,"SIM","")</f>
        <v>#REF!</v>
      </c>
      <c r="H569" s="5" t="e">
        <f>IF((COUNTIFS(#REF!,$C569,#REF!,"*605*"))&gt;=1,"SIM","")</f>
        <v>#REF!</v>
      </c>
      <c r="I569" s="5" t="e">
        <f>IF((COUNTIFS(#REF!,$C569,#REF!,I$1))&gt;=1,"SIM","")</f>
        <v>#REF!</v>
      </c>
      <c r="J569" s="5" t="e">
        <f>IF((COUNTIFS(#REF!,$C569,#REF!,J$1))&gt;=1,"SIM","")</f>
        <v>#REF!</v>
      </c>
      <c r="K569" s="5" t="e">
        <f>IF((COUNTIFS(#REF!,$C569,#REF!,K$1))&gt;=1,"SIM","")</f>
        <v>#REF!</v>
      </c>
      <c r="L569" s="5" t="e">
        <f>IF((COUNTIFS(#REF!,$C569,#REF!,L$1))&gt;=1,"SIM","")</f>
        <v>#REF!</v>
      </c>
      <c r="M569" s="5" t="e">
        <f>IF((COUNTIFS(#REF!,$C569,#REF!,M$1))&gt;=1,"SIM","")</f>
        <v>#REF!</v>
      </c>
      <c r="N569" s="5" t="e">
        <f>IF((COUNTIFS(#REF!,$C569,#REF!,N$1))&gt;=1,"SIM","")</f>
        <v>#REF!</v>
      </c>
      <c r="O569" s="5"/>
      <c r="P569" s="5" t="e">
        <f>IF((COUNTIFS(#REF!,$C569,#REF!,P$1))&gt;=1,"SIM","")</f>
        <v>#REF!</v>
      </c>
      <c r="Q569" s="5" t="e">
        <f>IF((COUNTIFS(#REF!,$C569,#REF!,Q$1))&gt;=1,"SIM","")</f>
        <v>#REF!</v>
      </c>
      <c r="R569" s="5" t="e">
        <f>IF((COUNTIFS(#REF!,$C569,#REF!,"*CARTA*"))&gt;=1,"SIM","")</f>
        <v>#REF!</v>
      </c>
      <c r="S569" s="5" t="e">
        <f>IF((COUNTIFS(#REF!,$C569,#REF!,"*CARTA NOTIFICAÇÃO/DEVOL*"))&gt;=1,"SIM","")</f>
        <v>#REF!</v>
      </c>
      <c r="T569" s="5" t="e">
        <f>IF((COUNTIFS(#REF!,$C569,#REF!,"*LIGAÇÃO ATIVA DEV PRIN/LOC*"))&gt;=1,"SIM","")</f>
        <v>#REF!</v>
      </c>
    </row>
    <row r="570" spans="1:20">
      <c r="A570" s="24" t="s">
        <v>2153</v>
      </c>
      <c r="B570" s="24" t="s">
        <v>145</v>
      </c>
      <c r="C570" s="24" t="s">
        <v>146</v>
      </c>
      <c r="D570" s="5" t="e">
        <f>IF((COUNTIFS(#REF!,$C570,#REF!,"*163*"))&gt;=1,"SIM","")</f>
        <v>#REF!</v>
      </c>
      <c r="E570" s="5" t="e">
        <f>IF((COUNTIFS(#REF!,$C570,#REF!,E$1))&gt;=1,"SIM","")</f>
        <v>#REF!</v>
      </c>
      <c r="F570" s="5" t="e">
        <f>IF((COUNTIFS(#REF!,$C570,#REF!,F$1))&gt;=1,"SIM","")</f>
        <v>#REF!</v>
      </c>
      <c r="G570" s="5" t="e">
        <f>IF((COUNTIFS(#REF!,$C570,#REF!,"*606*"))&gt;=1,"SIM","")</f>
        <v>#REF!</v>
      </c>
      <c r="H570" s="5" t="e">
        <f>IF((COUNTIFS(#REF!,$C570,#REF!,"*605*"))&gt;=1,"SIM","")</f>
        <v>#REF!</v>
      </c>
      <c r="I570" s="5" t="e">
        <f>IF((COUNTIFS(#REF!,$C570,#REF!,I$1))&gt;=1,"SIM","")</f>
        <v>#REF!</v>
      </c>
      <c r="J570" s="5" t="e">
        <f>IF((COUNTIFS(#REF!,$C570,#REF!,J$1))&gt;=1,"SIM","")</f>
        <v>#REF!</v>
      </c>
      <c r="K570" s="5" t="e">
        <f>IF((COUNTIFS(#REF!,$C570,#REF!,K$1))&gt;=1,"SIM","")</f>
        <v>#REF!</v>
      </c>
      <c r="L570" s="5" t="e">
        <f>IF((COUNTIFS(#REF!,$C570,#REF!,L$1))&gt;=1,"SIM","")</f>
        <v>#REF!</v>
      </c>
      <c r="M570" s="5" t="e">
        <f>IF((COUNTIFS(#REF!,$C570,#REF!,M$1))&gt;=1,"SIM","")</f>
        <v>#REF!</v>
      </c>
      <c r="N570" s="5" t="e">
        <f>IF((COUNTIFS(#REF!,$C570,#REF!,N$1))&gt;=1,"SIM","")</f>
        <v>#REF!</v>
      </c>
      <c r="O570" s="5"/>
      <c r="P570" s="5" t="e">
        <f>IF((COUNTIFS(#REF!,$C570,#REF!,P$1))&gt;=1,"SIM","")</f>
        <v>#REF!</v>
      </c>
      <c r="Q570" s="5" t="e">
        <f>IF((COUNTIFS(#REF!,$C570,#REF!,Q$1))&gt;=1,"SIM","")</f>
        <v>#REF!</v>
      </c>
      <c r="R570" s="5" t="e">
        <f>IF((COUNTIFS(#REF!,$C570,#REF!,"*CARTA*"))&gt;=1,"SIM","")</f>
        <v>#REF!</v>
      </c>
      <c r="S570" s="5" t="e">
        <f>IF((COUNTIFS(#REF!,$C570,#REF!,"*CARTA NOTIFICAÇÃO/DEVOL*"))&gt;=1,"SIM","")</f>
        <v>#REF!</v>
      </c>
      <c r="T570" s="5" t="e">
        <f>IF((COUNTIFS(#REF!,$C570,#REF!,"*LIGAÇÃO ATIVA DEV PRIN/LOC*"))&gt;=1,"SIM","")</f>
        <v>#REF!</v>
      </c>
    </row>
    <row r="571" spans="1:20">
      <c r="A571" s="24" t="s">
        <v>2153</v>
      </c>
      <c r="B571" s="24" t="s">
        <v>950</v>
      </c>
      <c r="C571" s="24" t="s">
        <v>951</v>
      </c>
      <c r="D571" s="5" t="e">
        <f>IF((COUNTIFS(#REF!,$C571,#REF!,"*163*"))&gt;=1,"SIM","")</f>
        <v>#REF!</v>
      </c>
      <c r="E571" s="5" t="e">
        <f>IF((COUNTIFS(#REF!,$C571,#REF!,E$1))&gt;=1,"SIM","")</f>
        <v>#REF!</v>
      </c>
      <c r="F571" s="5" t="e">
        <f>IF((COUNTIFS(#REF!,$C571,#REF!,F$1))&gt;=1,"SIM","")</f>
        <v>#REF!</v>
      </c>
      <c r="G571" s="5" t="e">
        <f>IF((COUNTIFS(#REF!,$C571,#REF!,"*606*"))&gt;=1,"SIM","")</f>
        <v>#REF!</v>
      </c>
      <c r="H571" s="5" t="e">
        <f>IF((COUNTIFS(#REF!,$C571,#REF!,"*605*"))&gt;=1,"SIM","")</f>
        <v>#REF!</v>
      </c>
      <c r="I571" s="5" t="e">
        <f>IF((COUNTIFS(#REF!,$C571,#REF!,I$1))&gt;=1,"SIM","")</f>
        <v>#REF!</v>
      </c>
      <c r="J571" s="5" t="e">
        <f>IF((COUNTIFS(#REF!,$C571,#REF!,J$1))&gt;=1,"SIM","")</f>
        <v>#REF!</v>
      </c>
      <c r="K571" s="5" t="e">
        <f>IF((COUNTIFS(#REF!,$C571,#REF!,K$1))&gt;=1,"SIM","")</f>
        <v>#REF!</v>
      </c>
      <c r="L571" s="5" t="e">
        <f>IF((COUNTIFS(#REF!,$C571,#REF!,L$1))&gt;=1,"SIM","")</f>
        <v>#REF!</v>
      </c>
      <c r="M571" s="5" t="e">
        <f>IF((COUNTIFS(#REF!,$C571,#REF!,M$1))&gt;=1,"SIM","")</f>
        <v>#REF!</v>
      </c>
      <c r="N571" s="5" t="e">
        <f>IF((COUNTIFS(#REF!,$C571,#REF!,N$1))&gt;=1,"SIM","")</f>
        <v>#REF!</v>
      </c>
      <c r="O571" s="5"/>
      <c r="P571" s="5" t="e">
        <f>IF((COUNTIFS(#REF!,$C571,#REF!,P$1))&gt;=1,"SIM","")</f>
        <v>#REF!</v>
      </c>
      <c r="Q571" s="5" t="e">
        <f>IF((COUNTIFS(#REF!,$C571,#REF!,Q$1))&gt;=1,"SIM","")</f>
        <v>#REF!</v>
      </c>
      <c r="R571" s="5" t="e">
        <f>IF((COUNTIFS(#REF!,$C571,#REF!,"*CARTA*"))&gt;=1,"SIM","")</f>
        <v>#REF!</v>
      </c>
      <c r="S571" s="5" t="e">
        <f>IF((COUNTIFS(#REF!,$C571,#REF!,"*CARTA NOTIFICAÇÃO/DEVOL*"))&gt;=1,"SIM","")</f>
        <v>#REF!</v>
      </c>
      <c r="T571" s="5" t="e">
        <f>IF((COUNTIFS(#REF!,$C571,#REF!,"*LIGAÇÃO ATIVA DEV PRIN/LOC*"))&gt;=1,"SIM","")</f>
        <v>#REF!</v>
      </c>
    </row>
    <row r="572" spans="1:20">
      <c r="A572" s="24" t="s">
        <v>2153</v>
      </c>
      <c r="B572" s="24" t="s">
        <v>720</v>
      </c>
      <c r="C572" s="24" t="s">
        <v>721</v>
      </c>
      <c r="D572" s="5" t="e">
        <f>IF((COUNTIFS(#REF!,$C572,#REF!,"*163*"))&gt;=1,"SIM","")</f>
        <v>#REF!</v>
      </c>
      <c r="E572" s="5" t="e">
        <f>IF((COUNTIFS(#REF!,$C572,#REF!,E$1))&gt;=1,"SIM","")</f>
        <v>#REF!</v>
      </c>
      <c r="F572" s="5" t="e">
        <f>IF((COUNTIFS(#REF!,$C572,#REF!,F$1))&gt;=1,"SIM","")</f>
        <v>#REF!</v>
      </c>
      <c r="G572" s="5" t="e">
        <f>IF((COUNTIFS(#REF!,$C572,#REF!,"*606*"))&gt;=1,"SIM","")</f>
        <v>#REF!</v>
      </c>
      <c r="H572" s="5" t="e">
        <f>IF((COUNTIFS(#REF!,$C572,#REF!,"*605*"))&gt;=1,"SIM","")</f>
        <v>#REF!</v>
      </c>
      <c r="I572" s="5" t="e">
        <f>IF((COUNTIFS(#REF!,$C572,#REF!,I$1))&gt;=1,"SIM","")</f>
        <v>#REF!</v>
      </c>
      <c r="J572" s="5" t="e">
        <f>IF((COUNTIFS(#REF!,$C572,#REF!,J$1))&gt;=1,"SIM","")</f>
        <v>#REF!</v>
      </c>
      <c r="K572" s="5" t="e">
        <f>IF((COUNTIFS(#REF!,$C572,#REF!,K$1))&gt;=1,"SIM","")</f>
        <v>#REF!</v>
      </c>
      <c r="L572" s="5" t="e">
        <f>IF((COUNTIFS(#REF!,$C572,#REF!,L$1))&gt;=1,"SIM","")</f>
        <v>#REF!</v>
      </c>
      <c r="M572" s="5" t="e">
        <f>IF((COUNTIFS(#REF!,$C572,#REF!,M$1))&gt;=1,"SIM","")</f>
        <v>#REF!</v>
      </c>
      <c r="N572" s="5" t="e">
        <f>IF((COUNTIFS(#REF!,$C572,#REF!,N$1))&gt;=1,"SIM","")</f>
        <v>#REF!</v>
      </c>
      <c r="O572" s="5"/>
      <c r="P572" s="5" t="e">
        <f>IF((COUNTIFS(#REF!,$C572,#REF!,P$1))&gt;=1,"SIM","")</f>
        <v>#REF!</v>
      </c>
      <c r="Q572" s="5" t="e">
        <f>IF((COUNTIFS(#REF!,$C572,#REF!,Q$1))&gt;=1,"SIM","")</f>
        <v>#REF!</v>
      </c>
      <c r="R572" s="5" t="e">
        <f>IF((COUNTIFS(#REF!,$C572,#REF!,"*CARTA*"))&gt;=1,"SIM","")</f>
        <v>#REF!</v>
      </c>
      <c r="S572" s="5" t="e">
        <f>IF((COUNTIFS(#REF!,$C572,#REF!,"*CARTA NOTIFICAÇÃO/DEVOL*"))&gt;=1,"SIM","")</f>
        <v>#REF!</v>
      </c>
      <c r="T572" s="5" t="e">
        <f>IF((COUNTIFS(#REF!,$C572,#REF!,"*LIGAÇÃO ATIVA DEV PRIN/LOC*"))&gt;=1,"SIM","")</f>
        <v>#REF!</v>
      </c>
    </row>
    <row r="573" spans="1:20">
      <c r="A573" s="24" t="s">
        <v>2153</v>
      </c>
      <c r="B573" s="24" t="s">
        <v>313</v>
      </c>
      <c r="C573" s="24" t="s">
        <v>314</v>
      </c>
      <c r="D573" s="5" t="e">
        <f>IF((COUNTIFS(#REF!,$C573,#REF!,"*163*"))&gt;=1,"SIM","")</f>
        <v>#REF!</v>
      </c>
      <c r="E573" s="5" t="e">
        <f>IF((COUNTIFS(#REF!,$C573,#REF!,E$1))&gt;=1,"SIM","")</f>
        <v>#REF!</v>
      </c>
      <c r="F573" s="5" t="e">
        <f>IF((COUNTIFS(#REF!,$C573,#REF!,F$1))&gt;=1,"SIM","")</f>
        <v>#REF!</v>
      </c>
      <c r="G573" s="5" t="e">
        <f>IF((COUNTIFS(#REF!,$C573,#REF!,"*606*"))&gt;=1,"SIM","")</f>
        <v>#REF!</v>
      </c>
      <c r="H573" s="5" t="e">
        <f>IF((COUNTIFS(#REF!,$C573,#REF!,"*605*"))&gt;=1,"SIM","")</f>
        <v>#REF!</v>
      </c>
      <c r="I573" s="5" t="e">
        <f>IF((COUNTIFS(#REF!,$C573,#REF!,I$1))&gt;=1,"SIM","")</f>
        <v>#REF!</v>
      </c>
      <c r="J573" s="5" t="e">
        <f>IF((COUNTIFS(#REF!,$C573,#REF!,J$1))&gt;=1,"SIM","")</f>
        <v>#REF!</v>
      </c>
      <c r="K573" s="5" t="e">
        <f>IF((COUNTIFS(#REF!,$C573,#REF!,K$1))&gt;=1,"SIM","")</f>
        <v>#REF!</v>
      </c>
      <c r="L573" s="5" t="e">
        <f>IF((COUNTIFS(#REF!,$C573,#REF!,L$1))&gt;=1,"SIM","")</f>
        <v>#REF!</v>
      </c>
      <c r="M573" s="5" t="e">
        <f>IF((COUNTIFS(#REF!,$C573,#REF!,M$1))&gt;=1,"SIM","")</f>
        <v>#REF!</v>
      </c>
      <c r="N573" s="5" t="e">
        <f>IF((COUNTIFS(#REF!,$C573,#REF!,N$1))&gt;=1,"SIM","")</f>
        <v>#REF!</v>
      </c>
      <c r="O573" s="5"/>
      <c r="P573" s="5" t="e">
        <f>IF((COUNTIFS(#REF!,$C573,#REF!,P$1))&gt;=1,"SIM","")</f>
        <v>#REF!</v>
      </c>
      <c r="Q573" s="5" t="e">
        <f>IF((COUNTIFS(#REF!,$C573,#REF!,Q$1))&gt;=1,"SIM","")</f>
        <v>#REF!</v>
      </c>
      <c r="R573" s="5" t="e">
        <f>IF((COUNTIFS(#REF!,$C573,#REF!,"*CARTA*"))&gt;=1,"SIM","")</f>
        <v>#REF!</v>
      </c>
      <c r="S573" s="5" t="e">
        <f>IF((COUNTIFS(#REF!,$C573,#REF!,"*CARTA NOTIFICAÇÃO/DEVOL*"))&gt;=1,"SIM","")</f>
        <v>#REF!</v>
      </c>
      <c r="T573" s="5" t="e">
        <f>IF((COUNTIFS(#REF!,$C573,#REF!,"*LIGAÇÃO ATIVA DEV PRIN/LOC*"))&gt;=1,"SIM","")</f>
        <v>#REF!</v>
      </c>
    </row>
    <row r="574" spans="1:20">
      <c r="A574" s="24" t="s">
        <v>2155</v>
      </c>
      <c r="B574" s="24" t="s">
        <v>131</v>
      </c>
      <c r="C574" s="24" t="s">
        <v>132</v>
      </c>
      <c r="D574" s="5" t="e">
        <f>IF((COUNTIFS(#REF!,$C574,#REF!,"*163*"))&gt;=1,"SIM","")</f>
        <v>#REF!</v>
      </c>
      <c r="E574" s="5" t="e">
        <f>IF((COUNTIFS(#REF!,$C574,#REF!,E$1))&gt;=1,"SIM","")</f>
        <v>#REF!</v>
      </c>
      <c r="F574" s="5" t="e">
        <f>IF((COUNTIFS(#REF!,$C574,#REF!,F$1))&gt;=1,"SIM","")</f>
        <v>#REF!</v>
      </c>
      <c r="G574" s="5" t="e">
        <f>IF((COUNTIFS(#REF!,$C574,#REF!,"*606*"))&gt;=1,"SIM","")</f>
        <v>#REF!</v>
      </c>
      <c r="H574" s="5" t="e">
        <f>IF((COUNTIFS(#REF!,$C574,#REF!,"*605*"))&gt;=1,"SIM","")</f>
        <v>#REF!</v>
      </c>
      <c r="I574" s="5" t="e">
        <f>IF((COUNTIFS(#REF!,$C574,#REF!,I$1))&gt;=1,"SIM","")</f>
        <v>#REF!</v>
      </c>
      <c r="J574" s="5" t="e">
        <f>IF((COUNTIFS(#REF!,$C574,#REF!,J$1))&gt;=1,"SIM","")</f>
        <v>#REF!</v>
      </c>
      <c r="K574" s="5" t="e">
        <f>IF((COUNTIFS(#REF!,$C574,#REF!,K$1))&gt;=1,"SIM","")</f>
        <v>#REF!</v>
      </c>
      <c r="L574" s="5" t="e">
        <f>IF((COUNTIFS(#REF!,$C574,#REF!,L$1))&gt;=1,"SIM","")</f>
        <v>#REF!</v>
      </c>
      <c r="M574" s="5" t="e">
        <f>IF((COUNTIFS(#REF!,$C574,#REF!,M$1))&gt;=1,"SIM","")</f>
        <v>#REF!</v>
      </c>
      <c r="N574" s="5" t="e">
        <f>IF((COUNTIFS(#REF!,$C574,#REF!,N$1))&gt;=1,"SIM","")</f>
        <v>#REF!</v>
      </c>
      <c r="O574" s="5"/>
      <c r="P574" s="5" t="e">
        <f>IF((COUNTIFS(#REF!,$C574,#REF!,P$1))&gt;=1,"SIM","")</f>
        <v>#REF!</v>
      </c>
      <c r="Q574" s="5" t="e">
        <f>IF((COUNTIFS(#REF!,$C574,#REF!,Q$1))&gt;=1,"SIM","")</f>
        <v>#REF!</v>
      </c>
      <c r="R574" s="5" t="e">
        <f>IF((COUNTIFS(#REF!,$C574,#REF!,"*CARTA*"))&gt;=1,"SIM","")</f>
        <v>#REF!</v>
      </c>
      <c r="S574" s="5" t="e">
        <f>IF((COUNTIFS(#REF!,$C574,#REF!,"*CARTA NOTIFICAÇÃO/DEVOL*"))&gt;=1,"SIM","")</f>
        <v>#REF!</v>
      </c>
      <c r="T574" s="5" t="e">
        <f>IF((COUNTIFS(#REF!,$C574,#REF!,"*LIGAÇÃO ATIVA DEV PRIN/LOC*"))&gt;=1,"SIM","")</f>
        <v>#REF!</v>
      </c>
    </row>
    <row r="575" spans="1:20">
      <c r="A575" s="24" t="s">
        <v>2153</v>
      </c>
      <c r="B575" s="24" t="s">
        <v>227</v>
      </c>
      <c r="C575" s="24" t="s">
        <v>228</v>
      </c>
      <c r="D575" s="5" t="e">
        <f>IF((COUNTIFS(#REF!,$C575,#REF!,"*163*"))&gt;=1,"SIM","")</f>
        <v>#REF!</v>
      </c>
      <c r="E575" s="5" t="e">
        <f>IF((COUNTIFS(#REF!,$C575,#REF!,E$1))&gt;=1,"SIM","")</f>
        <v>#REF!</v>
      </c>
      <c r="F575" s="5" t="e">
        <f>IF((COUNTIFS(#REF!,$C575,#REF!,F$1))&gt;=1,"SIM","")</f>
        <v>#REF!</v>
      </c>
      <c r="G575" s="5" t="e">
        <f>IF((COUNTIFS(#REF!,$C575,#REF!,"*606*"))&gt;=1,"SIM","")</f>
        <v>#REF!</v>
      </c>
      <c r="H575" s="5" t="e">
        <f>IF((COUNTIFS(#REF!,$C575,#REF!,"*605*"))&gt;=1,"SIM","")</f>
        <v>#REF!</v>
      </c>
      <c r="I575" s="5" t="e">
        <f>IF((COUNTIFS(#REF!,$C575,#REF!,I$1))&gt;=1,"SIM","")</f>
        <v>#REF!</v>
      </c>
      <c r="J575" s="5" t="e">
        <f>IF((COUNTIFS(#REF!,$C575,#REF!,J$1))&gt;=1,"SIM","")</f>
        <v>#REF!</v>
      </c>
      <c r="K575" s="5" t="e">
        <f>IF((COUNTIFS(#REF!,$C575,#REF!,K$1))&gt;=1,"SIM","")</f>
        <v>#REF!</v>
      </c>
      <c r="L575" s="5" t="e">
        <f>IF((COUNTIFS(#REF!,$C575,#REF!,L$1))&gt;=1,"SIM","")</f>
        <v>#REF!</v>
      </c>
      <c r="M575" s="5" t="e">
        <f>IF((COUNTIFS(#REF!,$C575,#REF!,M$1))&gt;=1,"SIM","")</f>
        <v>#REF!</v>
      </c>
      <c r="N575" s="5" t="e">
        <f>IF((COUNTIFS(#REF!,$C575,#REF!,N$1))&gt;=1,"SIM","")</f>
        <v>#REF!</v>
      </c>
      <c r="O575" s="5"/>
      <c r="P575" s="5" t="e">
        <f>IF((COUNTIFS(#REF!,$C575,#REF!,P$1))&gt;=1,"SIM","")</f>
        <v>#REF!</v>
      </c>
      <c r="Q575" s="5" t="e">
        <f>IF((COUNTIFS(#REF!,$C575,#REF!,Q$1))&gt;=1,"SIM","")</f>
        <v>#REF!</v>
      </c>
      <c r="R575" s="5" t="e">
        <f>IF((COUNTIFS(#REF!,$C575,#REF!,"*CARTA*"))&gt;=1,"SIM","")</f>
        <v>#REF!</v>
      </c>
      <c r="S575" s="5" t="e">
        <f>IF((COUNTIFS(#REF!,$C575,#REF!,"*CARTA NOTIFICAÇÃO/DEVOL*"))&gt;=1,"SIM","")</f>
        <v>#REF!</v>
      </c>
      <c r="T575" s="5" t="e">
        <f>IF((COUNTIFS(#REF!,$C575,#REF!,"*LIGAÇÃO ATIVA DEV PRIN/LOC*"))&gt;=1,"SIM","")</f>
        <v>#REF!</v>
      </c>
    </row>
    <row r="576" spans="1:20">
      <c r="A576" s="24" t="s">
        <v>2153</v>
      </c>
      <c r="B576" s="24" t="s">
        <v>518</v>
      </c>
      <c r="C576" s="24" t="s">
        <v>188</v>
      </c>
      <c r="D576" s="5" t="e">
        <f>IF((COUNTIFS(#REF!,$C576,#REF!,"*163*"))&gt;=1,"SIM","")</f>
        <v>#REF!</v>
      </c>
      <c r="E576" s="5" t="e">
        <f>IF((COUNTIFS(#REF!,$C576,#REF!,E$1))&gt;=1,"SIM","")</f>
        <v>#REF!</v>
      </c>
      <c r="F576" s="5" t="e">
        <f>IF((COUNTIFS(#REF!,$C576,#REF!,F$1))&gt;=1,"SIM","")</f>
        <v>#REF!</v>
      </c>
      <c r="G576" s="5" t="e">
        <f>IF((COUNTIFS(#REF!,$C576,#REF!,"*606*"))&gt;=1,"SIM","")</f>
        <v>#REF!</v>
      </c>
      <c r="H576" s="5" t="e">
        <f>IF((COUNTIFS(#REF!,$C576,#REF!,"*605*"))&gt;=1,"SIM","")</f>
        <v>#REF!</v>
      </c>
      <c r="I576" s="5" t="e">
        <f>IF((COUNTIFS(#REF!,$C576,#REF!,I$1))&gt;=1,"SIM","")</f>
        <v>#REF!</v>
      </c>
      <c r="J576" s="5" t="e">
        <f>IF((COUNTIFS(#REF!,$C576,#REF!,J$1))&gt;=1,"SIM","")</f>
        <v>#REF!</v>
      </c>
      <c r="K576" s="5" t="e">
        <f>IF((COUNTIFS(#REF!,$C576,#REF!,K$1))&gt;=1,"SIM","")</f>
        <v>#REF!</v>
      </c>
      <c r="L576" s="5" t="e">
        <f>IF((COUNTIFS(#REF!,$C576,#REF!,L$1))&gt;=1,"SIM","")</f>
        <v>#REF!</v>
      </c>
      <c r="M576" s="5" t="e">
        <f>IF((COUNTIFS(#REF!,$C576,#REF!,M$1))&gt;=1,"SIM","")</f>
        <v>#REF!</v>
      </c>
      <c r="N576" s="5" t="e">
        <f>IF((COUNTIFS(#REF!,$C576,#REF!,N$1))&gt;=1,"SIM","")</f>
        <v>#REF!</v>
      </c>
      <c r="O576" s="5"/>
      <c r="P576" s="5" t="e">
        <f>IF((COUNTIFS(#REF!,$C576,#REF!,P$1))&gt;=1,"SIM","")</f>
        <v>#REF!</v>
      </c>
      <c r="Q576" s="5" t="e">
        <f>IF((COUNTIFS(#REF!,$C576,#REF!,Q$1))&gt;=1,"SIM","")</f>
        <v>#REF!</v>
      </c>
      <c r="R576" s="5" t="e">
        <f>IF((COUNTIFS(#REF!,$C576,#REF!,"*CARTA*"))&gt;=1,"SIM","")</f>
        <v>#REF!</v>
      </c>
      <c r="S576" s="5" t="e">
        <f>IF((COUNTIFS(#REF!,$C576,#REF!,"*CARTA NOTIFICAÇÃO/DEVOL*"))&gt;=1,"SIM","")</f>
        <v>#REF!</v>
      </c>
      <c r="T576" s="5" t="e">
        <f>IF((COUNTIFS(#REF!,$C576,#REF!,"*LIGAÇÃO ATIVA DEV PRIN/LOC*"))&gt;=1,"SIM","")</f>
        <v>#REF!</v>
      </c>
    </row>
    <row r="577" spans="1:20">
      <c r="A577" s="24" t="s">
        <v>2153</v>
      </c>
      <c r="B577" s="24" t="s">
        <v>414</v>
      </c>
      <c r="C577" s="24" t="s">
        <v>415</v>
      </c>
      <c r="D577" s="5" t="e">
        <f>IF((COUNTIFS(#REF!,$C577,#REF!,"*163*"))&gt;=1,"SIM","")</f>
        <v>#REF!</v>
      </c>
      <c r="E577" s="5" t="e">
        <f>IF((COUNTIFS(#REF!,$C577,#REF!,E$1))&gt;=1,"SIM","")</f>
        <v>#REF!</v>
      </c>
      <c r="F577" s="5" t="e">
        <f>IF((COUNTIFS(#REF!,$C577,#REF!,F$1))&gt;=1,"SIM","")</f>
        <v>#REF!</v>
      </c>
      <c r="G577" s="5" t="e">
        <f>IF((COUNTIFS(#REF!,$C577,#REF!,"*606*"))&gt;=1,"SIM","")</f>
        <v>#REF!</v>
      </c>
      <c r="H577" s="5" t="e">
        <f>IF((COUNTIFS(#REF!,$C577,#REF!,"*605*"))&gt;=1,"SIM","")</f>
        <v>#REF!</v>
      </c>
      <c r="I577" s="5" t="e">
        <f>IF((COUNTIFS(#REF!,$C577,#REF!,I$1))&gt;=1,"SIM","")</f>
        <v>#REF!</v>
      </c>
      <c r="J577" s="5" t="e">
        <f>IF((COUNTIFS(#REF!,$C577,#REF!,J$1))&gt;=1,"SIM","")</f>
        <v>#REF!</v>
      </c>
      <c r="K577" s="5" t="e">
        <f>IF((COUNTIFS(#REF!,$C577,#REF!,K$1))&gt;=1,"SIM","")</f>
        <v>#REF!</v>
      </c>
      <c r="L577" s="5" t="e">
        <f>IF((COUNTIFS(#REF!,$C577,#REF!,L$1))&gt;=1,"SIM","")</f>
        <v>#REF!</v>
      </c>
      <c r="M577" s="5" t="e">
        <f>IF((COUNTIFS(#REF!,$C577,#REF!,M$1))&gt;=1,"SIM","")</f>
        <v>#REF!</v>
      </c>
      <c r="N577" s="5" t="e">
        <f>IF((COUNTIFS(#REF!,$C577,#REF!,N$1))&gt;=1,"SIM","")</f>
        <v>#REF!</v>
      </c>
      <c r="O577" s="5"/>
      <c r="P577" s="5" t="e">
        <f>IF((COUNTIFS(#REF!,$C577,#REF!,P$1))&gt;=1,"SIM","")</f>
        <v>#REF!</v>
      </c>
      <c r="Q577" s="5" t="e">
        <f>IF((COUNTIFS(#REF!,$C577,#REF!,Q$1))&gt;=1,"SIM","")</f>
        <v>#REF!</v>
      </c>
      <c r="R577" s="5" t="e">
        <f>IF((COUNTIFS(#REF!,$C577,#REF!,"*CARTA*"))&gt;=1,"SIM","")</f>
        <v>#REF!</v>
      </c>
      <c r="S577" s="5" t="e">
        <f>IF((COUNTIFS(#REF!,$C577,#REF!,"*CARTA NOTIFICAÇÃO/DEVOL*"))&gt;=1,"SIM","")</f>
        <v>#REF!</v>
      </c>
      <c r="T577" s="5" t="e">
        <f>IF((COUNTIFS(#REF!,$C577,#REF!,"*LIGAÇÃO ATIVA DEV PRIN/LOC*"))&gt;=1,"SIM","")</f>
        <v>#REF!</v>
      </c>
    </row>
    <row r="578" spans="1:20">
      <c r="A578" s="24" t="s">
        <v>2153</v>
      </c>
      <c r="B578" s="24" t="s">
        <v>1208</v>
      </c>
      <c r="C578" s="24" t="s">
        <v>415</v>
      </c>
      <c r="D578" s="5" t="e">
        <f>IF((COUNTIFS(#REF!,$C578,#REF!,"*163*"))&gt;=1,"SIM","")</f>
        <v>#REF!</v>
      </c>
      <c r="E578" s="5" t="e">
        <f>IF((COUNTIFS(#REF!,$C578,#REF!,E$1))&gt;=1,"SIM","")</f>
        <v>#REF!</v>
      </c>
      <c r="F578" s="5" t="e">
        <f>IF((COUNTIFS(#REF!,$C578,#REF!,F$1))&gt;=1,"SIM","")</f>
        <v>#REF!</v>
      </c>
      <c r="G578" s="5" t="e">
        <f>IF((COUNTIFS(#REF!,$C578,#REF!,"*606*"))&gt;=1,"SIM","")</f>
        <v>#REF!</v>
      </c>
      <c r="H578" s="5" t="e">
        <f>IF((COUNTIFS(#REF!,$C578,#REF!,"*605*"))&gt;=1,"SIM","")</f>
        <v>#REF!</v>
      </c>
      <c r="I578" s="5" t="e">
        <f>IF((COUNTIFS(#REF!,$C578,#REF!,I$1))&gt;=1,"SIM","")</f>
        <v>#REF!</v>
      </c>
      <c r="J578" s="5" t="e">
        <f>IF((COUNTIFS(#REF!,$C578,#REF!,J$1))&gt;=1,"SIM","")</f>
        <v>#REF!</v>
      </c>
      <c r="K578" s="5" t="e">
        <f>IF((COUNTIFS(#REF!,$C578,#REF!,K$1))&gt;=1,"SIM","")</f>
        <v>#REF!</v>
      </c>
      <c r="L578" s="5" t="e">
        <f>IF((COUNTIFS(#REF!,$C578,#REF!,L$1))&gt;=1,"SIM","")</f>
        <v>#REF!</v>
      </c>
      <c r="M578" s="5" t="e">
        <f>IF((COUNTIFS(#REF!,$C578,#REF!,M$1))&gt;=1,"SIM","")</f>
        <v>#REF!</v>
      </c>
      <c r="N578" s="5" t="e">
        <f>IF((COUNTIFS(#REF!,$C578,#REF!,N$1))&gt;=1,"SIM","")</f>
        <v>#REF!</v>
      </c>
      <c r="O578" s="5"/>
      <c r="P578" s="5" t="e">
        <f>IF((COUNTIFS(#REF!,$C578,#REF!,P$1))&gt;=1,"SIM","")</f>
        <v>#REF!</v>
      </c>
      <c r="Q578" s="5" t="e">
        <f>IF((COUNTIFS(#REF!,$C578,#REF!,Q$1))&gt;=1,"SIM","")</f>
        <v>#REF!</v>
      </c>
      <c r="R578" s="5" t="e">
        <f>IF((COUNTIFS(#REF!,$C578,#REF!,"*CARTA*"))&gt;=1,"SIM","")</f>
        <v>#REF!</v>
      </c>
      <c r="S578" s="5" t="e">
        <f>IF((COUNTIFS(#REF!,$C578,#REF!,"*CARTA NOTIFICAÇÃO/DEVOL*"))&gt;=1,"SIM","")</f>
        <v>#REF!</v>
      </c>
      <c r="T578" s="5" t="e">
        <f>IF((COUNTIFS(#REF!,$C578,#REF!,"*LIGAÇÃO ATIVA DEV PRIN/LOC*"))&gt;=1,"SIM","")</f>
        <v>#REF!</v>
      </c>
    </row>
    <row r="579" spans="1:20">
      <c r="A579" s="24" t="s">
        <v>2158</v>
      </c>
      <c r="B579" s="24" t="s">
        <v>882</v>
      </c>
      <c r="C579" s="24" t="s">
        <v>883</v>
      </c>
      <c r="D579" s="5" t="e">
        <f>IF((COUNTIFS(#REF!,$C579,#REF!,"*163*"))&gt;=1,"SIM","")</f>
        <v>#REF!</v>
      </c>
      <c r="E579" s="5" t="e">
        <f>IF((COUNTIFS(#REF!,$C579,#REF!,E$1))&gt;=1,"SIM","")</f>
        <v>#REF!</v>
      </c>
      <c r="F579" s="5" t="e">
        <f>IF((COUNTIFS(#REF!,$C579,#REF!,F$1))&gt;=1,"SIM","")</f>
        <v>#REF!</v>
      </c>
      <c r="G579" s="5" t="e">
        <f>IF((COUNTIFS(#REF!,$C579,#REF!,"*606*"))&gt;=1,"SIM","")</f>
        <v>#REF!</v>
      </c>
      <c r="H579" s="5" t="e">
        <f>IF((COUNTIFS(#REF!,$C579,#REF!,"*605*"))&gt;=1,"SIM","")</f>
        <v>#REF!</v>
      </c>
      <c r="I579" s="5" t="e">
        <f>IF((COUNTIFS(#REF!,$C579,#REF!,I$1))&gt;=1,"SIM","")</f>
        <v>#REF!</v>
      </c>
      <c r="J579" s="5" t="e">
        <f>IF((COUNTIFS(#REF!,$C579,#REF!,J$1))&gt;=1,"SIM","")</f>
        <v>#REF!</v>
      </c>
      <c r="K579" s="5" t="e">
        <f>IF((COUNTIFS(#REF!,$C579,#REF!,K$1))&gt;=1,"SIM","")</f>
        <v>#REF!</v>
      </c>
      <c r="L579" s="5" t="e">
        <f>IF((COUNTIFS(#REF!,$C579,#REF!,L$1))&gt;=1,"SIM","")</f>
        <v>#REF!</v>
      </c>
      <c r="M579" s="5" t="e">
        <f>IF((COUNTIFS(#REF!,$C579,#REF!,M$1))&gt;=1,"SIM","")</f>
        <v>#REF!</v>
      </c>
      <c r="N579" s="5" t="e">
        <f>IF((COUNTIFS(#REF!,$C579,#REF!,N$1))&gt;=1,"SIM","")</f>
        <v>#REF!</v>
      </c>
      <c r="O579" s="5"/>
      <c r="P579" s="5" t="e">
        <f>IF((COUNTIFS(#REF!,$C579,#REF!,P$1))&gt;=1,"SIM","")</f>
        <v>#REF!</v>
      </c>
      <c r="Q579" s="5" t="e">
        <f>IF((COUNTIFS(#REF!,$C579,#REF!,Q$1))&gt;=1,"SIM","")</f>
        <v>#REF!</v>
      </c>
      <c r="R579" s="5" t="e">
        <f>IF((COUNTIFS(#REF!,$C579,#REF!,"*CARTA*"))&gt;=1,"SIM","")</f>
        <v>#REF!</v>
      </c>
      <c r="S579" s="5" t="e">
        <f>IF((COUNTIFS(#REF!,$C579,#REF!,"*CARTA NOTIFICAÇÃO/DEVOL*"))&gt;=1,"SIM","")</f>
        <v>#REF!</v>
      </c>
      <c r="T579" s="5" t="e">
        <f>IF((COUNTIFS(#REF!,$C579,#REF!,"*LIGAÇÃO ATIVA DEV PRIN/LOC*"))&gt;=1,"SIM","")</f>
        <v>#REF!</v>
      </c>
    </row>
    <row r="580" spans="1:20">
      <c r="A580" s="24" t="s">
        <v>2159</v>
      </c>
      <c r="B580" s="24" t="s">
        <v>1232</v>
      </c>
      <c r="C580" s="24" t="s">
        <v>1233</v>
      </c>
      <c r="D580" s="5" t="e">
        <f>IF((COUNTIFS(#REF!,$C580,#REF!,"*163*"))&gt;=1,"SIM","")</f>
        <v>#REF!</v>
      </c>
      <c r="E580" s="5" t="e">
        <f>IF((COUNTIFS(#REF!,$C580,#REF!,E$1))&gt;=1,"SIM","")</f>
        <v>#REF!</v>
      </c>
      <c r="F580" s="5" t="e">
        <f>IF((COUNTIFS(#REF!,$C580,#REF!,F$1))&gt;=1,"SIM","")</f>
        <v>#REF!</v>
      </c>
      <c r="G580" s="5" t="e">
        <f>IF((COUNTIFS(#REF!,$C580,#REF!,"*606*"))&gt;=1,"SIM","")</f>
        <v>#REF!</v>
      </c>
      <c r="H580" s="5" t="e">
        <f>IF((COUNTIFS(#REF!,$C580,#REF!,"*605*"))&gt;=1,"SIM","")</f>
        <v>#REF!</v>
      </c>
      <c r="I580" s="5" t="e">
        <f>IF((COUNTIFS(#REF!,$C580,#REF!,I$1))&gt;=1,"SIM","")</f>
        <v>#REF!</v>
      </c>
      <c r="J580" s="5" t="e">
        <f>IF((COUNTIFS(#REF!,$C580,#REF!,J$1))&gt;=1,"SIM","")</f>
        <v>#REF!</v>
      </c>
      <c r="K580" s="5" t="e">
        <f>IF((COUNTIFS(#REF!,$C580,#REF!,K$1))&gt;=1,"SIM","")</f>
        <v>#REF!</v>
      </c>
      <c r="L580" s="5" t="e">
        <f>IF((COUNTIFS(#REF!,$C580,#REF!,L$1))&gt;=1,"SIM","")</f>
        <v>#REF!</v>
      </c>
      <c r="M580" s="5" t="e">
        <f>IF((COUNTIFS(#REF!,$C580,#REF!,M$1))&gt;=1,"SIM","")</f>
        <v>#REF!</v>
      </c>
      <c r="N580" s="5" t="e">
        <f>IF((COUNTIFS(#REF!,$C580,#REF!,N$1))&gt;=1,"SIM","")</f>
        <v>#REF!</v>
      </c>
      <c r="O580" s="5"/>
      <c r="P580" s="5" t="e">
        <f>IF((COUNTIFS(#REF!,$C580,#REF!,P$1))&gt;=1,"SIM","")</f>
        <v>#REF!</v>
      </c>
      <c r="Q580" s="5" t="e">
        <f>IF((COUNTIFS(#REF!,$C580,#REF!,Q$1))&gt;=1,"SIM","")</f>
        <v>#REF!</v>
      </c>
      <c r="R580" s="5" t="e">
        <f>IF((COUNTIFS(#REF!,$C580,#REF!,"*CARTA*"))&gt;=1,"SIM","")</f>
        <v>#REF!</v>
      </c>
      <c r="S580" s="5" t="e">
        <f>IF((COUNTIFS(#REF!,$C580,#REF!,"*CARTA NOTIFICAÇÃO/DEVOL*"))&gt;=1,"SIM","")</f>
        <v>#REF!</v>
      </c>
      <c r="T580" s="5" t="e">
        <f>IF((COUNTIFS(#REF!,$C580,#REF!,"*LIGAÇÃO ATIVA DEV PRIN/LOC*"))&gt;=1,"SIM","")</f>
        <v>#REF!</v>
      </c>
    </row>
    <row r="581" spans="1:20">
      <c r="A581" s="24" t="s">
        <v>2157</v>
      </c>
      <c r="B581" s="24" t="s">
        <v>1053</v>
      </c>
      <c r="C581" s="24" t="s">
        <v>1054</v>
      </c>
      <c r="D581" s="5" t="e">
        <f>IF((COUNTIFS(#REF!,$C581,#REF!,"*163*"))&gt;=1,"SIM","")</f>
        <v>#REF!</v>
      </c>
      <c r="E581" s="5" t="e">
        <f>IF((COUNTIFS(#REF!,$C581,#REF!,E$1))&gt;=1,"SIM","")</f>
        <v>#REF!</v>
      </c>
      <c r="F581" s="5" t="e">
        <f>IF((COUNTIFS(#REF!,$C581,#REF!,F$1))&gt;=1,"SIM","")</f>
        <v>#REF!</v>
      </c>
      <c r="G581" s="5" t="e">
        <f>IF((COUNTIFS(#REF!,$C581,#REF!,"*606*"))&gt;=1,"SIM","")</f>
        <v>#REF!</v>
      </c>
      <c r="H581" s="5" t="e">
        <f>IF((COUNTIFS(#REF!,$C581,#REF!,"*605*"))&gt;=1,"SIM","")</f>
        <v>#REF!</v>
      </c>
      <c r="I581" s="5" t="e">
        <f>IF((COUNTIFS(#REF!,$C581,#REF!,I$1))&gt;=1,"SIM","")</f>
        <v>#REF!</v>
      </c>
      <c r="J581" s="5" t="e">
        <f>IF((COUNTIFS(#REF!,$C581,#REF!,J$1))&gt;=1,"SIM","")</f>
        <v>#REF!</v>
      </c>
      <c r="K581" s="5" t="e">
        <f>IF((COUNTIFS(#REF!,$C581,#REF!,K$1))&gt;=1,"SIM","")</f>
        <v>#REF!</v>
      </c>
      <c r="L581" s="5" t="e">
        <f>IF((COUNTIFS(#REF!,$C581,#REF!,L$1))&gt;=1,"SIM","")</f>
        <v>#REF!</v>
      </c>
      <c r="M581" s="5" t="e">
        <f>IF((COUNTIFS(#REF!,$C581,#REF!,M$1))&gt;=1,"SIM","")</f>
        <v>#REF!</v>
      </c>
      <c r="N581" s="5" t="e">
        <f>IF((COUNTIFS(#REF!,$C581,#REF!,N$1))&gt;=1,"SIM","")</f>
        <v>#REF!</v>
      </c>
      <c r="O581" s="5"/>
      <c r="P581" s="5" t="e">
        <f>IF((COUNTIFS(#REF!,$C581,#REF!,P$1))&gt;=1,"SIM","")</f>
        <v>#REF!</v>
      </c>
      <c r="Q581" s="5" t="e">
        <f>IF((COUNTIFS(#REF!,$C581,#REF!,Q$1))&gt;=1,"SIM","")</f>
        <v>#REF!</v>
      </c>
      <c r="R581" s="5" t="e">
        <f>IF((COUNTIFS(#REF!,$C581,#REF!,"*CARTA*"))&gt;=1,"SIM","")</f>
        <v>#REF!</v>
      </c>
      <c r="S581" s="5" t="e">
        <f>IF((COUNTIFS(#REF!,$C581,#REF!,"*CARTA NOTIFICAÇÃO/DEVOL*"))&gt;=1,"SIM","")</f>
        <v>#REF!</v>
      </c>
      <c r="T581" s="5" t="e">
        <f>IF((COUNTIFS(#REF!,$C581,#REF!,"*LIGAÇÃO ATIVA DEV PRIN/LOC*"))&gt;=1,"SIM","")</f>
        <v>#REF!</v>
      </c>
    </row>
    <row r="582" spans="1:20">
      <c r="A582" s="24" t="s">
        <v>2158</v>
      </c>
      <c r="B582" s="24" t="s">
        <v>1538</v>
      </c>
      <c r="C582" s="24" t="s">
        <v>1539</v>
      </c>
      <c r="D582" s="5" t="e">
        <f>IF((COUNTIFS(#REF!,$C582,#REF!,"*163*"))&gt;=1,"SIM","")</f>
        <v>#REF!</v>
      </c>
      <c r="E582" s="5" t="e">
        <f>IF((COUNTIFS(#REF!,$C582,#REF!,E$1))&gt;=1,"SIM","")</f>
        <v>#REF!</v>
      </c>
      <c r="F582" s="5" t="e">
        <f>IF((COUNTIFS(#REF!,$C582,#REF!,F$1))&gt;=1,"SIM","")</f>
        <v>#REF!</v>
      </c>
      <c r="G582" s="5" t="e">
        <f>IF((COUNTIFS(#REF!,$C582,#REF!,"*606*"))&gt;=1,"SIM","")</f>
        <v>#REF!</v>
      </c>
      <c r="H582" s="5" t="e">
        <f>IF((COUNTIFS(#REF!,$C582,#REF!,"*605*"))&gt;=1,"SIM","")</f>
        <v>#REF!</v>
      </c>
      <c r="I582" s="5" t="e">
        <f>IF((COUNTIFS(#REF!,$C582,#REF!,I$1))&gt;=1,"SIM","")</f>
        <v>#REF!</v>
      </c>
      <c r="J582" s="5" t="e">
        <f>IF((COUNTIFS(#REF!,$C582,#REF!,J$1))&gt;=1,"SIM","")</f>
        <v>#REF!</v>
      </c>
      <c r="K582" s="5" t="e">
        <f>IF((COUNTIFS(#REF!,$C582,#REF!,K$1))&gt;=1,"SIM","")</f>
        <v>#REF!</v>
      </c>
      <c r="L582" s="5" t="e">
        <f>IF((COUNTIFS(#REF!,$C582,#REF!,L$1))&gt;=1,"SIM","")</f>
        <v>#REF!</v>
      </c>
      <c r="M582" s="5" t="e">
        <f>IF((COUNTIFS(#REF!,$C582,#REF!,M$1))&gt;=1,"SIM","")</f>
        <v>#REF!</v>
      </c>
      <c r="N582" s="5" t="e">
        <f>IF((COUNTIFS(#REF!,$C582,#REF!,N$1))&gt;=1,"SIM","")</f>
        <v>#REF!</v>
      </c>
      <c r="O582" s="5"/>
      <c r="P582" s="5" t="e">
        <f>IF((COUNTIFS(#REF!,$C582,#REF!,P$1))&gt;=1,"SIM","")</f>
        <v>#REF!</v>
      </c>
      <c r="Q582" s="5" t="e">
        <f>IF((COUNTIFS(#REF!,$C582,#REF!,Q$1))&gt;=1,"SIM","")</f>
        <v>#REF!</v>
      </c>
      <c r="R582" s="5" t="e">
        <f>IF((COUNTIFS(#REF!,$C582,#REF!,"*CARTA*"))&gt;=1,"SIM","")</f>
        <v>#REF!</v>
      </c>
      <c r="S582" s="5" t="e">
        <f>IF((COUNTIFS(#REF!,$C582,#REF!,"*CARTA NOTIFICAÇÃO/DEVOL*"))&gt;=1,"SIM","")</f>
        <v>#REF!</v>
      </c>
      <c r="T582" s="5" t="e">
        <f>IF((COUNTIFS(#REF!,$C582,#REF!,"*LIGAÇÃO ATIVA DEV PRIN/LOC*"))&gt;=1,"SIM","")</f>
        <v>#REF!</v>
      </c>
    </row>
    <row r="583" spans="1:20">
      <c r="A583" s="24" t="s">
        <v>2153</v>
      </c>
      <c r="B583" s="24" t="s">
        <v>1094</v>
      </c>
      <c r="C583" s="24" t="s">
        <v>1095</v>
      </c>
      <c r="D583" s="5" t="e">
        <f>IF((COUNTIFS(#REF!,$C583,#REF!,"*163*"))&gt;=1,"SIM","")</f>
        <v>#REF!</v>
      </c>
      <c r="E583" s="5" t="e">
        <f>IF((COUNTIFS(#REF!,$C583,#REF!,E$1))&gt;=1,"SIM","")</f>
        <v>#REF!</v>
      </c>
      <c r="F583" s="5" t="e">
        <f>IF((COUNTIFS(#REF!,$C583,#REF!,F$1))&gt;=1,"SIM","")</f>
        <v>#REF!</v>
      </c>
      <c r="G583" s="5" t="e">
        <f>IF((COUNTIFS(#REF!,$C583,#REF!,"*606*"))&gt;=1,"SIM","")</f>
        <v>#REF!</v>
      </c>
      <c r="H583" s="5" t="e">
        <f>IF((COUNTIFS(#REF!,$C583,#REF!,"*605*"))&gt;=1,"SIM","")</f>
        <v>#REF!</v>
      </c>
      <c r="I583" s="5" t="e">
        <f>IF((COUNTIFS(#REF!,$C583,#REF!,I$1))&gt;=1,"SIM","")</f>
        <v>#REF!</v>
      </c>
      <c r="J583" s="5" t="e">
        <f>IF((COUNTIFS(#REF!,$C583,#REF!,J$1))&gt;=1,"SIM","")</f>
        <v>#REF!</v>
      </c>
      <c r="K583" s="5" t="e">
        <f>IF((COUNTIFS(#REF!,$C583,#REF!,K$1))&gt;=1,"SIM","")</f>
        <v>#REF!</v>
      </c>
      <c r="L583" s="5" t="e">
        <f>IF((COUNTIFS(#REF!,$C583,#REF!,L$1))&gt;=1,"SIM","")</f>
        <v>#REF!</v>
      </c>
      <c r="M583" s="5" t="e">
        <f>IF((COUNTIFS(#REF!,$C583,#REF!,M$1))&gt;=1,"SIM","")</f>
        <v>#REF!</v>
      </c>
      <c r="N583" s="5" t="e">
        <f>IF((COUNTIFS(#REF!,$C583,#REF!,N$1))&gt;=1,"SIM","")</f>
        <v>#REF!</v>
      </c>
      <c r="O583" s="5"/>
      <c r="P583" s="5" t="e">
        <f>IF((COUNTIFS(#REF!,$C583,#REF!,P$1))&gt;=1,"SIM","")</f>
        <v>#REF!</v>
      </c>
      <c r="Q583" s="5" t="e">
        <f>IF((COUNTIFS(#REF!,$C583,#REF!,Q$1))&gt;=1,"SIM","")</f>
        <v>#REF!</v>
      </c>
      <c r="R583" s="5" t="e">
        <f>IF((COUNTIFS(#REF!,$C583,#REF!,"*CARTA*"))&gt;=1,"SIM","")</f>
        <v>#REF!</v>
      </c>
      <c r="S583" s="5" t="e">
        <f>IF((COUNTIFS(#REF!,$C583,#REF!,"*CARTA NOTIFICAÇÃO/DEVOL*"))&gt;=1,"SIM","")</f>
        <v>#REF!</v>
      </c>
      <c r="T583" s="5" t="e">
        <f>IF((COUNTIFS(#REF!,$C583,#REF!,"*LIGAÇÃO ATIVA DEV PRIN/LOC*"))&gt;=1,"SIM","")</f>
        <v>#REF!</v>
      </c>
    </row>
    <row r="584" spans="1:20">
      <c r="A584" s="24" t="s">
        <v>2153</v>
      </c>
      <c r="B584" s="24" t="s">
        <v>201</v>
      </c>
      <c r="C584" s="24" t="s">
        <v>202</v>
      </c>
      <c r="D584" s="5" t="e">
        <f>IF((COUNTIFS(#REF!,$C584,#REF!,"*163*"))&gt;=1,"SIM","")</f>
        <v>#REF!</v>
      </c>
      <c r="E584" s="5" t="e">
        <f>IF((COUNTIFS(#REF!,$C584,#REF!,E$1))&gt;=1,"SIM","")</f>
        <v>#REF!</v>
      </c>
      <c r="F584" s="5" t="e">
        <f>IF((COUNTIFS(#REF!,$C584,#REF!,F$1))&gt;=1,"SIM","")</f>
        <v>#REF!</v>
      </c>
      <c r="G584" s="5" t="e">
        <f>IF((COUNTIFS(#REF!,$C584,#REF!,"*606*"))&gt;=1,"SIM","")</f>
        <v>#REF!</v>
      </c>
      <c r="H584" s="5" t="e">
        <f>IF((COUNTIFS(#REF!,$C584,#REF!,"*605*"))&gt;=1,"SIM","")</f>
        <v>#REF!</v>
      </c>
      <c r="I584" s="5" t="e">
        <f>IF((COUNTIFS(#REF!,$C584,#REF!,I$1))&gt;=1,"SIM","")</f>
        <v>#REF!</v>
      </c>
      <c r="J584" s="5" t="e">
        <f>IF((COUNTIFS(#REF!,$C584,#REF!,J$1))&gt;=1,"SIM","")</f>
        <v>#REF!</v>
      </c>
      <c r="K584" s="5" t="e">
        <f>IF((COUNTIFS(#REF!,$C584,#REF!,K$1))&gt;=1,"SIM","")</f>
        <v>#REF!</v>
      </c>
      <c r="L584" s="5" t="e">
        <f>IF((COUNTIFS(#REF!,$C584,#REF!,L$1))&gt;=1,"SIM","")</f>
        <v>#REF!</v>
      </c>
      <c r="M584" s="5" t="e">
        <f>IF((COUNTIFS(#REF!,$C584,#REF!,M$1))&gt;=1,"SIM","")</f>
        <v>#REF!</v>
      </c>
      <c r="N584" s="5" t="e">
        <f>IF((COUNTIFS(#REF!,$C584,#REF!,N$1))&gt;=1,"SIM","")</f>
        <v>#REF!</v>
      </c>
      <c r="O584" s="5"/>
      <c r="P584" s="5" t="e">
        <f>IF((COUNTIFS(#REF!,$C584,#REF!,P$1))&gt;=1,"SIM","")</f>
        <v>#REF!</v>
      </c>
      <c r="Q584" s="5" t="e">
        <f>IF((COUNTIFS(#REF!,$C584,#REF!,Q$1))&gt;=1,"SIM","")</f>
        <v>#REF!</v>
      </c>
      <c r="R584" s="5" t="e">
        <f>IF((COUNTIFS(#REF!,$C584,#REF!,"*CARTA*"))&gt;=1,"SIM","")</f>
        <v>#REF!</v>
      </c>
      <c r="S584" s="5" t="e">
        <f>IF((COUNTIFS(#REF!,$C584,#REF!,"*CARTA NOTIFICAÇÃO/DEVOL*"))&gt;=1,"SIM","")</f>
        <v>#REF!</v>
      </c>
      <c r="T584" s="5" t="e">
        <f>IF((COUNTIFS(#REF!,$C584,#REF!,"*LIGAÇÃO ATIVA DEV PRIN/LOC*"))&gt;=1,"SIM","")</f>
        <v>#REF!</v>
      </c>
    </row>
    <row r="585" spans="1:20">
      <c r="A585" s="24" t="s">
        <v>2153</v>
      </c>
      <c r="B585" s="24" t="s">
        <v>586</v>
      </c>
      <c r="C585" s="24" t="s">
        <v>587</v>
      </c>
      <c r="D585" s="5" t="e">
        <f>IF((COUNTIFS(#REF!,$C585,#REF!,"*163*"))&gt;=1,"SIM","")</f>
        <v>#REF!</v>
      </c>
      <c r="E585" s="5" t="e">
        <f>IF((COUNTIFS(#REF!,$C585,#REF!,E$1))&gt;=1,"SIM","")</f>
        <v>#REF!</v>
      </c>
      <c r="F585" s="5" t="e">
        <f>IF((COUNTIFS(#REF!,$C585,#REF!,F$1))&gt;=1,"SIM","")</f>
        <v>#REF!</v>
      </c>
      <c r="G585" s="5" t="e">
        <f>IF((COUNTIFS(#REF!,$C585,#REF!,"*606*"))&gt;=1,"SIM","")</f>
        <v>#REF!</v>
      </c>
      <c r="H585" s="5" t="e">
        <f>IF((COUNTIFS(#REF!,$C585,#REF!,"*605*"))&gt;=1,"SIM","")</f>
        <v>#REF!</v>
      </c>
      <c r="I585" s="5" t="e">
        <f>IF((COUNTIFS(#REF!,$C585,#REF!,I$1))&gt;=1,"SIM","")</f>
        <v>#REF!</v>
      </c>
      <c r="J585" s="5" t="e">
        <f>IF((COUNTIFS(#REF!,$C585,#REF!,J$1))&gt;=1,"SIM","")</f>
        <v>#REF!</v>
      </c>
      <c r="K585" s="5" t="e">
        <f>IF((COUNTIFS(#REF!,$C585,#REF!,K$1))&gt;=1,"SIM","")</f>
        <v>#REF!</v>
      </c>
      <c r="L585" s="5" t="e">
        <f>IF((COUNTIFS(#REF!,$C585,#REF!,L$1))&gt;=1,"SIM","")</f>
        <v>#REF!</v>
      </c>
      <c r="M585" s="5" t="e">
        <f>IF((COUNTIFS(#REF!,$C585,#REF!,M$1))&gt;=1,"SIM","")</f>
        <v>#REF!</v>
      </c>
      <c r="N585" s="5" t="e">
        <f>IF((COUNTIFS(#REF!,$C585,#REF!,N$1))&gt;=1,"SIM","")</f>
        <v>#REF!</v>
      </c>
      <c r="O585" s="5"/>
      <c r="P585" s="5" t="e">
        <f>IF((COUNTIFS(#REF!,$C585,#REF!,P$1))&gt;=1,"SIM","")</f>
        <v>#REF!</v>
      </c>
      <c r="Q585" s="5" t="e">
        <f>IF((COUNTIFS(#REF!,$C585,#REF!,Q$1))&gt;=1,"SIM","")</f>
        <v>#REF!</v>
      </c>
      <c r="R585" s="5" t="e">
        <f>IF((COUNTIFS(#REF!,$C585,#REF!,"*CARTA*"))&gt;=1,"SIM","")</f>
        <v>#REF!</v>
      </c>
      <c r="S585" s="5" t="e">
        <f>IF((COUNTIFS(#REF!,$C585,#REF!,"*CARTA NOTIFICAÇÃO/DEVOL*"))&gt;=1,"SIM","")</f>
        <v>#REF!</v>
      </c>
      <c r="T585" s="5" t="e">
        <f>IF((COUNTIFS(#REF!,$C585,#REF!,"*LIGAÇÃO ATIVA DEV PRIN/LOC*"))&gt;=1,"SIM","")</f>
        <v>#REF!</v>
      </c>
    </row>
    <row r="586" spans="1:20">
      <c r="A586" s="24" t="s">
        <v>2155</v>
      </c>
      <c r="B586" s="24" t="s">
        <v>156</v>
      </c>
      <c r="C586" s="24" t="s">
        <v>157</v>
      </c>
      <c r="D586" s="5" t="e">
        <f>IF((COUNTIFS(#REF!,$C586,#REF!,"*163*"))&gt;=1,"SIM","")</f>
        <v>#REF!</v>
      </c>
      <c r="E586" s="5" t="e">
        <f>IF((COUNTIFS(#REF!,$C586,#REF!,E$1))&gt;=1,"SIM","")</f>
        <v>#REF!</v>
      </c>
      <c r="F586" s="5" t="e">
        <f>IF((COUNTIFS(#REF!,$C586,#REF!,F$1))&gt;=1,"SIM","")</f>
        <v>#REF!</v>
      </c>
      <c r="G586" s="5" t="e">
        <f>IF((COUNTIFS(#REF!,$C586,#REF!,"*606*"))&gt;=1,"SIM","")</f>
        <v>#REF!</v>
      </c>
      <c r="H586" s="5" t="e">
        <f>IF((COUNTIFS(#REF!,$C586,#REF!,"*605*"))&gt;=1,"SIM","")</f>
        <v>#REF!</v>
      </c>
      <c r="I586" s="5" t="e">
        <f>IF((COUNTIFS(#REF!,$C586,#REF!,I$1))&gt;=1,"SIM","")</f>
        <v>#REF!</v>
      </c>
      <c r="J586" s="5" t="e">
        <f>IF((COUNTIFS(#REF!,$C586,#REF!,J$1))&gt;=1,"SIM","")</f>
        <v>#REF!</v>
      </c>
      <c r="K586" s="5" t="e">
        <f>IF((COUNTIFS(#REF!,$C586,#REF!,K$1))&gt;=1,"SIM","")</f>
        <v>#REF!</v>
      </c>
      <c r="L586" s="5" t="e">
        <f>IF((COUNTIFS(#REF!,$C586,#REF!,L$1))&gt;=1,"SIM","")</f>
        <v>#REF!</v>
      </c>
      <c r="M586" s="5" t="e">
        <f>IF((COUNTIFS(#REF!,$C586,#REF!,M$1))&gt;=1,"SIM","")</f>
        <v>#REF!</v>
      </c>
      <c r="N586" s="5" t="e">
        <f>IF((COUNTIFS(#REF!,$C586,#REF!,N$1))&gt;=1,"SIM","")</f>
        <v>#REF!</v>
      </c>
      <c r="O586" s="5"/>
      <c r="P586" s="5" t="e">
        <f>IF((COUNTIFS(#REF!,$C586,#REF!,P$1))&gt;=1,"SIM","")</f>
        <v>#REF!</v>
      </c>
      <c r="Q586" s="5" t="e">
        <f>IF((COUNTIFS(#REF!,$C586,#REF!,Q$1))&gt;=1,"SIM","")</f>
        <v>#REF!</v>
      </c>
      <c r="R586" s="5" t="e">
        <f>IF((COUNTIFS(#REF!,$C586,#REF!,"*CARTA*"))&gt;=1,"SIM","")</f>
        <v>#REF!</v>
      </c>
      <c r="S586" s="5" t="e">
        <f>IF((COUNTIFS(#REF!,$C586,#REF!,"*CARTA NOTIFICAÇÃO/DEVOL*"))&gt;=1,"SIM","")</f>
        <v>#REF!</v>
      </c>
      <c r="T586" s="5" t="e">
        <f>IF((COUNTIFS(#REF!,$C586,#REF!,"*LIGAÇÃO ATIVA DEV PRIN/LOC*"))&gt;=1,"SIM","")</f>
        <v>#REF!</v>
      </c>
    </row>
    <row r="587" spans="1:20">
      <c r="A587" s="24" t="s">
        <v>2154</v>
      </c>
      <c r="B587" s="24" t="s">
        <v>169</v>
      </c>
      <c r="C587" s="24" t="s">
        <v>170</v>
      </c>
      <c r="D587" s="5" t="e">
        <f>IF((COUNTIFS(#REF!,$C587,#REF!,"*163*"))&gt;=1,"SIM","")</f>
        <v>#REF!</v>
      </c>
      <c r="E587" s="5" t="e">
        <f>IF((COUNTIFS(#REF!,$C587,#REF!,E$1))&gt;=1,"SIM","")</f>
        <v>#REF!</v>
      </c>
      <c r="F587" s="5" t="e">
        <f>IF((COUNTIFS(#REF!,$C587,#REF!,F$1))&gt;=1,"SIM","")</f>
        <v>#REF!</v>
      </c>
      <c r="G587" s="5" t="e">
        <f>IF((COUNTIFS(#REF!,$C587,#REF!,"*606*"))&gt;=1,"SIM","")</f>
        <v>#REF!</v>
      </c>
      <c r="H587" s="5" t="e">
        <f>IF((COUNTIFS(#REF!,$C587,#REF!,"*605*"))&gt;=1,"SIM","")</f>
        <v>#REF!</v>
      </c>
      <c r="I587" s="5" t="e">
        <f>IF((COUNTIFS(#REF!,$C587,#REF!,I$1))&gt;=1,"SIM","")</f>
        <v>#REF!</v>
      </c>
      <c r="J587" s="5" t="e">
        <f>IF((COUNTIFS(#REF!,$C587,#REF!,J$1))&gt;=1,"SIM","")</f>
        <v>#REF!</v>
      </c>
      <c r="K587" s="5" t="e">
        <f>IF((COUNTIFS(#REF!,$C587,#REF!,K$1))&gt;=1,"SIM","")</f>
        <v>#REF!</v>
      </c>
      <c r="L587" s="5" t="e">
        <f>IF((COUNTIFS(#REF!,$C587,#REF!,L$1))&gt;=1,"SIM","")</f>
        <v>#REF!</v>
      </c>
      <c r="M587" s="5" t="e">
        <f>IF((COUNTIFS(#REF!,$C587,#REF!,M$1))&gt;=1,"SIM","")</f>
        <v>#REF!</v>
      </c>
      <c r="N587" s="5" t="e">
        <f>IF((COUNTIFS(#REF!,$C587,#REF!,N$1))&gt;=1,"SIM","")</f>
        <v>#REF!</v>
      </c>
      <c r="O587" s="5"/>
      <c r="P587" s="5" t="e">
        <f>IF((COUNTIFS(#REF!,$C587,#REF!,P$1))&gt;=1,"SIM","")</f>
        <v>#REF!</v>
      </c>
      <c r="Q587" s="5" t="e">
        <f>IF((COUNTIFS(#REF!,$C587,#REF!,Q$1))&gt;=1,"SIM","")</f>
        <v>#REF!</v>
      </c>
      <c r="R587" s="5" t="e">
        <f>IF((COUNTIFS(#REF!,$C587,#REF!,"*CARTA*"))&gt;=1,"SIM","")</f>
        <v>#REF!</v>
      </c>
      <c r="S587" s="5" t="e">
        <f>IF((COUNTIFS(#REF!,$C587,#REF!,"*CARTA NOTIFICAÇÃO/DEVOL*"))&gt;=1,"SIM","")</f>
        <v>#REF!</v>
      </c>
      <c r="T587" s="5" t="e">
        <f>IF((COUNTIFS(#REF!,$C587,#REF!,"*LIGAÇÃO ATIVA DEV PRIN/LOC*"))&gt;=1,"SIM","")</f>
        <v>#REF!</v>
      </c>
    </row>
    <row r="588" spans="1:20">
      <c r="A588" s="24" t="s">
        <v>2153</v>
      </c>
      <c r="B588" s="24" t="s">
        <v>758</v>
      </c>
      <c r="C588" s="24" t="s">
        <v>759</v>
      </c>
      <c r="D588" s="5" t="e">
        <f>IF((COUNTIFS(#REF!,$C588,#REF!,"*163*"))&gt;=1,"SIM","")</f>
        <v>#REF!</v>
      </c>
      <c r="E588" s="5" t="e">
        <f>IF((COUNTIFS(#REF!,$C588,#REF!,E$1))&gt;=1,"SIM","")</f>
        <v>#REF!</v>
      </c>
      <c r="F588" s="5" t="e">
        <f>IF((COUNTIFS(#REF!,$C588,#REF!,F$1))&gt;=1,"SIM","")</f>
        <v>#REF!</v>
      </c>
      <c r="G588" s="5" t="e">
        <f>IF((COUNTIFS(#REF!,$C588,#REF!,"*606*"))&gt;=1,"SIM","")</f>
        <v>#REF!</v>
      </c>
      <c r="H588" s="5" t="e">
        <f>IF((COUNTIFS(#REF!,$C588,#REF!,"*605*"))&gt;=1,"SIM","")</f>
        <v>#REF!</v>
      </c>
      <c r="I588" s="5" t="e">
        <f>IF((COUNTIFS(#REF!,$C588,#REF!,I$1))&gt;=1,"SIM","")</f>
        <v>#REF!</v>
      </c>
      <c r="J588" s="5" t="e">
        <f>IF((COUNTIFS(#REF!,$C588,#REF!,J$1))&gt;=1,"SIM","")</f>
        <v>#REF!</v>
      </c>
      <c r="K588" s="5" t="e">
        <f>IF((COUNTIFS(#REF!,$C588,#REF!,K$1))&gt;=1,"SIM","")</f>
        <v>#REF!</v>
      </c>
      <c r="L588" s="5" t="e">
        <f>IF((COUNTIFS(#REF!,$C588,#REF!,L$1))&gt;=1,"SIM","")</f>
        <v>#REF!</v>
      </c>
      <c r="M588" s="5" t="e">
        <f>IF((COUNTIFS(#REF!,$C588,#REF!,M$1))&gt;=1,"SIM","")</f>
        <v>#REF!</v>
      </c>
      <c r="N588" s="5" t="e">
        <f>IF((COUNTIFS(#REF!,$C588,#REF!,N$1))&gt;=1,"SIM","")</f>
        <v>#REF!</v>
      </c>
      <c r="O588" s="5"/>
      <c r="P588" s="5" t="e">
        <f>IF((COUNTIFS(#REF!,$C588,#REF!,P$1))&gt;=1,"SIM","")</f>
        <v>#REF!</v>
      </c>
      <c r="Q588" s="5" t="e">
        <f>IF((COUNTIFS(#REF!,$C588,#REF!,Q$1))&gt;=1,"SIM","")</f>
        <v>#REF!</v>
      </c>
      <c r="R588" s="5" t="e">
        <f>IF((COUNTIFS(#REF!,$C588,#REF!,"*CARTA*"))&gt;=1,"SIM","")</f>
        <v>#REF!</v>
      </c>
      <c r="S588" s="5" t="e">
        <f>IF((COUNTIFS(#REF!,$C588,#REF!,"*CARTA NOTIFICAÇÃO/DEVOL*"))&gt;=1,"SIM","")</f>
        <v>#REF!</v>
      </c>
      <c r="T588" s="5" t="e">
        <f>IF((COUNTIFS(#REF!,$C588,#REF!,"*LIGAÇÃO ATIVA DEV PRIN/LOC*"))&gt;=1,"SIM","")</f>
        <v>#REF!</v>
      </c>
    </row>
    <row r="589" spans="1:20">
      <c r="A589" s="24" t="s">
        <v>2153</v>
      </c>
      <c r="B589" s="24" t="s">
        <v>626</v>
      </c>
      <c r="C589" s="24" t="s">
        <v>627</v>
      </c>
      <c r="D589" s="5" t="e">
        <f>IF((COUNTIFS(#REF!,$C589,#REF!,"*163*"))&gt;=1,"SIM","")</f>
        <v>#REF!</v>
      </c>
      <c r="E589" s="5" t="e">
        <f>IF((COUNTIFS(#REF!,$C589,#REF!,E$1))&gt;=1,"SIM","")</f>
        <v>#REF!</v>
      </c>
      <c r="F589" s="5" t="e">
        <f>IF((COUNTIFS(#REF!,$C589,#REF!,F$1))&gt;=1,"SIM","")</f>
        <v>#REF!</v>
      </c>
      <c r="G589" s="5" t="e">
        <f>IF((COUNTIFS(#REF!,$C589,#REF!,"*606*"))&gt;=1,"SIM","")</f>
        <v>#REF!</v>
      </c>
      <c r="H589" s="5" t="e">
        <f>IF((COUNTIFS(#REF!,$C589,#REF!,"*605*"))&gt;=1,"SIM","")</f>
        <v>#REF!</v>
      </c>
      <c r="I589" s="5" t="e">
        <f>IF((COUNTIFS(#REF!,$C589,#REF!,I$1))&gt;=1,"SIM","")</f>
        <v>#REF!</v>
      </c>
      <c r="J589" s="5" t="e">
        <f>IF((COUNTIFS(#REF!,$C589,#REF!,J$1))&gt;=1,"SIM","")</f>
        <v>#REF!</v>
      </c>
      <c r="K589" s="5" t="e">
        <f>IF((COUNTIFS(#REF!,$C589,#REF!,K$1))&gt;=1,"SIM","")</f>
        <v>#REF!</v>
      </c>
      <c r="L589" s="5" t="e">
        <f>IF((COUNTIFS(#REF!,$C589,#REF!,L$1))&gt;=1,"SIM","")</f>
        <v>#REF!</v>
      </c>
      <c r="M589" s="5" t="e">
        <f>IF((COUNTIFS(#REF!,$C589,#REF!,M$1))&gt;=1,"SIM","")</f>
        <v>#REF!</v>
      </c>
      <c r="N589" s="5" t="e">
        <f>IF((COUNTIFS(#REF!,$C589,#REF!,N$1))&gt;=1,"SIM","")</f>
        <v>#REF!</v>
      </c>
      <c r="O589" s="5"/>
      <c r="P589" s="5" t="e">
        <f>IF((COUNTIFS(#REF!,$C589,#REF!,P$1))&gt;=1,"SIM","")</f>
        <v>#REF!</v>
      </c>
      <c r="Q589" s="5" t="e">
        <f>IF((COUNTIFS(#REF!,$C589,#REF!,Q$1))&gt;=1,"SIM","")</f>
        <v>#REF!</v>
      </c>
      <c r="R589" s="5" t="e">
        <f>IF((COUNTIFS(#REF!,$C589,#REF!,"*CARTA*"))&gt;=1,"SIM","")</f>
        <v>#REF!</v>
      </c>
      <c r="S589" s="5" t="e">
        <f>IF((COUNTIFS(#REF!,$C589,#REF!,"*CARTA NOTIFICAÇÃO/DEVOL*"))&gt;=1,"SIM","")</f>
        <v>#REF!</v>
      </c>
      <c r="T589" s="5" t="e">
        <f>IF((COUNTIFS(#REF!,$C589,#REF!,"*LIGAÇÃO ATIVA DEV PRIN/LOC*"))&gt;=1,"SIM","")</f>
        <v>#REF!</v>
      </c>
    </row>
    <row r="590" spans="1:20">
      <c r="A590" s="24" t="s">
        <v>2155</v>
      </c>
      <c r="B590" s="24" t="s">
        <v>141</v>
      </c>
      <c r="C590" s="24" t="s">
        <v>142</v>
      </c>
      <c r="D590" s="5" t="e">
        <f>IF((COUNTIFS(#REF!,$C590,#REF!,"*163*"))&gt;=1,"SIM","")</f>
        <v>#REF!</v>
      </c>
      <c r="E590" s="5" t="e">
        <f>IF((COUNTIFS(#REF!,$C590,#REF!,E$1))&gt;=1,"SIM","")</f>
        <v>#REF!</v>
      </c>
      <c r="F590" s="5" t="e">
        <f>IF((COUNTIFS(#REF!,$C590,#REF!,F$1))&gt;=1,"SIM","")</f>
        <v>#REF!</v>
      </c>
      <c r="G590" s="5" t="e">
        <f>IF((COUNTIFS(#REF!,$C590,#REF!,"*606*"))&gt;=1,"SIM","")</f>
        <v>#REF!</v>
      </c>
      <c r="H590" s="5" t="e">
        <f>IF((COUNTIFS(#REF!,$C590,#REF!,"*605*"))&gt;=1,"SIM","")</f>
        <v>#REF!</v>
      </c>
      <c r="I590" s="5" t="e">
        <f>IF((COUNTIFS(#REF!,$C590,#REF!,I$1))&gt;=1,"SIM","")</f>
        <v>#REF!</v>
      </c>
      <c r="J590" s="5" t="e">
        <f>IF((COUNTIFS(#REF!,$C590,#REF!,J$1))&gt;=1,"SIM","")</f>
        <v>#REF!</v>
      </c>
      <c r="K590" s="5" t="e">
        <f>IF((COUNTIFS(#REF!,$C590,#REF!,K$1))&gt;=1,"SIM","")</f>
        <v>#REF!</v>
      </c>
      <c r="L590" s="5" t="e">
        <f>IF((COUNTIFS(#REF!,$C590,#REF!,L$1))&gt;=1,"SIM","")</f>
        <v>#REF!</v>
      </c>
      <c r="M590" s="5" t="e">
        <f>IF((COUNTIFS(#REF!,$C590,#REF!,M$1))&gt;=1,"SIM","")</f>
        <v>#REF!</v>
      </c>
      <c r="N590" s="5" t="e">
        <f>IF((COUNTIFS(#REF!,$C590,#REF!,N$1))&gt;=1,"SIM","")</f>
        <v>#REF!</v>
      </c>
      <c r="O590" s="5"/>
      <c r="P590" s="5" t="e">
        <f>IF((COUNTIFS(#REF!,$C590,#REF!,P$1))&gt;=1,"SIM","")</f>
        <v>#REF!</v>
      </c>
      <c r="Q590" s="5" t="e">
        <f>IF((COUNTIFS(#REF!,$C590,#REF!,Q$1))&gt;=1,"SIM","")</f>
        <v>#REF!</v>
      </c>
      <c r="R590" s="5" t="e">
        <f>IF((COUNTIFS(#REF!,$C590,#REF!,"*CARTA*"))&gt;=1,"SIM","")</f>
        <v>#REF!</v>
      </c>
      <c r="S590" s="5" t="e">
        <f>IF((COUNTIFS(#REF!,$C590,#REF!,"*CARTA NOTIFICAÇÃO/DEVOL*"))&gt;=1,"SIM","")</f>
        <v>#REF!</v>
      </c>
      <c r="T590" s="5" t="e">
        <f>IF((COUNTIFS(#REF!,$C590,#REF!,"*LIGAÇÃO ATIVA DEV PRIN/LOC*"))&gt;=1,"SIM","")</f>
        <v>#REF!</v>
      </c>
    </row>
    <row r="591" spans="1:20">
      <c r="A591" s="24" t="s">
        <v>2159</v>
      </c>
      <c r="B591" s="24" t="s">
        <v>1241</v>
      </c>
      <c r="C591" s="24" t="s">
        <v>1242</v>
      </c>
      <c r="D591" s="5" t="e">
        <f>IF((COUNTIFS(#REF!,$C591,#REF!,"*163*"))&gt;=1,"SIM","")</f>
        <v>#REF!</v>
      </c>
      <c r="E591" s="5" t="e">
        <f>IF((COUNTIFS(#REF!,$C591,#REF!,E$1))&gt;=1,"SIM","")</f>
        <v>#REF!</v>
      </c>
      <c r="F591" s="5" t="e">
        <f>IF((COUNTIFS(#REF!,$C591,#REF!,F$1))&gt;=1,"SIM","")</f>
        <v>#REF!</v>
      </c>
      <c r="G591" s="5" t="e">
        <f>IF((COUNTIFS(#REF!,$C591,#REF!,"*606*"))&gt;=1,"SIM","")</f>
        <v>#REF!</v>
      </c>
      <c r="H591" s="5" t="e">
        <f>IF((COUNTIFS(#REF!,$C591,#REF!,"*605*"))&gt;=1,"SIM","")</f>
        <v>#REF!</v>
      </c>
      <c r="I591" s="5" t="e">
        <f>IF((COUNTIFS(#REF!,$C591,#REF!,I$1))&gt;=1,"SIM","")</f>
        <v>#REF!</v>
      </c>
      <c r="J591" s="5" t="e">
        <f>IF((COUNTIFS(#REF!,$C591,#REF!,J$1))&gt;=1,"SIM","")</f>
        <v>#REF!</v>
      </c>
      <c r="K591" s="5" t="e">
        <f>IF((COUNTIFS(#REF!,$C591,#REF!,K$1))&gt;=1,"SIM","")</f>
        <v>#REF!</v>
      </c>
      <c r="L591" s="5" t="e">
        <f>IF((COUNTIFS(#REF!,$C591,#REF!,L$1))&gt;=1,"SIM","")</f>
        <v>#REF!</v>
      </c>
      <c r="M591" s="5" t="e">
        <f>IF((COUNTIFS(#REF!,$C591,#REF!,M$1))&gt;=1,"SIM","")</f>
        <v>#REF!</v>
      </c>
      <c r="N591" s="5" t="e">
        <f>IF((COUNTIFS(#REF!,$C591,#REF!,N$1))&gt;=1,"SIM","")</f>
        <v>#REF!</v>
      </c>
      <c r="O591" s="5"/>
      <c r="P591" s="5" t="e">
        <f>IF((COUNTIFS(#REF!,$C591,#REF!,P$1))&gt;=1,"SIM","")</f>
        <v>#REF!</v>
      </c>
      <c r="Q591" s="5" t="e">
        <f>IF((COUNTIFS(#REF!,$C591,#REF!,Q$1))&gt;=1,"SIM","")</f>
        <v>#REF!</v>
      </c>
      <c r="R591" s="5" t="e">
        <f>IF((COUNTIFS(#REF!,$C591,#REF!,"*CARTA*"))&gt;=1,"SIM","")</f>
        <v>#REF!</v>
      </c>
      <c r="S591" s="5" t="e">
        <f>IF((COUNTIFS(#REF!,$C591,#REF!,"*CARTA NOTIFICAÇÃO/DEVOL*"))&gt;=1,"SIM","")</f>
        <v>#REF!</v>
      </c>
      <c r="T591" s="5" t="e">
        <f>IF((COUNTIFS(#REF!,$C591,#REF!,"*LIGAÇÃO ATIVA DEV PRIN/LOC*"))&gt;=1,"SIM","")</f>
        <v>#REF!</v>
      </c>
    </row>
    <row r="592" spans="1:20">
      <c r="A592" s="24" t="s">
        <v>2159</v>
      </c>
      <c r="B592" s="24" t="s">
        <v>1598</v>
      </c>
      <c r="C592" s="24" t="s">
        <v>1599</v>
      </c>
      <c r="D592" s="5" t="e">
        <f>IF((COUNTIFS(#REF!,$C592,#REF!,"*163*"))&gt;=1,"SIM","")</f>
        <v>#REF!</v>
      </c>
      <c r="E592" s="5" t="e">
        <f>IF((COUNTIFS(#REF!,$C592,#REF!,E$1))&gt;=1,"SIM","")</f>
        <v>#REF!</v>
      </c>
      <c r="F592" s="5" t="e">
        <f>IF((COUNTIFS(#REF!,$C592,#REF!,F$1))&gt;=1,"SIM","")</f>
        <v>#REF!</v>
      </c>
      <c r="G592" s="5" t="e">
        <f>IF((COUNTIFS(#REF!,$C592,#REF!,"*606*"))&gt;=1,"SIM","")</f>
        <v>#REF!</v>
      </c>
      <c r="H592" s="5" t="e">
        <f>IF((COUNTIFS(#REF!,$C592,#REF!,"*605*"))&gt;=1,"SIM","")</f>
        <v>#REF!</v>
      </c>
      <c r="I592" s="5" t="e">
        <f>IF((COUNTIFS(#REF!,$C592,#REF!,I$1))&gt;=1,"SIM","")</f>
        <v>#REF!</v>
      </c>
      <c r="J592" s="5" t="e">
        <f>IF((COUNTIFS(#REF!,$C592,#REF!,J$1))&gt;=1,"SIM","")</f>
        <v>#REF!</v>
      </c>
      <c r="K592" s="5" t="e">
        <f>IF((COUNTIFS(#REF!,$C592,#REF!,K$1))&gt;=1,"SIM","")</f>
        <v>#REF!</v>
      </c>
      <c r="L592" s="5" t="e">
        <f>IF((COUNTIFS(#REF!,$C592,#REF!,L$1))&gt;=1,"SIM","")</f>
        <v>#REF!</v>
      </c>
      <c r="M592" s="5" t="e">
        <f>IF((COUNTIFS(#REF!,$C592,#REF!,M$1))&gt;=1,"SIM","")</f>
        <v>#REF!</v>
      </c>
      <c r="N592" s="5" t="e">
        <f>IF((COUNTIFS(#REF!,$C592,#REF!,N$1))&gt;=1,"SIM","")</f>
        <v>#REF!</v>
      </c>
      <c r="O592" s="5"/>
      <c r="P592" s="5" t="e">
        <f>IF((COUNTIFS(#REF!,$C592,#REF!,P$1))&gt;=1,"SIM","")</f>
        <v>#REF!</v>
      </c>
      <c r="Q592" s="5" t="e">
        <f>IF((COUNTIFS(#REF!,$C592,#REF!,Q$1))&gt;=1,"SIM","")</f>
        <v>#REF!</v>
      </c>
      <c r="R592" s="5" t="e">
        <f>IF((COUNTIFS(#REF!,$C592,#REF!,"*CARTA*"))&gt;=1,"SIM","")</f>
        <v>#REF!</v>
      </c>
      <c r="S592" s="5" t="e">
        <f>IF((COUNTIFS(#REF!,$C592,#REF!,"*CARTA NOTIFICAÇÃO/DEVOL*"))&gt;=1,"SIM","")</f>
        <v>#REF!</v>
      </c>
      <c r="T592" s="5" t="e">
        <f>IF((COUNTIFS(#REF!,$C592,#REF!,"*LIGAÇÃO ATIVA DEV PRIN/LOC*"))&gt;=1,"SIM","")</f>
        <v>#REF!</v>
      </c>
    </row>
    <row r="593" spans="1:20">
      <c r="A593" s="24" t="s">
        <v>2153</v>
      </c>
      <c r="B593" s="24" t="s">
        <v>584</v>
      </c>
      <c r="C593" s="24" t="s">
        <v>585</v>
      </c>
      <c r="D593" s="5" t="e">
        <f>IF((COUNTIFS(#REF!,$C593,#REF!,"*163*"))&gt;=1,"SIM","")</f>
        <v>#REF!</v>
      </c>
      <c r="E593" s="5" t="e">
        <f>IF((COUNTIFS(#REF!,$C593,#REF!,E$1))&gt;=1,"SIM","")</f>
        <v>#REF!</v>
      </c>
      <c r="F593" s="5" t="e">
        <f>IF((COUNTIFS(#REF!,$C593,#REF!,F$1))&gt;=1,"SIM","")</f>
        <v>#REF!</v>
      </c>
      <c r="G593" s="5" t="e">
        <f>IF((COUNTIFS(#REF!,$C593,#REF!,"*606*"))&gt;=1,"SIM","")</f>
        <v>#REF!</v>
      </c>
      <c r="H593" s="5" t="e">
        <f>IF((COUNTIFS(#REF!,$C593,#REF!,"*605*"))&gt;=1,"SIM","")</f>
        <v>#REF!</v>
      </c>
      <c r="I593" s="5" t="e">
        <f>IF((COUNTIFS(#REF!,$C593,#REF!,I$1))&gt;=1,"SIM","")</f>
        <v>#REF!</v>
      </c>
      <c r="J593" s="5" t="e">
        <f>IF((COUNTIFS(#REF!,$C593,#REF!,J$1))&gt;=1,"SIM","")</f>
        <v>#REF!</v>
      </c>
      <c r="K593" s="5" t="e">
        <f>IF((COUNTIFS(#REF!,$C593,#REF!,K$1))&gt;=1,"SIM","")</f>
        <v>#REF!</v>
      </c>
      <c r="L593" s="5" t="e">
        <f>IF((COUNTIFS(#REF!,$C593,#REF!,L$1))&gt;=1,"SIM","")</f>
        <v>#REF!</v>
      </c>
      <c r="M593" s="5" t="e">
        <f>IF((COUNTIFS(#REF!,$C593,#REF!,M$1))&gt;=1,"SIM","")</f>
        <v>#REF!</v>
      </c>
      <c r="N593" s="5" t="e">
        <f>IF((COUNTIFS(#REF!,$C593,#REF!,N$1))&gt;=1,"SIM","")</f>
        <v>#REF!</v>
      </c>
      <c r="O593" s="5"/>
      <c r="P593" s="5" t="e">
        <f>IF((COUNTIFS(#REF!,$C593,#REF!,P$1))&gt;=1,"SIM","")</f>
        <v>#REF!</v>
      </c>
      <c r="Q593" s="5" t="e">
        <f>IF((COUNTIFS(#REF!,$C593,#REF!,Q$1))&gt;=1,"SIM","")</f>
        <v>#REF!</v>
      </c>
      <c r="R593" s="5" t="e">
        <f>IF((COUNTIFS(#REF!,$C593,#REF!,"*CARTA*"))&gt;=1,"SIM","")</f>
        <v>#REF!</v>
      </c>
      <c r="S593" s="5" t="e">
        <f>IF((COUNTIFS(#REF!,$C593,#REF!,"*CARTA NOTIFICAÇÃO/DEVOL*"))&gt;=1,"SIM","")</f>
        <v>#REF!</v>
      </c>
      <c r="T593" s="5" t="e">
        <f>IF((COUNTIFS(#REF!,$C593,#REF!,"*LIGAÇÃO ATIVA DEV PRIN/LOC*"))&gt;=1,"SIM","")</f>
        <v>#REF!</v>
      </c>
    </row>
    <row r="594" spans="1:20">
      <c r="A594" s="24" t="s">
        <v>2153</v>
      </c>
      <c r="B594" s="24" t="s">
        <v>239</v>
      </c>
      <c r="C594" s="24" t="s">
        <v>240</v>
      </c>
      <c r="D594" s="5" t="e">
        <f>IF((COUNTIFS(#REF!,$C594,#REF!,"*163*"))&gt;=1,"SIM","")</f>
        <v>#REF!</v>
      </c>
      <c r="E594" s="5" t="e">
        <f>IF((COUNTIFS(#REF!,$C594,#REF!,E$1))&gt;=1,"SIM","")</f>
        <v>#REF!</v>
      </c>
      <c r="F594" s="5" t="e">
        <f>IF((COUNTIFS(#REF!,$C594,#REF!,F$1))&gt;=1,"SIM","")</f>
        <v>#REF!</v>
      </c>
      <c r="G594" s="5" t="e">
        <f>IF((COUNTIFS(#REF!,$C594,#REF!,"*606*"))&gt;=1,"SIM","")</f>
        <v>#REF!</v>
      </c>
      <c r="H594" s="5" t="e">
        <f>IF((COUNTIFS(#REF!,$C594,#REF!,"*605*"))&gt;=1,"SIM","")</f>
        <v>#REF!</v>
      </c>
      <c r="I594" s="5" t="e">
        <f>IF((COUNTIFS(#REF!,$C594,#REF!,I$1))&gt;=1,"SIM","")</f>
        <v>#REF!</v>
      </c>
      <c r="J594" s="5" t="e">
        <f>IF((COUNTIFS(#REF!,$C594,#REF!,J$1))&gt;=1,"SIM","")</f>
        <v>#REF!</v>
      </c>
      <c r="K594" s="5" t="e">
        <f>IF((COUNTIFS(#REF!,$C594,#REF!,K$1))&gt;=1,"SIM","")</f>
        <v>#REF!</v>
      </c>
      <c r="L594" s="5" t="e">
        <f>IF((COUNTIFS(#REF!,$C594,#REF!,L$1))&gt;=1,"SIM","")</f>
        <v>#REF!</v>
      </c>
      <c r="M594" s="5" t="e">
        <f>IF((COUNTIFS(#REF!,$C594,#REF!,M$1))&gt;=1,"SIM","")</f>
        <v>#REF!</v>
      </c>
      <c r="N594" s="5" t="e">
        <f>IF((COUNTIFS(#REF!,$C594,#REF!,N$1))&gt;=1,"SIM","")</f>
        <v>#REF!</v>
      </c>
      <c r="O594" s="5"/>
      <c r="P594" s="5" t="e">
        <f>IF((COUNTIFS(#REF!,$C594,#REF!,P$1))&gt;=1,"SIM","")</f>
        <v>#REF!</v>
      </c>
      <c r="Q594" s="5" t="e">
        <f>IF((COUNTIFS(#REF!,$C594,#REF!,Q$1))&gt;=1,"SIM","")</f>
        <v>#REF!</v>
      </c>
      <c r="R594" s="5" t="e">
        <f>IF((COUNTIFS(#REF!,$C594,#REF!,"*CARTA*"))&gt;=1,"SIM","")</f>
        <v>#REF!</v>
      </c>
      <c r="S594" s="5" t="e">
        <f>IF((COUNTIFS(#REF!,$C594,#REF!,"*CARTA NOTIFICAÇÃO/DEVOL*"))&gt;=1,"SIM","")</f>
        <v>#REF!</v>
      </c>
      <c r="T594" s="5" t="e">
        <f>IF((COUNTIFS(#REF!,$C594,#REF!,"*LIGAÇÃO ATIVA DEV PRIN/LOC*"))&gt;=1,"SIM","")</f>
        <v>#REF!</v>
      </c>
    </row>
    <row r="595" spans="1:20">
      <c r="A595" s="24" t="s">
        <v>2153</v>
      </c>
      <c r="B595" s="24" t="s">
        <v>452</v>
      </c>
      <c r="C595" s="24" t="s">
        <v>453</v>
      </c>
      <c r="D595" s="5" t="e">
        <f>IF((COUNTIFS(#REF!,$C595,#REF!,"*163*"))&gt;=1,"SIM","")</f>
        <v>#REF!</v>
      </c>
      <c r="E595" s="5" t="e">
        <f>IF((COUNTIFS(#REF!,$C595,#REF!,E$1))&gt;=1,"SIM","")</f>
        <v>#REF!</v>
      </c>
      <c r="F595" s="5" t="e">
        <f>IF((COUNTIFS(#REF!,$C595,#REF!,F$1))&gt;=1,"SIM","")</f>
        <v>#REF!</v>
      </c>
      <c r="G595" s="5" t="e">
        <f>IF((COUNTIFS(#REF!,$C595,#REF!,"*606*"))&gt;=1,"SIM","")</f>
        <v>#REF!</v>
      </c>
      <c r="H595" s="5" t="e">
        <f>IF((COUNTIFS(#REF!,$C595,#REF!,"*605*"))&gt;=1,"SIM","")</f>
        <v>#REF!</v>
      </c>
      <c r="I595" s="5" t="e">
        <f>IF((COUNTIFS(#REF!,$C595,#REF!,I$1))&gt;=1,"SIM","")</f>
        <v>#REF!</v>
      </c>
      <c r="J595" s="5" t="e">
        <f>IF((COUNTIFS(#REF!,$C595,#REF!,J$1))&gt;=1,"SIM","")</f>
        <v>#REF!</v>
      </c>
      <c r="K595" s="5" t="e">
        <f>IF((COUNTIFS(#REF!,$C595,#REF!,K$1))&gt;=1,"SIM","")</f>
        <v>#REF!</v>
      </c>
      <c r="L595" s="5" t="e">
        <f>IF((COUNTIFS(#REF!,$C595,#REF!,L$1))&gt;=1,"SIM","")</f>
        <v>#REF!</v>
      </c>
      <c r="M595" s="5" t="e">
        <f>IF((COUNTIFS(#REF!,$C595,#REF!,M$1))&gt;=1,"SIM","")</f>
        <v>#REF!</v>
      </c>
      <c r="N595" s="5" t="e">
        <f>IF((COUNTIFS(#REF!,$C595,#REF!,N$1))&gt;=1,"SIM","")</f>
        <v>#REF!</v>
      </c>
      <c r="O595" s="5"/>
      <c r="P595" s="5" t="e">
        <f>IF((COUNTIFS(#REF!,$C595,#REF!,P$1))&gt;=1,"SIM","")</f>
        <v>#REF!</v>
      </c>
      <c r="Q595" s="5" t="e">
        <f>IF((COUNTIFS(#REF!,$C595,#REF!,Q$1))&gt;=1,"SIM","")</f>
        <v>#REF!</v>
      </c>
      <c r="R595" s="5" t="e">
        <f>IF((COUNTIFS(#REF!,$C595,#REF!,"*CARTA*"))&gt;=1,"SIM","")</f>
        <v>#REF!</v>
      </c>
      <c r="S595" s="5" t="e">
        <f>IF((COUNTIFS(#REF!,$C595,#REF!,"*CARTA NOTIFICAÇÃO/DEVOL*"))&gt;=1,"SIM","")</f>
        <v>#REF!</v>
      </c>
      <c r="T595" s="5" t="e">
        <f>IF((COUNTIFS(#REF!,$C595,#REF!,"*LIGAÇÃO ATIVA DEV PRIN/LOC*"))&gt;=1,"SIM","")</f>
        <v>#REF!</v>
      </c>
    </row>
    <row r="596" spans="1:20">
      <c r="A596" s="24" t="s">
        <v>2153</v>
      </c>
      <c r="B596" s="24" t="s">
        <v>257</v>
      </c>
      <c r="C596" s="24" t="s">
        <v>258</v>
      </c>
      <c r="D596" s="5" t="e">
        <f>IF((COUNTIFS(#REF!,$C596,#REF!,"*163*"))&gt;=1,"SIM","")</f>
        <v>#REF!</v>
      </c>
      <c r="E596" s="5" t="e">
        <f>IF((COUNTIFS(#REF!,$C596,#REF!,E$1))&gt;=1,"SIM","")</f>
        <v>#REF!</v>
      </c>
      <c r="F596" s="5" t="e">
        <f>IF((COUNTIFS(#REF!,$C596,#REF!,F$1))&gt;=1,"SIM","")</f>
        <v>#REF!</v>
      </c>
      <c r="G596" s="5" t="e">
        <f>IF((COUNTIFS(#REF!,$C596,#REF!,"*606*"))&gt;=1,"SIM","")</f>
        <v>#REF!</v>
      </c>
      <c r="H596" s="5" t="e">
        <f>IF((COUNTIFS(#REF!,$C596,#REF!,"*605*"))&gt;=1,"SIM","")</f>
        <v>#REF!</v>
      </c>
      <c r="I596" s="5" t="e">
        <f>IF((COUNTIFS(#REF!,$C596,#REF!,I$1))&gt;=1,"SIM","")</f>
        <v>#REF!</v>
      </c>
      <c r="J596" s="5" t="e">
        <f>IF((COUNTIFS(#REF!,$C596,#REF!,J$1))&gt;=1,"SIM","")</f>
        <v>#REF!</v>
      </c>
      <c r="K596" s="5" t="e">
        <f>IF((COUNTIFS(#REF!,$C596,#REF!,K$1))&gt;=1,"SIM","")</f>
        <v>#REF!</v>
      </c>
      <c r="L596" s="5" t="e">
        <f>IF((COUNTIFS(#REF!,$C596,#REF!,L$1))&gt;=1,"SIM","")</f>
        <v>#REF!</v>
      </c>
      <c r="M596" s="5" t="e">
        <f>IF((COUNTIFS(#REF!,$C596,#REF!,M$1))&gt;=1,"SIM","")</f>
        <v>#REF!</v>
      </c>
      <c r="N596" s="5" t="e">
        <f>IF((COUNTIFS(#REF!,$C596,#REF!,N$1))&gt;=1,"SIM","")</f>
        <v>#REF!</v>
      </c>
      <c r="O596" s="5"/>
      <c r="P596" s="5" t="e">
        <f>IF((COUNTIFS(#REF!,$C596,#REF!,P$1))&gt;=1,"SIM","")</f>
        <v>#REF!</v>
      </c>
      <c r="Q596" s="5" t="e">
        <f>IF((COUNTIFS(#REF!,$C596,#REF!,Q$1))&gt;=1,"SIM","")</f>
        <v>#REF!</v>
      </c>
      <c r="R596" s="5" t="e">
        <f>IF((COUNTIFS(#REF!,$C596,#REF!,"*CARTA*"))&gt;=1,"SIM","")</f>
        <v>#REF!</v>
      </c>
      <c r="S596" s="5" t="e">
        <f>IF((COUNTIFS(#REF!,$C596,#REF!,"*CARTA NOTIFICAÇÃO/DEVOL*"))&gt;=1,"SIM","")</f>
        <v>#REF!</v>
      </c>
      <c r="T596" s="5" t="e">
        <f>IF((COUNTIFS(#REF!,$C596,#REF!,"*LIGAÇÃO ATIVA DEV PRIN/LOC*"))&gt;=1,"SIM","")</f>
        <v>#REF!</v>
      </c>
    </row>
    <row r="597" spans="1:20">
      <c r="A597" s="24" t="s">
        <v>2153</v>
      </c>
      <c r="B597" s="24" t="s">
        <v>534</v>
      </c>
      <c r="C597" s="24" t="s">
        <v>535</v>
      </c>
      <c r="D597" s="5" t="e">
        <f>IF((COUNTIFS(#REF!,$C597,#REF!,"*163*"))&gt;=1,"SIM","")</f>
        <v>#REF!</v>
      </c>
      <c r="E597" s="5" t="e">
        <f>IF((COUNTIFS(#REF!,$C597,#REF!,E$1))&gt;=1,"SIM","")</f>
        <v>#REF!</v>
      </c>
      <c r="F597" s="5" t="e">
        <f>IF((COUNTIFS(#REF!,$C597,#REF!,F$1))&gt;=1,"SIM","")</f>
        <v>#REF!</v>
      </c>
      <c r="G597" s="5" t="e">
        <f>IF((COUNTIFS(#REF!,$C597,#REF!,"*606*"))&gt;=1,"SIM","")</f>
        <v>#REF!</v>
      </c>
      <c r="H597" s="5" t="e">
        <f>IF((COUNTIFS(#REF!,$C597,#REF!,"*605*"))&gt;=1,"SIM","")</f>
        <v>#REF!</v>
      </c>
      <c r="I597" s="5" t="e">
        <f>IF((COUNTIFS(#REF!,$C597,#REF!,I$1))&gt;=1,"SIM","")</f>
        <v>#REF!</v>
      </c>
      <c r="J597" s="5" t="e">
        <f>IF((COUNTIFS(#REF!,$C597,#REF!,J$1))&gt;=1,"SIM","")</f>
        <v>#REF!</v>
      </c>
      <c r="K597" s="5" t="e">
        <f>IF((COUNTIFS(#REF!,$C597,#REF!,K$1))&gt;=1,"SIM","")</f>
        <v>#REF!</v>
      </c>
      <c r="L597" s="5" t="e">
        <f>IF((COUNTIFS(#REF!,$C597,#REF!,L$1))&gt;=1,"SIM","")</f>
        <v>#REF!</v>
      </c>
      <c r="M597" s="5" t="e">
        <f>IF((COUNTIFS(#REF!,$C597,#REF!,M$1))&gt;=1,"SIM","")</f>
        <v>#REF!</v>
      </c>
      <c r="N597" s="5" t="e">
        <f>IF((COUNTIFS(#REF!,$C597,#REF!,N$1))&gt;=1,"SIM","")</f>
        <v>#REF!</v>
      </c>
      <c r="O597" s="5"/>
      <c r="P597" s="5" t="e">
        <f>IF((COUNTIFS(#REF!,$C597,#REF!,P$1))&gt;=1,"SIM","")</f>
        <v>#REF!</v>
      </c>
      <c r="Q597" s="5" t="e">
        <f>IF((COUNTIFS(#REF!,$C597,#REF!,Q$1))&gt;=1,"SIM","")</f>
        <v>#REF!</v>
      </c>
      <c r="R597" s="5" t="e">
        <f>IF((COUNTIFS(#REF!,$C597,#REF!,"*CARTA*"))&gt;=1,"SIM","")</f>
        <v>#REF!</v>
      </c>
      <c r="S597" s="5" t="e">
        <f>IF((COUNTIFS(#REF!,$C597,#REF!,"*CARTA NOTIFICAÇÃO/DEVOL*"))&gt;=1,"SIM","")</f>
        <v>#REF!</v>
      </c>
      <c r="T597" s="5" t="e">
        <f>IF((COUNTIFS(#REF!,$C597,#REF!,"*LIGAÇÃO ATIVA DEV PRIN/LOC*"))&gt;=1,"SIM","")</f>
        <v>#REF!</v>
      </c>
    </row>
    <row r="598" spans="1:20">
      <c r="A598" s="24" t="s">
        <v>2153</v>
      </c>
      <c r="B598" s="24" t="s">
        <v>1100</v>
      </c>
      <c r="C598" s="24" t="s">
        <v>1101</v>
      </c>
      <c r="D598" s="5" t="e">
        <f>IF((COUNTIFS(#REF!,$C598,#REF!,"*163*"))&gt;=1,"SIM","")</f>
        <v>#REF!</v>
      </c>
      <c r="E598" s="5" t="e">
        <f>IF((COUNTIFS(#REF!,$C598,#REF!,E$1))&gt;=1,"SIM","")</f>
        <v>#REF!</v>
      </c>
      <c r="F598" s="5" t="e">
        <f>IF((COUNTIFS(#REF!,$C598,#REF!,F$1))&gt;=1,"SIM","")</f>
        <v>#REF!</v>
      </c>
      <c r="G598" s="5" t="e">
        <f>IF((COUNTIFS(#REF!,$C598,#REF!,"*606*"))&gt;=1,"SIM","")</f>
        <v>#REF!</v>
      </c>
      <c r="H598" s="5" t="e">
        <f>IF((COUNTIFS(#REF!,$C598,#REF!,"*605*"))&gt;=1,"SIM","")</f>
        <v>#REF!</v>
      </c>
      <c r="I598" s="5" t="e">
        <f>IF((COUNTIFS(#REF!,$C598,#REF!,I$1))&gt;=1,"SIM","")</f>
        <v>#REF!</v>
      </c>
      <c r="J598" s="5" t="e">
        <f>IF((COUNTIFS(#REF!,$C598,#REF!,J$1))&gt;=1,"SIM","")</f>
        <v>#REF!</v>
      </c>
      <c r="K598" s="5" t="e">
        <f>IF((COUNTIFS(#REF!,$C598,#REF!,K$1))&gt;=1,"SIM","")</f>
        <v>#REF!</v>
      </c>
      <c r="L598" s="5" t="e">
        <f>IF((COUNTIFS(#REF!,$C598,#REF!,L$1))&gt;=1,"SIM","")</f>
        <v>#REF!</v>
      </c>
      <c r="M598" s="5" t="e">
        <f>IF((COUNTIFS(#REF!,$C598,#REF!,M$1))&gt;=1,"SIM","")</f>
        <v>#REF!</v>
      </c>
      <c r="N598" s="5" t="e">
        <f>IF((COUNTIFS(#REF!,$C598,#REF!,N$1))&gt;=1,"SIM","")</f>
        <v>#REF!</v>
      </c>
      <c r="O598" s="5"/>
      <c r="P598" s="5" t="e">
        <f>IF((COUNTIFS(#REF!,$C598,#REF!,P$1))&gt;=1,"SIM","")</f>
        <v>#REF!</v>
      </c>
      <c r="Q598" s="5" t="e">
        <f>IF((COUNTIFS(#REF!,$C598,#REF!,Q$1))&gt;=1,"SIM","")</f>
        <v>#REF!</v>
      </c>
      <c r="R598" s="5" t="e">
        <f>IF((COUNTIFS(#REF!,$C598,#REF!,"*CARTA*"))&gt;=1,"SIM","")</f>
        <v>#REF!</v>
      </c>
      <c r="S598" s="5" t="e">
        <f>IF((COUNTIFS(#REF!,$C598,#REF!,"*CARTA NOTIFICAÇÃO/DEVOL*"))&gt;=1,"SIM","")</f>
        <v>#REF!</v>
      </c>
      <c r="T598" s="5" t="e">
        <f>IF((COUNTIFS(#REF!,$C598,#REF!,"*LIGAÇÃO ATIVA DEV PRIN/LOC*"))&gt;=1,"SIM","")</f>
        <v>#REF!</v>
      </c>
    </row>
    <row r="599" spans="1:20">
      <c r="A599" s="24" t="s">
        <v>2159</v>
      </c>
      <c r="B599" s="24" t="s">
        <v>1111</v>
      </c>
      <c r="C599" s="24" t="s">
        <v>1112</v>
      </c>
      <c r="D599" s="5" t="e">
        <f>IF((COUNTIFS(#REF!,$C599,#REF!,"*163*"))&gt;=1,"SIM","")</f>
        <v>#REF!</v>
      </c>
      <c r="E599" s="5" t="e">
        <f>IF((COUNTIFS(#REF!,$C599,#REF!,E$1))&gt;=1,"SIM","")</f>
        <v>#REF!</v>
      </c>
      <c r="F599" s="5" t="e">
        <f>IF((COUNTIFS(#REF!,$C599,#REF!,F$1))&gt;=1,"SIM","")</f>
        <v>#REF!</v>
      </c>
      <c r="G599" s="5" t="e">
        <f>IF((COUNTIFS(#REF!,$C599,#REF!,"*606*"))&gt;=1,"SIM","")</f>
        <v>#REF!</v>
      </c>
      <c r="H599" s="5" t="e">
        <f>IF((COUNTIFS(#REF!,$C599,#REF!,"*605*"))&gt;=1,"SIM","")</f>
        <v>#REF!</v>
      </c>
      <c r="I599" s="5" t="e">
        <f>IF((COUNTIFS(#REF!,$C599,#REF!,I$1))&gt;=1,"SIM","")</f>
        <v>#REF!</v>
      </c>
      <c r="J599" s="5" t="e">
        <f>IF((COUNTIFS(#REF!,$C599,#REF!,J$1))&gt;=1,"SIM","")</f>
        <v>#REF!</v>
      </c>
      <c r="K599" s="5" t="e">
        <f>IF((COUNTIFS(#REF!,$C599,#REF!,K$1))&gt;=1,"SIM","")</f>
        <v>#REF!</v>
      </c>
      <c r="L599" s="5" t="e">
        <f>IF((COUNTIFS(#REF!,$C599,#REF!,L$1))&gt;=1,"SIM","")</f>
        <v>#REF!</v>
      </c>
      <c r="M599" s="5" t="e">
        <f>IF((COUNTIFS(#REF!,$C599,#REF!,M$1))&gt;=1,"SIM","")</f>
        <v>#REF!</v>
      </c>
      <c r="N599" s="5" t="e">
        <f>IF((COUNTIFS(#REF!,$C599,#REF!,N$1))&gt;=1,"SIM","")</f>
        <v>#REF!</v>
      </c>
      <c r="O599" s="5"/>
      <c r="P599" s="5" t="e">
        <f>IF((COUNTIFS(#REF!,$C599,#REF!,P$1))&gt;=1,"SIM","")</f>
        <v>#REF!</v>
      </c>
      <c r="Q599" s="5" t="e">
        <f>IF((COUNTIFS(#REF!,$C599,#REF!,Q$1))&gt;=1,"SIM","")</f>
        <v>#REF!</v>
      </c>
      <c r="R599" s="5" t="e">
        <f>IF((COUNTIFS(#REF!,$C599,#REF!,"*CARTA*"))&gt;=1,"SIM","")</f>
        <v>#REF!</v>
      </c>
      <c r="S599" s="5" t="e">
        <f>IF((COUNTIFS(#REF!,$C599,#REF!,"*CARTA NOTIFICAÇÃO/DEVOL*"))&gt;=1,"SIM","")</f>
        <v>#REF!</v>
      </c>
      <c r="T599" s="5" t="e">
        <f>IF((COUNTIFS(#REF!,$C599,#REF!,"*LIGAÇÃO ATIVA DEV PRIN/LOC*"))&gt;=1,"SIM","")</f>
        <v>#REF!</v>
      </c>
    </row>
    <row r="600" spans="1:20">
      <c r="A600" s="24" t="s">
        <v>2155</v>
      </c>
      <c r="B600" s="24" t="s">
        <v>177</v>
      </c>
      <c r="C600" s="24" t="s">
        <v>178</v>
      </c>
      <c r="D600" s="5" t="e">
        <f>IF((COUNTIFS(#REF!,$C600,#REF!,"*163*"))&gt;=1,"SIM","")</f>
        <v>#REF!</v>
      </c>
      <c r="E600" s="5" t="e">
        <f>IF((COUNTIFS(#REF!,$C600,#REF!,E$1))&gt;=1,"SIM","")</f>
        <v>#REF!</v>
      </c>
      <c r="F600" s="5" t="e">
        <f>IF((COUNTIFS(#REF!,$C600,#REF!,F$1))&gt;=1,"SIM","")</f>
        <v>#REF!</v>
      </c>
      <c r="G600" s="5" t="e">
        <f>IF((COUNTIFS(#REF!,$C600,#REF!,"*606*"))&gt;=1,"SIM","")</f>
        <v>#REF!</v>
      </c>
      <c r="H600" s="5" t="e">
        <f>IF((COUNTIFS(#REF!,$C600,#REF!,"*605*"))&gt;=1,"SIM","")</f>
        <v>#REF!</v>
      </c>
      <c r="I600" s="5" t="e">
        <f>IF((COUNTIFS(#REF!,$C600,#REF!,I$1))&gt;=1,"SIM","")</f>
        <v>#REF!</v>
      </c>
      <c r="J600" s="5" t="e">
        <f>IF((COUNTIFS(#REF!,$C600,#REF!,J$1))&gt;=1,"SIM","")</f>
        <v>#REF!</v>
      </c>
      <c r="K600" s="5" t="e">
        <f>IF((COUNTIFS(#REF!,$C600,#REF!,K$1))&gt;=1,"SIM","")</f>
        <v>#REF!</v>
      </c>
      <c r="L600" s="5" t="e">
        <f>IF((COUNTIFS(#REF!,$C600,#REF!,L$1))&gt;=1,"SIM","")</f>
        <v>#REF!</v>
      </c>
      <c r="M600" s="5" t="e">
        <f>IF((COUNTIFS(#REF!,$C600,#REF!,M$1))&gt;=1,"SIM","")</f>
        <v>#REF!</v>
      </c>
      <c r="N600" s="5" t="e">
        <f>IF((COUNTIFS(#REF!,$C600,#REF!,N$1))&gt;=1,"SIM","")</f>
        <v>#REF!</v>
      </c>
      <c r="O600" s="5"/>
      <c r="P600" s="5" t="e">
        <f>IF((COUNTIFS(#REF!,$C600,#REF!,P$1))&gt;=1,"SIM","")</f>
        <v>#REF!</v>
      </c>
      <c r="Q600" s="5" t="e">
        <f>IF((COUNTIFS(#REF!,$C600,#REF!,Q$1))&gt;=1,"SIM","")</f>
        <v>#REF!</v>
      </c>
      <c r="R600" s="5" t="e">
        <f>IF((COUNTIFS(#REF!,$C600,#REF!,"*CARTA*"))&gt;=1,"SIM","")</f>
        <v>#REF!</v>
      </c>
      <c r="S600" s="5" t="e">
        <f>IF((COUNTIFS(#REF!,$C600,#REF!,"*CARTA NOTIFICAÇÃO/DEVOL*"))&gt;=1,"SIM","")</f>
        <v>#REF!</v>
      </c>
      <c r="T600" s="5" t="e">
        <f>IF((COUNTIFS(#REF!,$C600,#REF!,"*LIGAÇÃO ATIVA DEV PRIN/LOC*"))&gt;=1,"SIM","")</f>
        <v>#REF!</v>
      </c>
    </row>
    <row r="601" spans="1:20">
      <c r="A601" s="24" t="s">
        <v>2153</v>
      </c>
      <c r="B601" s="24" t="s">
        <v>177</v>
      </c>
      <c r="C601" s="24" t="s">
        <v>178</v>
      </c>
      <c r="D601" s="5" t="e">
        <f>IF((COUNTIFS(#REF!,$C601,#REF!,"*163*"))&gt;=1,"SIM","")</f>
        <v>#REF!</v>
      </c>
      <c r="E601" s="5" t="e">
        <f>IF((COUNTIFS(#REF!,$C601,#REF!,E$1))&gt;=1,"SIM","")</f>
        <v>#REF!</v>
      </c>
      <c r="F601" s="5" t="e">
        <f>IF((COUNTIFS(#REF!,$C601,#REF!,F$1))&gt;=1,"SIM","")</f>
        <v>#REF!</v>
      </c>
      <c r="G601" s="5" t="e">
        <f>IF((COUNTIFS(#REF!,$C601,#REF!,"*606*"))&gt;=1,"SIM","")</f>
        <v>#REF!</v>
      </c>
      <c r="H601" s="5" t="e">
        <f>IF((COUNTIFS(#REF!,$C601,#REF!,"*605*"))&gt;=1,"SIM","")</f>
        <v>#REF!</v>
      </c>
      <c r="I601" s="5" t="e">
        <f>IF((COUNTIFS(#REF!,$C601,#REF!,I$1))&gt;=1,"SIM","")</f>
        <v>#REF!</v>
      </c>
      <c r="J601" s="5" t="e">
        <f>IF((COUNTIFS(#REF!,$C601,#REF!,J$1))&gt;=1,"SIM","")</f>
        <v>#REF!</v>
      </c>
      <c r="K601" s="5" t="e">
        <f>IF((COUNTIFS(#REF!,$C601,#REF!,K$1))&gt;=1,"SIM","")</f>
        <v>#REF!</v>
      </c>
      <c r="L601" s="5" t="e">
        <f>IF((COUNTIFS(#REF!,$C601,#REF!,L$1))&gt;=1,"SIM","")</f>
        <v>#REF!</v>
      </c>
      <c r="M601" s="5" t="e">
        <f>IF((COUNTIFS(#REF!,$C601,#REF!,M$1))&gt;=1,"SIM","")</f>
        <v>#REF!</v>
      </c>
      <c r="N601" s="5" t="e">
        <f>IF((COUNTIFS(#REF!,$C601,#REF!,N$1))&gt;=1,"SIM","")</f>
        <v>#REF!</v>
      </c>
      <c r="O601" s="5"/>
      <c r="P601" s="5" t="e">
        <f>IF((COUNTIFS(#REF!,$C601,#REF!,P$1))&gt;=1,"SIM","")</f>
        <v>#REF!</v>
      </c>
      <c r="Q601" s="5" t="e">
        <f>IF((COUNTIFS(#REF!,$C601,#REF!,Q$1))&gt;=1,"SIM","")</f>
        <v>#REF!</v>
      </c>
      <c r="R601" s="5" t="e">
        <f>IF((COUNTIFS(#REF!,$C601,#REF!,"*CARTA*"))&gt;=1,"SIM","")</f>
        <v>#REF!</v>
      </c>
      <c r="S601" s="5" t="e">
        <f>IF((COUNTIFS(#REF!,$C601,#REF!,"*CARTA NOTIFICAÇÃO/DEVOL*"))&gt;=1,"SIM","")</f>
        <v>#REF!</v>
      </c>
      <c r="T601" s="5" t="e">
        <f>IF((COUNTIFS(#REF!,$C601,#REF!,"*LIGAÇÃO ATIVA DEV PRIN/LOC*"))&gt;=1,"SIM","")</f>
        <v>#REF!</v>
      </c>
    </row>
    <row r="602" spans="1:20">
      <c r="A602" s="24" t="s">
        <v>2159</v>
      </c>
      <c r="B602" s="24" t="s">
        <v>179</v>
      </c>
      <c r="C602" s="24" t="s">
        <v>180</v>
      </c>
      <c r="D602" s="5" t="e">
        <f>IF((COUNTIFS(#REF!,$C602,#REF!,"*163*"))&gt;=1,"SIM","")</f>
        <v>#REF!</v>
      </c>
      <c r="E602" s="5" t="e">
        <f>IF((COUNTIFS(#REF!,$C602,#REF!,E$1))&gt;=1,"SIM","")</f>
        <v>#REF!</v>
      </c>
      <c r="F602" s="5" t="e">
        <f>IF((COUNTIFS(#REF!,$C602,#REF!,F$1))&gt;=1,"SIM","")</f>
        <v>#REF!</v>
      </c>
      <c r="G602" s="5" t="e">
        <f>IF((COUNTIFS(#REF!,$C602,#REF!,"*606*"))&gt;=1,"SIM","")</f>
        <v>#REF!</v>
      </c>
      <c r="H602" s="5" t="e">
        <f>IF((COUNTIFS(#REF!,$C602,#REF!,"*605*"))&gt;=1,"SIM","")</f>
        <v>#REF!</v>
      </c>
      <c r="I602" s="5" t="e">
        <f>IF((COUNTIFS(#REF!,$C602,#REF!,I$1))&gt;=1,"SIM","")</f>
        <v>#REF!</v>
      </c>
      <c r="J602" s="5" t="e">
        <f>IF((COUNTIFS(#REF!,$C602,#REF!,J$1))&gt;=1,"SIM","")</f>
        <v>#REF!</v>
      </c>
      <c r="K602" s="5" t="e">
        <f>IF((COUNTIFS(#REF!,$C602,#REF!,K$1))&gt;=1,"SIM","")</f>
        <v>#REF!</v>
      </c>
      <c r="L602" s="5" t="e">
        <f>IF((COUNTIFS(#REF!,$C602,#REF!,L$1))&gt;=1,"SIM","")</f>
        <v>#REF!</v>
      </c>
      <c r="M602" s="5" t="e">
        <f>IF((COUNTIFS(#REF!,$C602,#REF!,M$1))&gt;=1,"SIM","")</f>
        <v>#REF!</v>
      </c>
      <c r="N602" s="5" t="e">
        <f>IF((COUNTIFS(#REF!,$C602,#REF!,N$1))&gt;=1,"SIM","")</f>
        <v>#REF!</v>
      </c>
      <c r="O602" s="5"/>
      <c r="P602" s="5" t="e">
        <f>IF((COUNTIFS(#REF!,$C602,#REF!,P$1))&gt;=1,"SIM","")</f>
        <v>#REF!</v>
      </c>
      <c r="Q602" s="5" t="e">
        <f>IF((COUNTIFS(#REF!,$C602,#REF!,Q$1))&gt;=1,"SIM","")</f>
        <v>#REF!</v>
      </c>
      <c r="R602" s="5" t="e">
        <f>IF((COUNTIFS(#REF!,$C602,#REF!,"*CARTA*"))&gt;=1,"SIM","")</f>
        <v>#REF!</v>
      </c>
      <c r="S602" s="5" t="e">
        <f>IF((COUNTIFS(#REF!,$C602,#REF!,"*CARTA NOTIFICAÇÃO/DEVOL*"))&gt;=1,"SIM","")</f>
        <v>#REF!</v>
      </c>
      <c r="T602" s="5" t="e">
        <f>IF((COUNTIFS(#REF!,$C602,#REF!,"*LIGAÇÃO ATIVA DEV PRIN/LOC*"))&gt;=1,"SIM","")</f>
        <v>#REF!</v>
      </c>
    </row>
    <row r="603" spans="1:20">
      <c r="A603" s="24" t="s">
        <v>2155</v>
      </c>
      <c r="B603" s="24" t="s">
        <v>179</v>
      </c>
      <c r="C603" s="24" t="s">
        <v>180</v>
      </c>
      <c r="D603" s="5" t="e">
        <f>IF((COUNTIFS(#REF!,$C603,#REF!,"*163*"))&gt;=1,"SIM","")</f>
        <v>#REF!</v>
      </c>
      <c r="E603" s="5" t="e">
        <f>IF((COUNTIFS(#REF!,$C603,#REF!,E$1))&gt;=1,"SIM","")</f>
        <v>#REF!</v>
      </c>
      <c r="F603" s="5" t="e">
        <f>IF((COUNTIFS(#REF!,$C603,#REF!,F$1))&gt;=1,"SIM","")</f>
        <v>#REF!</v>
      </c>
      <c r="G603" s="5" t="e">
        <f>IF((COUNTIFS(#REF!,$C603,#REF!,"*606*"))&gt;=1,"SIM","")</f>
        <v>#REF!</v>
      </c>
      <c r="H603" s="5" t="e">
        <f>IF((COUNTIFS(#REF!,$C603,#REF!,"*605*"))&gt;=1,"SIM","")</f>
        <v>#REF!</v>
      </c>
      <c r="I603" s="5" t="e">
        <f>IF((COUNTIFS(#REF!,$C603,#REF!,I$1))&gt;=1,"SIM","")</f>
        <v>#REF!</v>
      </c>
      <c r="J603" s="5" t="e">
        <f>IF((COUNTIFS(#REF!,$C603,#REF!,J$1))&gt;=1,"SIM","")</f>
        <v>#REF!</v>
      </c>
      <c r="K603" s="5" t="e">
        <f>IF((COUNTIFS(#REF!,$C603,#REF!,K$1))&gt;=1,"SIM","")</f>
        <v>#REF!</v>
      </c>
      <c r="L603" s="5" t="e">
        <f>IF((COUNTIFS(#REF!,$C603,#REF!,L$1))&gt;=1,"SIM","")</f>
        <v>#REF!</v>
      </c>
      <c r="M603" s="5" t="e">
        <f>IF((COUNTIFS(#REF!,$C603,#REF!,M$1))&gt;=1,"SIM","")</f>
        <v>#REF!</v>
      </c>
      <c r="N603" s="5" t="e">
        <f>IF((COUNTIFS(#REF!,$C603,#REF!,N$1))&gt;=1,"SIM","")</f>
        <v>#REF!</v>
      </c>
      <c r="O603" s="5"/>
      <c r="P603" s="5" t="e">
        <f>IF((COUNTIFS(#REF!,$C603,#REF!,P$1))&gt;=1,"SIM","")</f>
        <v>#REF!</v>
      </c>
      <c r="Q603" s="5" t="e">
        <f>IF((COUNTIFS(#REF!,$C603,#REF!,Q$1))&gt;=1,"SIM","")</f>
        <v>#REF!</v>
      </c>
      <c r="R603" s="5" t="e">
        <f>IF((COUNTIFS(#REF!,$C603,#REF!,"*CARTA*"))&gt;=1,"SIM","")</f>
        <v>#REF!</v>
      </c>
      <c r="S603" s="5" t="e">
        <f>IF((COUNTIFS(#REF!,$C603,#REF!,"*CARTA NOTIFICAÇÃO/DEVOL*"))&gt;=1,"SIM","")</f>
        <v>#REF!</v>
      </c>
      <c r="T603" s="5" t="e">
        <f>IF((COUNTIFS(#REF!,$C603,#REF!,"*LIGAÇÃO ATIVA DEV PRIN/LOC*"))&gt;=1,"SIM","")</f>
        <v>#REF!</v>
      </c>
    </row>
    <row r="604" spans="1:20">
      <c r="A604" s="24" t="s">
        <v>2159</v>
      </c>
      <c r="B604" s="24" t="s">
        <v>1059</v>
      </c>
      <c r="C604" s="24" t="s">
        <v>1060</v>
      </c>
      <c r="D604" s="5" t="e">
        <f>IF((COUNTIFS(#REF!,$C604,#REF!,"*163*"))&gt;=1,"SIM","")</f>
        <v>#REF!</v>
      </c>
      <c r="E604" s="5" t="e">
        <f>IF((COUNTIFS(#REF!,$C604,#REF!,E$1))&gt;=1,"SIM","")</f>
        <v>#REF!</v>
      </c>
      <c r="F604" s="5" t="e">
        <f>IF((COUNTIFS(#REF!,$C604,#REF!,F$1))&gt;=1,"SIM","")</f>
        <v>#REF!</v>
      </c>
      <c r="G604" s="5" t="e">
        <f>IF((COUNTIFS(#REF!,$C604,#REF!,"*606*"))&gt;=1,"SIM","")</f>
        <v>#REF!</v>
      </c>
      <c r="H604" s="5" t="e">
        <f>IF((COUNTIFS(#REF!,$C604,#REF!,"*605*"))&gt;=1,"SIM","")</f>
        <v>#REF!</v>
      </c>
      <c r="I604" s="5" t="e">
        <f>IF((COUNTIFS(#REF!,$C604,#REF!,I$1))&gt;=1,"SIM","")</f>
        <v>#REF!</v>
      </c>
      <c r="J604" s="5" t="e">
        <f>IF((COUNTIFS(#REF!,$C604,#REF!,J$1))&gt;=1,"SIM","")</f>
        <v>#REF!</v>
      </c>
      <c r="K604" s="5" t="e">
        <f>IF((COUNTIFS(#REF!,$C604,#REF!,K$1))&gt;=1,"SIM","")</f>
        <v>#REF!</v>
      </c>
      <c r="L604" s="5" t="e">
        <f>IF((COUNTIFS(#REF!,$C604,#REF!,L$1))&gt;=1,"SIM","")</f>
        <v>#REF!</v>
      </c>
      <c r="M604" s="5" t="e">
        <f>IF((COUNTIFS(#REF!,$C604,#REF!,M$1))&gt;=1,"SIM","")</f>
        <v>#REF!</v>
      </c>
      <c r="N604" s="5" t="e">
        <f>IF((COUNTIFS(#REF!,$C604,#REF!,N$1))&gt;=1,"SIM","")</f>
        <v>#REF!</v>
      </c>
      <c r="O604" s="5"/>
      <c r="P604" s="5" t="e">
        <f>IF((COUNTIFS(#REF!,$C604,#REF!,P$1))&gt;=1,"SIM","")</f>
        <v>#REF!</v>
      </c>
      <c r="Q604" s="5" t="e">
        <f>IF((COUNTIFS(#REF!,$C604,#REF!,Q$1))&gt;=1,"SIM","")</f>
        <v>#REF!</v>
      </c>
      <c r="R604" s="5" t="e">
        <f>IF((COUNTIFS(#REF!,$C604,#REF!,"*CARTA*"))&gt;=1,"SIM","")</f>
        <v>#REF!</v>
      </c>
      <c r="S604" s="5" t="e">
        <f>IF((COUNTIFS(#REF!,$C604,#REF!,"*CARTA NOTIFICAÇÃO/DEVOL*"))&gt;=1,"SIM","")</f>
        <v>#REF!</v>
      </c>
      <c r="T604" s="5" t="e">
        <f>IF((COUNTIFS(#REF!,$C604,#REF!,"*LIGAÇÃO ATIVA DEV PRIN/LOC*"))&gt;=1,"SIM","")</f>
        <v>#REF!</v>
      </c>
    </row>
    <row r="605" spans="1:20">
      <c r="A605" s="24" t="s">
        <v>2159</v>
      </c>
      <c r="B605" s="24" t="s">
        <v>974</v>
      </c>
      <c r="C605" s="24" t="s">
        <v>975</v>
      </c>
      <c r="D605" s="5" t="e">
        <f>IF((COUNTIFS(#REF!,$C605,#REF!,"*163*"))&gt;=1,"SIM","")</f>
        <v>#REF!</v>
      </c>
      <c r="E605" s="5" t="e">
        <f>IF((COUNTIFS(#REF!,$C605,#REF!,E$1))&gt;=1,"SIM","")</f>
        <v>#REF!</v>
      </c>
      <c r="F605" s="5" t="e">
        <f>IF((COUNTIFS(#REF!,$C605,#REF!,F$1))&gt;=1,"SIM","")</f>
        <v>#REF!</v>
      </c>
      <c r="G605" s="5" t="e">
        <f>IF((COUNTIFS(#REF!,$C605,#REF!,"*606*"))&gt;=1,"SIM","")</f>
        <v>#REF!</v>
      </c>
      <c r="H605" s="5" t="e">
        <f>IF((COUNTIFS(#REF!,$C605,#REF!,"*605*"))&gt;=1,"SIM","")</f>
        <v>#REF!</v>
      </c>
      <c r="I605" s="5" t="e">
        <f>IF((COUNTIFS(#REF!,$C605,#REF!,I$1))&gt;=1,"SIM","")</f>
        <v>#REF!</v>
      </c>
      <c r="J605" s="5" t="e">
        <f>IF((COUNTIFS(#REF!,$C605,#REF!,J$1))&gt;=1,"SIM","")</f>
        <v>#REF!</v>
      </c>
      <c r="K605" s="5" t="e">
        <f>IF((COUNTIFS(#REF!,$C605,#REF!,K$1))&gt;=1,"SIM","")</f>
        <v>#REF!</v>
      </c>
      <c r="L605" s="5" t="e">
        <f>IF((COUNTIFS(#REF!,$C605,#REF!,L$1))&gt;=1,"SIM","")</f>
        <v>#REF!</v>
      </c>
      <c r="M605" s="5" t="e">
        <f>IF((COUNTIFS(#REF!,$C605,#REF!,M$1))&gt;=1,"SIM","")</f>
        <v>#REF!</v>
      </c>
      <c r="N605" s="5" t="e">
        <f>IF((COUNTIFS(#REF!,$C605,#REF!,N$1))&gt;=1,"SIM","")</f>
        <v>#REF!</v>
      </c>
      <c r="O605" s="5"/>
      <c r="P605" s="5" t="e">
        <f>IF((COUNTIFS(#REF!,$C605,#REF!,P$1))&gt;=1,"SIM","")</f>
        <v>#REF!</v>
      </c>
      <c r="Q605" s="5" t="e">
        <f>IF((COUNTIFS(#REF!,$C605,#REF!,Q$1))&gt;=1,"SIM","")</f>
        <v>#REF!</v>
      </c>
      <c r="R605" s="5" t="e">
        <f>IF((COUNTIFS(#REF!,$C605,#REF!,"*CARTA*"))&gt;=1,"SIM","")</f>
        <v>#REF!</v>
      </c>
      <c r="S605" s="5" t="e">
        <f>IF((COUNTIFS(#REF!,$C605,#REF!,"*CARTA NOTIFICAÇÃO/DEVOL*"))&gt;=1,"SIM","")</f>
        <v>#REF!</v>
      </c>
      <c r="T605" s="5" t="e">
        <f>IF((COUNTIFS(#REF!,$C605,#REF!,"*LIGAÇÃO ATIVA DEV PRIN/LOC*"))&gt;=1,"SIM","")</f>
        <v>#REF!</v>
      </c>
    </row>
    <row r="606" spans="1:20">
      <c r="A606" s="24" t="s">
        <v>2157</v>
      </c>
      <c r="B606" s="24" t="s">
        <v>1987</v>
      </c>
      <c r="C606" s="24" t="s">
        <v>1988</v>
      </c>
      <c r="D606" s="5" t="e">
        <f>IF((COUNTIFS(#REF!,$C606,#REF!,"*163*"))&gt;=1,"SIM","")</f>
        <v>#REF!</v>
      </c>
      <c r="E606" s="5" t="e">
        <f>IF((COUNTIFS(#REF!,$C606,#REF!,E$1))&gt;=1,"SIM","")</f>
        <v>#REF!</v>
      </c>
      <c r="F606" s="5" t="e">
        <f>IF((COUNTIFS(#REF!,$C606,#REF!,F$1))&gt;=1,"SIM","")</f>
        <v>#REF!</v>
      </c>
      <c r="G606" s="5" t="e">
        <f>IF((COUNTIFS(#REF!,$C606,#REF!,"*606*"))&gt;=1,"SIM","")</f>
        <v>#REF!</v>
      </c>
      <c r="H606" s="5" t="e">
        <f>IF((COUNTIFS(#REF!,$C606,#REF!,"*605*"))&gt;=1,"SIM","")</f>
        <v>#REF!</v>
      </c>
      <c r="I606" s="5" t="e">
        <f>IF((COUNTIFS(#REF!,$C606,#REF!,I$1))&gt;=1,"SIM","")</f>
        <v>#REF!</v>
      </c>
      <c r="J606" s="5" t="e">
        <f>IF((COUNTIFS(#REF!,$C606,#REF!,J$1))&gt;=1,"SIM","")</f>
        <v>#REF!</v>
      </c>
      <c r="K606" s="5" t="e">
        <f>IF((COUNTIFS(#REF!,$C606,#REF!,K$1))&gt;=1,"SIM","")</f>
        <v>#REF!</v>
      </c>
      <c r="L606" s="5" t="e">
        <f>IF((COUNTIFS(#REF!,$C606,#REF!,L$1))&gt;=1,"SIM","")</f>
        <v>#REF!</v>
      </c>
      <c r="M606" s="5" t="e">
        <f>IF((COUNTIFS(#REF!,$C606,#REF!,M$1))&gt;=1,"SIM","")</f>
        <v>#REF!</v>
      </c>
      <c r="N606" s="5" t="e">
        <f>IF((COUNTIFS(#REF!,$C606,#REF!,N$1))&gt;=1,"SIM","")</f>
        <v>#REF!</v>
      </c>
      <c r="O606" s="5"/>
      <c r="P606" s="5" t="e">
        <f>IF((COUNTIFS(#REF!,$C606,#REF!,P$1))&gt;=1,"SIM","")</f>
        <v>#REF!</v>
      </c>
      <c r="Q606" s="5" t="e">
        <f>IF((COUNTIFS(#REF!,$C606,#REF!,Q$1))&gt;=1,"SIM","")</f>
        <v>#REF!</v>
      </c>
      <c r="R606" s="5" t="e">
        <f>IF((COUNTIFS(#REF!,$C606,#REF!,"*CARTA*"))&gt;=1,"SIM","")</f>
        <v>#REF!</v>
      </c>
      <c r="S606" s="5" t="e">
        <f>IF((COUNTIFS(#REF!,$C606,#REF!,"*CARTA NOTIFICAÇÃO/DEVOL*"))&gt;=1,"SIM","")</f>
        <v>#REF!</v>
      </c>
      <c r="T606" s="5" t="e">
        <f>IF((COUNTIFS(#REF!,$C606,#REF!,"*LIGAÇÃO ATIVA DEV PRIN/LOC*"))&gt;=1,"SIM","")</f>
        <v>#REF!</v>
      </c>
    </row>
    <row r="607" spans="1:20">
      <c r="A607" s="24" t="s">
        <v>2153</v>
      </c>
      <c r="B607" s="24" t="s">
        <v>364</v>
      </c>
      <c r="C607" s="24" t="s">
        <v>365</v>
      </c>
      <c r="D607" s="5" t="e">
        <f>IF((COUNTIFS(#REF!,$C607,#REF!,"*163*"))&gt;=1,"SIM","")</f>
        <v>#REF!</v>
      </c>
      <c r="E607" s="5" t="e">
        <f>IF((COUNTIFS(#REF!,$C607,#REF!,E$1))&gt;=1,"SIM","")</f>
        <v>#REF!</v>
      </c>
      <c r="F607" s="5" t="e">
        <f>IF((COUNTIFS(#REF!,$C607,#REF!,F$1))&gt;=1,"SIM","")</f>
        <v>#REF!</v>
      </c>
      <c r="G607" s="5" t="e">
        <f>IF((COUNTIFS(#REF!,$C607,#REF!,"*606*"))&gt;=1,"SIM","")</f>
        <v>#REF!</v>
      </c>
      <c r="H607" s="5" t="e">
        <f>IF((COUNTIFS(#REF!,$C607,#REF!,"*605*"))&gt;=1,"SIM","")</f>
        <v>#REF!</v>
      </c>
      <c r="I607" s="5" t="e">
        <f>IF((COUNTIFS(#REF!,$C607,#REF!,I$1))&gt;=1,"SIM","")</f>
        <v>#REF!</v>
      </c>
      <c r="J607" s="5" t="e">
        <f>IF((COUNTIFS(#REF!,$C607,#REF!,J$1))&gt;=1,"SIM","")</f>
        <v>#REF!</v>
      </c>
      <c r="K607" s="5" t="e">
        <f>IF((COUNTIFS(#REF!,$C607,#REF!,K$1))&gt;=1,"SIM","")</f>
        <v>#REF!</v>
      </c>
      <c r="L607" s="5" t="e">
        <f>IF((COUNTIFS(#REF!,$C607,#REF!,L$1))&gt;=1,"SIM","")</f>
        <v>#REF!</v>
      </c>
      <c r="M607" s="5" t="e">
        <f>IF((COUNTIFS(#REF!,$C607,#REF!,M$1))&gt;=1,"SIM","")</f>
        <v>#REF!</v>
      </c>
      <c r="N607" s="5" t="e">
        <f>IF((COUNTIFS(#REF!,$C607,#REF!,N$1))&gt;=1,"SIM","")</f>
        <v>#REF!</v>
      </c>
      <c r="O607" s="5"/>
      <c r="P607" s="5" t="e">
        <f>IF((COUNTIFS(#REF!,$C607,#REF!,P$1))&gt;=1,"SIM","")</f>
        <v>#REF!</v>
      </c>
      <c r="Q607" s="5" t="e">
        <f>IF((COUNTIFS(#REF!,$C607,#REF!,Q$1))&gt;=1,"SIM","")</f>
        <v>#REF!</v>
      </c>
      <c r="R607" s="5" t="e">
        <f>IF((COUNTIFS(#REF!,$C607,#REF!,"*CARTA*"))&gt;=1,"SIM","")</f>
        <v>#REF!</v>
      </c>
      <c r="S607" s="5" t="e">
        <f>IF((COUNTIFS(#REF!,$C607,#REF!,"*CARTA NOTIFICAÇÃO/DEVOL*"))&gt;=1,"SIM","")</f>
        <v>#REF!</v>
      </c>
      <c r="T607" s="5" t="e">
        <f>IF((COUNTIFS(#REF!,$C607,#REF!,"*LIGAÇÃO ATIVA DEV PRIN/LOC*"))&gt;=1,"SIM","")</f>
        <v>#REF!</v>
      </c>
    </row>
    <row r="608" spans="1:20">
      <c r="A608" s="24" t="s">
        <v>2153</v>
      </c>
      <c r="B608" s="24" t="s">
        <v>469</v>
      </c>
      <c r="C608" s="24" t="s">
        <v>470</v>
      </c>
      <c r="D608" s="5" t="e">
        <f>IF((COUNTIFS(#REF!,$C608,#REF!,"*163*"))&gt;=1,"SIM","")</f>
        <v>#REF!</v>
      </c>
      <c r="E608" s="5" t="e">
        <f>IF((COUNTIFS(#REF!,$C608,#REF!,E$1))&gt;=1,"SIM","")</f>
        <v>#REF!</v>
      </c>
      <c r="F608" s="5" t="e">
        <f>IF((COUNTIFS(#REF!,$C608,#REF!,F$1))&gt;=1,"SIM","")</f>
        <v>#REF!</v>
      </c>
      <c r="G608" s="5" t="e">
        <f>IF((COUNTIFS(#REF!,$C608,#REF!,"*606*"))&gt;=1,"SIM","")</f>
        <v>#REF!</v>
      </c>
      <c r="H608" s="5" t="e">
        <f>IF((COUNTIFS(#REF!,$C608,#REF!,"*605*"))&gt;=1,"SIM","")</f>
        <v>#REF!</v>
      </c>
      <c r="I608" s="5" t="e">
        <f>IF((COUNTIFS(#REF!,$C608,#REF!,I$1))&gt;=1,"SIM","")</f>
        <v>#REF!</v>
      </c>
      <c r="J608" s="5" t="e">
        <f>IF((COUNTIFS(#REF!,$C608,#REF!,J$1))&gt;=1,"SIM","")</f>
        <v>#REF!</v>
      </c>
      <c r="K608" s="5" t="e">
        <f>IF((COUNTIFS(#REF!,$C608,#REF!,K$1))&gt;=1,"SIM","")</f>
        <v>#REF!</v>
      </c>
      <c r="L608" s="5" t="e">
        <f>IF((COUNTIFS(#REF!,$C608,#REF!,L$1))&gt;=1,"SIM","")</f>
        <v>#REF!</v>
      </c>
      <c r="M608" s="5" t="e">
        <f>IF((COUNTIFS(#REF!,$C608,#REF!,M$1))&gt;=1,"SIM","")</f>
        <v>#REF!</v>
      </c>
      <c r="N608" s="5" t="e">
        <f>IF((COUNTIFS(#REF!,$C608,#REF!,N$1))&gt;=1,"SIM","")</f>
        <v>#REF!</v>
      </c>
      <c r="O608" s="5"/>
      <c r="P608" s="5" t="e">
        <f>IF((COUNTIFS(#REF!,$C608,#REF!,P$1))&gt;=1,"SIM","")</f>
        <v>#REF!</v>
      </c>
      <c r="Q608" s="5" t="e">
        <f>IF((COUNTIFS(#REF!,$C608,#REF!,Q$1))&gt;=1,"SIM","")</f>
        <v>#REF!</v>
      </c>
      <c r="R608" s="5" t="e">
        <f>IF((COUNTIFS(#REF!,$C608,#REF!,"*CARTA*"))&gt;=1,"SIM","")</f>
        <v>#REF!</v>
      </c>
      <c r="S608" s="5" t="e">
        <f>IF((COUNTIFS(#REF!,$C608,#REF!,"*CARTA NOTIFICAÇÃO/DEVOL*"))&gt;=1,"SIM","")</f>
        <v>#REF!</v>
      </c>
      <c r="T608" s="5" t="e">
        <f>IF((COUNTIFS(#REF!,$C608,#REF!,"*LIGAÇÃO ATIVA DEV PRIN/LOC*"))&gt;=1,"SIM","")</f>
        <v>#REF!</v>
      </c>
    </row>
    <row r="609" spans="1:20">
      <c r="A609" s="24" t="s">
        <v>2153</v>
      </c>
      <c r="B609" s="24" t="s">
        <v>674</v>
      </c>
      <c r="C609" s="24" t="s">
        <v>675</v>
      </c>
      <c r="D609" s="5" t="e">
        <f>IF((COUNTIFS(#REF!,$C609,#REF!,"*163*"))&gt;=1,"SIM","")</f>
        <v>#REF!</v>
      </c>
      <c r="E609" s="5" t="e">
        <f>IF((COUNTIFS(#REF!,$C609,#REF!,E$1))&gt;=1,"SIM","")</f>
        <v>#REF!</v>
      </c>
      <c r="F609" s="5" t="e">
        <f>IF((COUNTIFS(#REF!,$C609,#REF!,F$1))&gt;=1,"SIM","")</f>
        <v>#REF!</v>
      </c>
      <c r="G609" s="5" t="e">
        <f>IF((COUNTIFS(#REF!,$C609,#REF!,"*606*"))&gt;=1,"SIM","")</f>
        <v>#REF!</v>
      </c>
      <c r="H609" s="5" t="e">
        <f>IF((COUNTIFS(#REF!,$C609,#REF!,"*605*"))&gt;=1,"SIM","")</f>
        <v>#REF!</v>
      </c>
      <c r="I609" s="5" t="e">
        <f>IF((COUNTIFS(#REF!,$C609,#REF!,I$1))&gt;=1,"SIM","")</f>
        <v>#REF!</v>
      </c>
      <c r="J609" s="5" t="e">
        <f>IF((COUNTIFS(#REF!,$C609,#REF!,J$1))&gt;=1,"SIM","")</f>
        <v>#REF!</v>
      </c>
      <c r="K609" s="5" t="e">
        <f>IF((COUNTIFS(#REF!,$C609,#REF!,K$1))&gt;=1,"SIM","")</f>
        <v>#REF!</v>
      </c>
      <c r="L609" s="5" t="e">
        <f>IF((COUNTIFS(#REF!,$C609,#REF!,L$1))&gt;=1,"SIM","")</f>
        <v>#REF!</v>
      </c>
      <c r="M609" s="5" t="e">
        <f>IF((COUNTIFS(#REF!,$C609,#REF!,M$1))&gt;=1,"SIM","")</f>
        <v>#REF!</v>
      </c>
      <c r="N609" s="5" t="e">
        <f>IF((COUNTIFS(#REF!,$C609,#REF!,N$1))&gt;=1,"SIM","")</f>
        <v>#REF!</v>
      </c>
      <c r="O609" s="5"/>
      <c r="P609" s="5" t="e">
        <f>IF((COUNTIFS(#REF!,$C609,#REF!,P$1))&gt;=1,"SIM","")</f>
        <v>#REF!</v>
      </c>
      <c r="Q609" s="5" t="e">
        <f>IF((COUNTIFS(#REF!,$C609,#REF!,Q$1))&gt;=1,"SIM","")</f>
        <v>#REF!</v>
      </c>
      <c r="R609" s="5" t="e">
        <f>IF((COUNTIFS(#REF!,$C609,#REF!,"*CARTA*"))&gt;=1,"SIM","")</f>
        <v>#REF!</v>
      </c>
      <c r="S609" s="5" t="e">
        <f>IF((COUNTIFS(#REF!,$C609,#REF!,"*CARTA NOTIFICAÇÃO/DEVOL*"))&gt;=1,"SIM","")</f>
        <v>#REF!</v>
      </c>
      <c r="T609" s="5" t="e">
        <f>IF((COUNTIFS(#REF!,$C609,#REF!,"*LIGAÇÃO ATIVA DEV PRIN/LOC*"))&gt;=1,"SIM","")</f>
        <v>#REF!</v>
      </c>
    </row>
    <row r="610" spans="1:20">
      <c r="A610" s="24" t="s">
        <v>2153</v>
      </c>
      <c r="B610" s="24" t="s">
        <v>610</v>
      </c>
      <c r="C610" s="24" t="s">
        <v>611</v>
      </c>
      <c r="D610" s="5" t="e">
        <f>IF((COUNTIFS(#REF!,$C610,#REF!,"*163*"))&gt;=1,"SIM","")</f>
        <v>#REF!</v>
      </c>
      <c r="E610" s="5" t="e">
        <f>IF((COUNTIFS(#REF!,$C610,#REF!,E$1))&gt;=1,"SIM","")</f>
        <v>#REF!</v>
      </c>
      <c r="F610" s="5" t="e">
        <f>IF((COUNTIFS(#REF!,$C610,#REF!,F$1))&gt;=1,"SIM","")</f>
        <v>#REF!</v>
      </c>
      <c r="G610" s="5" t="e">
        <f>IF((COUNTIFS(#REF!,$C610,#REF!,"*606*"))&gt;=1,"SIM","")</f>
        <v>#REF!</v>
      </c>
      <c r="H610" s="5" t="e">
        <f>IF((COUNTIFS(#REF!,$C610,#REF!,"*605*"))&gt;=1,"SIM","")</f>
        <v>#REF!</v>
      </c>
      <c r="I610" s="5" t="e">
        <f>IF((COUNTIFS(#REF!,$C610,#REF!,I$1))&gt;=1,"SIM","")</f>
        <v>#REF!</v>
      </c>
      <c r="J610" s="5" t="e">
        <f>IF((COUNTIFS(#REF!,$C610,#REF!,J$1))&gt;=1,"SIM","")</f>
        <v>#REF!</v>
      </c>
      <c r="K610" s="5" t="e">
        <f>IF((COUNTIFS(#REF!,$C610,#REF!,K$1))&gt;=1,"SIM","")</f>
        <v>#REF!</v>
      </c>
      <c r="L610" s="5" t="e">
        <f>IF((COUNTIFS(#REF!,$C610,#REF!,L$1))&gt;=1,"SIM","")</f>
        <v>#REF!</v>
      </c>
      <c r="M610" s="5" t="e">
        <f>IF((COUNTIFS(#REF!,$C610,#REF!,M$1))&gt;=1,"SIM","")</f>
        <v>#REF!</v>
      </c>
      <c r="N610" s="5" t="e">
        <f>IF((COUNTIFS(#REF!,$C610,#REF!,N$1))&gt;=1,"SIM","")</f>
        <v>#REF!</v>
      </c>
      <c r="O610" s="5"/>
      <c r="P610" s="5" t="e">
        <f>IF((COUNTIFS(#REF!,$C610,#REF!,P$1))&gt;=1,"SIM","")</f>
        <v>#REF!</v>
      </c>
      <c r="Q610" s="5" t="e">
        <f>IF((COUNTIFS(#REF!,$C610,#REF!,Q$1))&gt;=1,"SIM","")</f>
        <v>#REF!</v>
      </c>
      <c r="R610" s="5" t="e">
        <f>IF((COUNTIFS(#REF!,$C610,#REF!,"*CARTA*"))&gt;=1,"SIM","")</f>
        <v>#REF!</v>
      </c>
      <c r="S610" s="5" t="e">
        <f>IF((COUNTIFS(#REF!,$C610,#REF!,"*CARTA NOTIFICAÇÃO/DEVOL*"))&gt;=1,"SIM","")</f>
        <v>#REF!</v>
      </c>
      <c r="T610" s="5" t="e">
        <f>IF((COUNTIFS(#REF!,$C610,#REF!,"*LIGAÇÃO ATIVA DEV PRIN/LOC*"))&gt;=1,"SIM","")</f>
        <v>#REF!</v>
      </c>
    </row>
    <row r="611" spans="1:20">
      <c r="A611" s="24" t="s">
        <v>2155</v>
      </c>
      <c r="B611" s="24" t="s">
        <v>67</v>
      </c>
      <c r="C611" s="24" t="s">
        <v>68</v>
      </c>
      <c r="D611" s="5" t="e">
        <f>IF((COUNTIFS(#REF!,$C611,#REF!,"*163*"))&gt;=1,"SIM","")</f>
        <v>#REF!</v>
      </c>
      <c r="E611" s="5" t="e">
        <f>IF((COUNTIFS(#REF!,$C611,#REF!,E$1))&gt;=1,"SIM","")</f>
        <v>#REF!</v>
      </c>
      <c r="F611" s="5" t="e">
        <f>IF((COUNTIFS(#REF!,$C611,#REF!,F$1))&gt;=1,"SIM","")</f>
        <v>#REF!</v>
      </c>
      <c r="G611" s="5" t="e">
        <f>IF((COUNTIFS(#REF!,$C611,#REF!,"*606*"))&gt;=1,"SIM","")</f>
        <v>#REF!</v>
      </c>
      <c r="H611" s="5" t="e">
        <f>IF((COUNTIFS(#REF!,$C611,#REF!,"*605*"))&gt;=1,"SIM","")</f>
        <v>#REF!</v>
      </c>
      <c r="I611" s="5" t="e">
        <f>IF((COUNTIFS(#REF!,$C611,#REF!,I$1))&gt;=1,"SIM","")</f>
        <v>#REF!</v>
      </c>
      <c r="J611" s="5" t="e">
        <f>IF((COUNTIFS(#REF!,$C611,#REF!,J$1))&gt;=1,"SIM","")</f>
        <v>#REF!</v>
      </c>
      <c r="K611" s="5" t="e">
        <f>IF((COUNTIFS(#REF!,$C611,#REF!,K$1))&gt;=1,"SIM","")</f>
        <v>#REF!</v>
      </c>
      <c r="L611" s="5" t="e">
        <f>IF((COUNTIFS(#REF!,$C611,#REF!,L$1))&gt;=1,"SIM","")</f>
        <v>#REF!</v>
      </c>
      <c r="M611" s="5" t="e">
        <f>IF((COUNTIFS(#REF!,$C611,#REF!,M$1))&gt;=1,"SIM","")</f>
        <v>#REF!</v>
      </c>
      <c r="N611" s="5" t="e">
        <f>IF((COUNTIFS(#REF!,$C611,#REF!,N$1))&gt;=1,"SIM","")</f>
        <v>#REF!</v>
      </c>
      <c r="O611" s="5"/>
      <c r="P611" s="5" t="e">
        <f>IF((COUNTIFS(#REF!,$C611,#REF!,P$1))&gt;=1,"SIM","")</f>
        <v>#REF!</v>
      </c>
      <c r="Q611" s="5" t="e">
        <f>IF((COUNTIFS(#REF!,$C611,#REF!,Q$1))&gt;=1,"SIM","")</f>
        <v>#REF!</v>
      </c>
      <c r="R611" s="5" t="e">
        <f>IF((COUNTIFS(#REF!,$C611,#REF!,"*CARTA*"))&gt;=1,"SIM","")</f>
        <v>#REF!</v>
      </c>
      <c r="S611" s="5" t="e">
        <f>IF((COUNTIFS(#REF!,$C611,#REF!,"*CARTA NOTIFICAÇÃO/DEVOL*"))&gt;=1,"SIM","")</f>
        <v>#REF!</v>
      </c>
      <c r="T611" s="5" t="e">
        <f>IF((COUNTIFS(#REF!,$C611,#REF!,"*LIGAÇÃO ATIVA DEV PRIN/LOC*"))&gt;=1,"SIM","")</f>
        <v>#REF!</v>
      </c>
    </row>
    <row r="612" spans="1:20">
      <c r="A612" s="24" t="s">
        <v>2159</v>
      </c>
      <c r="B612" s="24" t="s">
        <v>1102</v>
      </c>
      <c r="C612" s="24" t="s">
        <v>1103</v>
      </c>
      <c r="D612" s="5" t="e">
        <f>IF((COUNTIFS(#REF!,$C612,#REF!,"*163*"))&gt;=1,"SIM","")</f>
        <v>#REF!</v>
      </c>
      <c r="E612" s="5" t="e">
        <f>IF((COUNTIFS(#REF!,$C612,#REF!,E$1))&gt;=1,"SIM","")</f>
        <v>#REF!</v>
      </c>
      <c r="F612" s="5" t="e">
        <f>IF((COUNTIFS(#REF!,$C612,#REF!,F$1))&gt;=1,"SIM","")</f>
        <v>#REF!</v>
      </c>
      <c r="G612" s="5" t="e">
        <f>IF((COUNTIFS(#REF!,$C612,#REF!,"*606*"))&gt;=1,"SIM","")</f>
        <v>#REF!</v>
      </c>
      <c r="H612" s="5" t="e">
        <f>IF((COUNTIFS(#REF!,$C612,#REF!,"*605*"))&gt;=1,"SIM","")</f>
        <v>#REF!</v>
      </c>
      <c r="I612" s="5" t="e">
        <f>IF((COUNTIFS(#REF!,$C612,#REF!,I$1))&gt;=1,"SIM","")</f>
        <v>#REF!</v>
      </c>
      <c r="J612" s="5" t="e">
        <f>IF((COUNTIFS(#REF!,$C612,#REF!,J$1))&gt;=1,"SIM","")</f>
        <v>#REF!</v>
      </c>
      <c r="K612" s="5" t="e">
        <f>IF((COUNTIFS(#REF!,$C612,#REF!,K$1))&gt;=1,"SIM","")</f>
        <v>#REF!</v>
      </c>
      <c r="L612" s="5" t="e">
        <f>IF((COUNTIFS(#REF!,$C612,#REF!,L$1))&gt;=1,"SIM","")</f>
        <v>#REF!</v>
      </c>
      <c r="M612" s="5" t="e">
        <f>IF((COUNTIFS(#REF!,$C612,#REF!,M$1))&gt;=1,"SIM","")</f>
        <v>#REF!</v>
      </c>
      <c r="N612" s="5" t="e">
        <f>IF((COUNTIFS(#REF!,$C612,#REF!,N$1))&gt;=1,"SIM","")</f>
        <v>#REF!</v>
      </c>
      <c r="O612" s="5"/>
      <c r="P612" s="5" t="e">
        <f>IF((COUNTIFS(#REF!,$C612,#REF!,P$1))&gt;=1,"SIM","")</f>
        <v>#REF!</v>
      </c>
      <c r="Q612" s="5" t="e">
        <f>IF((COUNTIFS(#REF!,$C612,#REF!,Q$1))&gt;=1,"SIM","")</f>
        <v>#REF!</v>
      </c>
      <c r="R612" s="5" t="e">
        <f>IF((COUNTIFS(#REF!,$C612,#REF!,"*CARTA*"))&gt;=1,"SIM","")</f>
        <v>#REF!</v>
      </c>
      <c r="S612" s="5" t="e">
        <f>IF((COUNTIFS(#REF!,$C612,#REF!,"*CARTA NOTIFICAÇÃO/DEVOL*"))&gt;=1,"SIM","")</f>
        <v>#REF!</v>
      </c>
      <c r="T612" s="5" t="e">
        <f>IF((COUNTIFS(#REF!,$C612,#REF!,"*LIGAÇÃO ATIVA DEV PRIN/LOC*"))&gt;=1,"SIM","")</f>
        <v>#REF!</v>
      </c>
    </row>
    <row r="613" spans="1:20">
      <c r="A613" s="24" t="s">
        <v>2153</v>
      </c>
      <c r="B613" s="24" t="s">
        <v>243</v>
      </c>
      <c r="C613" s="24" t="s">
        <v>244</v>
      </c>
      <c r="D613" s="5" t="e">
        <f>IF((COUNTIFS(#REF!,$C613,#REF!,"*163*"))&gt;=1,"SIM","")</f>
        <v>#REF!</v>
      </c>
      <c r="E613" s="5" t="e">
        <f>IF((COUNTIFS(#REF!,$C613,#REF!,E$1))&gt;=1,"SIM","")</f>
        <v>#REF!</v>
      </c>
      <c r="F613" s="5" t="e">
        <f>IF((COUNTIFS(#REF!,$C613,#REF!,F$1))&gt;=1,"SIM","")</f>
        <v>#REF!</v>
      </c>
      <c r="G613" s="5" t="e">
        <f>IF((COUNTIFS(#REF!,$C613,#REF!,"*606*"))&gt;=1,"SIM","")</f>
        <v>#REF!</v>
      </c>
      <c r="H613" s="5" t="e">
        <f>IF((COUNTIFS(#REF!,$C613,#REF!,"*605*"))&gt;=1,"SIM","")</f>
        <v>#REF!</v>
      </c>
      <c r="I613" s="5" t="e">
        <f>IF((COUNTIFS(#REF!,$C613,#REF!,I$1))&gt;=1,"SIM","")</f>
        <v>#REF!</v>
      </c>
      <c r="J613" s="5" t="e">
        <f>IF((COUNTIFS(#REF!,$C613,#REF!,J$1))&gt;=1,"SIM","")</f>
        <v>#REF!</v>
      </c>
      <c r="K613" s="5" t="e">
        <f>IF((COUNTIFS(#REF!,$C613,#REF!,K$1))&gt;=1,"SIM","")</f>
        <v>#REF!</v>
      </c>
      <c r="L613" s="5" t="e">
        <f>IF((COUNTIFS(#REF!,$C613,#REF!,L$1))&gt;=1,"SIM","")</f>
        <v>#REF!</v>
      </c>
      <c r="M613" s="5" t="e">
        <f>IF((COUNTIFS(#REF!,$C613,#REF!,M$1))&gt;=1,"SIM","")</f>
        <v>#REF!</v>
      </c>
      <c r="N613" s="5" t="e">
        <f>IF((COUNTIFS(#REF!,$C613,#REF!,N$1))&gt;=1,"SIM","")</f>
        <v>#REF!</v>
      </c>
      <c r="O613" s="5"/>
      <c r="P613" s="5" t="e">
        <f>IF((COUNTIFS(#REF!,$C613,#REF!,P$1))&gt;=1,"SIM","")</f>
        <v>#REF!</v>
      </c>
      <c r="Q613" s="5" t="e">
        <f>IF((COUNTIFS(#REF!,$C613,#REF!,Q$1))&gt;=1,"SIM","")</f>
        <v>#REF!</v>
      </c>
      <c r="R613" s="5" t="e">
        <f>IF((COUNTIFS(#REF!,$C613,#REF!,"*CARTA*"))&gt;=1,"SIM","")</f>
        <v>#REF!</v>
      </c>
      <c r="S613" s="5" t="e">
        <f>IF((COUNTIFS(#REF!,$C613,#REF!,"*CARTA NOTIFICAÇÃO/DEVOL*"))&gt;=1,"SIM","")</f>
        <v>#REF!</v>
      </c>
      <c r="T613" s="5" t="e">
        <f>IF((COUNTIFS(#REF!,$C613,#REF!,"*LIGAÇÃO ATIVA DEV PRIN/LOC*"))&gt;=1,"SIM","")</f>
        <v>#REF!</v>
      </c>
    </row>
    <row r="614" spans="1:20">
      <c r="A614" s="24" t="s">
        <v>2153</v>
      </c>
      <c r="B614" s="24" t="s">
        <v>1804</v>
      </c>
      <c r="C614" s="24" t="s">
        <v>1805</v>
      </c>
      <c r="D614" s="5" t="e">
        <f>IF((COUNTIFS(#REF!,$C614,#REF!,"*163*"))&gt;=1,"SIM","")</f>
        <v>#REF!</v>
      </c>
      <c r="E614" s="5" t="e">
        <f>IF((COUNTIFS(#REF!,$C614,#REF!,E$1))&gt;=1,"SIM","")</f>
        <v>#REF!</v>
      </c>
      <c r="F614" s="5" t="e">
        <f>IF((COUNTIFS(#REF!,$C614,#REF!,F$1))&gt;=1,"SIM","")</f>
        <v>#REF!</v>
      </c>
      <c r="G614" s="5" t="e">
        <f>IF((COUNTIFS(#REF!,$C614,#REF!,"*606*"))&gt;=1,"SIM","")</f>
        <v>#REF!</v>
      </c>
      <c r="H614" s="5" t="e">
        <f>IF((COUNTIFS(#REF!,$C614,#REF!,"*605*"))&gt;=1,"SIM","")</f>
        <v>#REF!</v>
      </c>
      <c r="I614" s="5" t="e">
        <f>IF((COUNTIFS(#REF!,$C614,#REF!,I$1))&gt;=1,"SIM","")</f>
        <v>#REF!</v>
      </c>
      <c r="J614" s="5" t="e">
        <f>IF((COUNTIFS(#REF!,$C614,#REF!,J$1))&gt;=1,"SIM","")</f>
        <v>#REF!</v>
      </c>
      <c r="K614" s="5" t="e">
        <f>IF((COUNTIFS(#REF!,$C614,#REF!,K$1))&gt;=1,"SIM","")</f>
        <v>#REF!</v>
      </c>
      <c r="L614" s="5" t="e">
        <f>IF((COUNTIFS(#REF!,$C614,#REF!,L$1))&gt;=1,"SIM","")</f>
        <v>#REF!</v>
      </c>
      <c r="M614" s="5" t="e">
        <f>IF((COUNTIFS(#REF!,$C614,#REF!,M$1))&gt;=1,"SIM","")</f>
        <v>#REF!</v>
      </c>
      <c r="N614" s="5" t="e">
        <f>IF((COUNTIFS(#REF!,$C614,#REF!,N$1))&gt;=1,"SIM","")</f>
        <v>#REF!</v>
      </c>
      <c r="O614" s="5"/>
      <c r="P614" s="5" t="e">
        <f>IF((COUNTIFS(#REF!,$C614,#REF!,P$1))&gt;=1,"SIM","")</f>
        <v>#REF!</v>
      </c>
      <c r="Q614" s="5" t="e">
        <f>IF((COUNTIFS(#REF!,$C614,#REF!,Q$1))&gt;=1,"SIM","")</f>
        <v>#REF!</v>
      </c>
      <c r="R614" s="5" t="e">
        <f>IF((COUNTIFS(#REF!,$C614,#REF!,"*CARTA*"))&gt;=1,"SIM","")</f>
        <v>#REF!</v>
      </c>
      <c r="S614" s="5" t="e">
        <f>IF((COUNTIFS(#REF!,$C614,#REF!,"*CARTA NOTIFICAÇÃO/DEVOL*"))&gt;=1,"SIM","")</f>
        <v>#REF!</v>
      </c>
      <c r="T614" s="5" t="e">
        <f>IF((COUNTIFS(#REF!,$C614,#REF!,"*LIGAÇÃO ATIVA DEV PRIN/LOC*"))&gt;=1,"SIM","")</f>
        <v>#REF!</v>
      </c>
    </row>
    <row r="615" spans="1:20">
      <c r="A615" s="24" t="s">
        <v>2153</v>
      </c>
      <c r="B615" s="24" t="s">
        <v>494</v>
      </c>
      <c r="C615" s="24" t="s">
        <v>495</v>
      </c>
      <c r="D615" s="5" t="e">
        <f>IF((COUNTIFS(#REF!,$C615,#REF!,"*163*"))&gt;=1,"SIM","")</f>
        <v>#REF!</v>
      </c>
      <c r="E615" s="5" t="e">
        <f>IF((COUNTIFS(#REF!,$C615,#REF!,E$1))&gt;=1,"SIM","")</f>
        <v>#REF!</v>
      </c>
      <c r="F615" s="5" t="e">
        <f>IF((COUNTIFS(#REF!,$C615,#REF!,F$1))&gt;=1,"SIM","")</f>
        <v>#REF!</v>
      </c>
      <c r="G615" s="5" t="e">
        <f>IF((COUNTIFS(#REF!,$C615,#REF!,"*606*"))&gt;=1,"SIM","")</f>
        <v>#REF!</v>
      </c>
      <c r="H615" s="5" t="e">
        <f>IF((COUNTIFS(#REF!,$C615,#REF!,"*605*"))&gt;=1,"SIM","")</f>
        <v>#REF!</v>
      </c>
      <c r="I615" s="5" t="e">
        <f>IF((COUNTIFS(#REF!,$C615,#REF!,I$1))&gt;=1,"SIM","")</f>
        <v>#REF!</v>
      </c>
      <c r="J615" s="5" t="e">
        <f>IF((COUNTIFS(#REF!,$C615,#REF!,J$1))&gt;=1,"SIM","")</f>
        <v>#REF!</v>
      </c>
      <c r="K615" s="5" t="e">
        <f>IF((COUNTIFS(#REF!,$C615,#REF!,K$1))&gt;=1,"SIM","")</f>
        <v>#REF!</v>
      </c>
      <c r="L615" s="5" t="e">
        <f>IF((COUNTIFS(#REF!,$C615,#REF!,L$1))&gt;=1,"SIM","")</f>
        <v>#REF!</v>
      </c>
      <c r="M615" s="5" t="e">
        <f>IF((COUNTIFS(#REF!,$C615,#REF!,M$1))&gt;=1,"SIM","")</f>
        <v>#REF!</v>
      </c>
      <c r="N615" s="5" t="e">
        <f>IF((COUNTIFS(#REF!,$C615,#REF!,N$1))&gt;=1,"SIM","")</f>
        <v>#REF!</v>
      </c>
      <c r="O615" s="5"/>
      <c r="P615" s="5" t="e">
        <f>IF((COUNTIFS(#REF!,$C615,#REF!,P$1))&gt;=1,"SIM","")</f>
        <v>#REF!</v>
      </c>
      <c r="Q615" s="5" t="e">
        <f>IF((COUNTIFS(#REF!,$C615,#REF!,Q$1))&gt;=1,"SIM","")</f>
        <v>#REF!</v>
      </c>
      <c r="R615" s="5" t="e">
        <f>IF((COUNTIFS(#REF!,$C615,#REF!,"*CARTA*"))&gt;=1,"SIM","")</f>
        <v>#REF!</v>
      </c>
      <c r="S615" s="5" t="e">
        <f>IF((COUNTIFS(#REF!,$C615,#REF!,"*CARTA NOTIFICAÇÃO/DEVOL*"))&gt;=1,"SIM","")</f>
        <v>#REF!</v>
      </c>
      <c r="T615" s="5" t="e">
        <f>IF((COUNTIFS(#REF!,$C615,#REF!,"*LIGAÇÃO ATIVA DEV PRIN/LOC*"))&gt;=1,"SIM","")</f>
        <v>#REF!</v>
      </c>
    </row>
    <row r="616" spans="1:20">
      <c r="A616" s="24" t="s">
        <v>2159</v>
      </c>
      <c r="B616" s="24" t="s">
        <v>1006</v>
      </c>
      <c r="C616" s="24" t="s">
        <v>1007</v>
      </c>
      <c r="D616" s="5" t="e">
        <f>IF((COUNTIFS(#REF!,$C616,#REF!,"*163*"))&gt;=1,"SIM","")</f>
        <v>#REF!</v>
      </c>
      <c r="E616" s="5" t="e">
        <f>IF((COUNTIFS(#REF!,$C616,#REF!,E$1))&gt;=1,"SIM","")</f>
        <v>#REF!</v>
      </c>
      <c r="F616" s="5" t="e">
        <f>IF((COUNTIFS(#REF!,$C616,#REF!,F$1))&gt;=1,"SIM","")</f>
        <v>#REF!</v>
      </c>
      <c r="G616" s="5" t="e">
        <f>IF((COUNTIFS(#REF!,$C616,#REF!,"*606*"))&gt;=1,"SIM","")</f>
        <v>#REF!</v>
      </c>
      <c r="H616" s="5" t="e">
        <f>IF((COUNTIFS(#REF!,$C616,#REF!,"*605*"))&gt;=1,"SIM","")</f>
        <v>#REF!</v>
      </c>
      <c r="I616" s="5" t="e">
        <f>IF((COUNTIFS(#REF!,$C616,#REF!,I$1))&gt;=1,"SIM","")</f>
        <v>#REF!</v>
      </c>
      <c r="J616" s="5" t="e">
        <f>IF((COUNTIFS(#REF!,$C616,#REF!,J$1))&gt;=1,"SIM","")</f>
        <v>#REF!</v>
      </c>
      <c r="K616" s="5" t="e">
        <f>IF((COUNTIFS(#REF!,$C616,#REF!,K$1))&gt;=1,"SIM","")</f>
        <v>#REF!</v>
      </c>
      <c r="L616" s="5" t="e">
        <f>IF((COUNTIFS(#REF!,$C616,#REF!,L$1))&gt;=1,"SIM","")</f>
        <v>#REF!</v>
      </c>
      <c r="M616" s="5" t="e">
        <f>IF((COUNTIFS(#REF!,$C616,#REF!,M$1))&gt;=1,"SIM","")</f>
        <v>#REF!</v>
      </c>
      <c r="N616" s="5" t="e">
        <f>IF((COUNTIFS(#REF!,$C616,#REF!,N$1))&gt;=1,"SIM","")</f>
        <v>#REF!</v>
      </c>
      <c r="O616" s="5"/>
      <c r="P616" s="5" t="e">
        <f>IF((COUNTIFS(#REF!,$C616,#REF!,P$1))&gt;=1,"SIM","")</f>
        <v>#REF!</v>
      </c>
      <c r="Q616" s="5" t="e">
        <f>IF((COUNTIFS(#REF!,$C616,#REF!,Q$1))&gt;=1,"SIM","")</f>
        <v>#REF!</v>
      </c>
      <c r="R616" s="5" t="e">
        <f>IF((COUNTIFS(#REF!,$C616,#REF!,"*CARTA*"))&gt;=1,"SIM","")</f>
        <v>#REF!</v>
      </c>
      <c r="S616" s="5" t="e">
        <f>IF((COUNTIFS(#REF!,$C616,#REF!,"*CARTA NOTIFICAÇÃO/DEVOL*"))&gt;=1,"SIM","")</f>
        <v>#REF!</v>
      </c>
      <c r="T616" s="5" t="e">
        <f>IF((COUNTIFS(#REF!,$C616,#REF!,"*LIGAÇÃO ATIVA DEV PRIN/LOC*"))&gt;=1,"SIM","")</f>
        <v>#REF!</v>
      </c>
    </row>
    <row r="617" spans="1:20">
      <c r="A617" s="24" t="s">
        <v>2155</v>
      </c>
      <c r="B617" s="24" t="s">
        <v>79</v>
      </c>
      <c r="C617" s="24" t="s">
        <v>80</v>
      </c>
      <c r="D617" s="5" t="e">
        <f>IF((COUNTIFS(#REF!,$C617,#REF!,"*163*"))&gt;=1,"SIM","")</f>
        <v>#REF!</v>
      </c>
      <c r="E617" s="5" t="e">
        <f>IF((COUNTIFS(#REF!,$C617,#REF!,E$1))&gt;=1,"SIM","")</f>
        <v>#REF!</v>
      </c>
      <c r="F617" s="5" t="e">
        <f>IF((COUNTIFS(#REF!,$C617,#REF!,F$1))&gt;=1,"SIM","")</f>
        <v>#REF!</v>
      </c>
      <c r="G617" s="5" t="e">
        <f>IF((COUNTIFS(#REF!,$C617,#REF!,"*606*"))&gt;=1,"SIM","")</f>
        <v>#REF!</v>
      </c>
      <c r="H617" s="5" t="e">
        <f>IF((COUNTIFS(#REF!,$C617,#REF!,"*605*"))&gt;=1,"SIM","")</f>
        <v>#REF!</v>
      </c>
      <c r="I617" s="5" t="e">
        <f>IF((COUNTIFS(#REF!,$C617,#REF!,I$1))&gt;=1,"SIM","")</f>
        <v>#REF!</v>
      </c>
      <c r="J617" s="5" t="e">
        <f>IF((COUNTIFS(#REF!,$C617,#REF!,J$1))&gt;=1,"SIM","")</f>
        <v>#REF!</v>
      </c>
      <c r="K617" s="5" t="e">
        <f>IF((COUNTIFS(#REF!,$C617,#REF!,K$1))&gt;=1,"SIM","")</f>
        <v>#REF!</v>
      </c>
      <c r="L617" s="5" t="e">
        <f>IF((COUNTIFS(#REF!,$C617,#REF!,L$1))&gt;=1,"SIM","")</f>
        <v>#REF!</v>
      </c>
      <c r="M617" s="5" t="e">
        <f>IF((COUNTIFS(#REF!,$C617,#REF!,M$1))&gt;=1,"SIM","")</f>
        <v>#REF!</v>
      </c>
      <c r="N617" s="5" t="e">
        <f>IF((COUNTIFS(#REF!,$C617,#REF!,N$1))&gt;=1,"SIM","")</f>
        <v>#REF!</v>
      </c>
      <c r="O617" s="5"/>
      <c r="P617" s="5" t="e">
        <f>IF((COUNTIFS(#REF!,$C617,#REF!,P$1))&gt;=1,"SIM","")</f>
        <v>#REF!</v>
      </c>
      <c r="Q617" s="5" t="e">
        <f>IF((COUNTIFS(#REF!,$C617,#REF!,Q$1))&gt;=1,"SIM","")</f>
        <v>#REF!</v>
      </c>
      <c r="R617" s="5" t="e">
        <f>IF((COUNTIFS(#REF!,$C617,#REF!,"*CARTA*"))&gt;=1,"SIM","")</f>
        <v>#REF!</v>
      </c>
      <c r="S617" s="5" t="e">
        <f>IF((COUNTIFS(#REF!,$C617,#REF!,"*CARTA NOTIFICAÇÃO/DEVOL*"))&gt;=1,"SIM","")</f>
        <v>#REF!</v>
      </c>
      <c r="T617" s="5" t="e">
        <f>IF((COUNTIFS(#REF!,$C617,#REF!,"*LIGAÇÃO ATIVA DEV PRIN/LOC*"))&gt;=1,"SIM","")</f>
        <v>#REF!</v>
      </c>
    </row>
    <row r="618" spans="1:20">
      <c r="A618" s="24" t="s">
        <v>2154</v>
      </c>
      <c r="B618" s="24" t="s">
        <v>79</v>
      </c>
      <c r="C618" s="24" t="s">
        <v>80</v>
      </c>
      <c r="D618" s="5" t="e">
        <f>IF((COUNTIFS(#REF!,$C618,#REF!,"*163*"))&gt;=1,"SIM","")</f>
        <v>#REF!</v>
      </c>
      <c r="E618" s="5" t="e">
        <f>IF((COUNTIFS(#REF!,$C618,#REF!,E$1))&gt;=1,"SIM","")</f>
        <v>#REF!</v>
      </c>
      <c r="F618" s="5" t="e">
        <f>IF((COUNTIFS(#REF!,$C618,#REF!,F$1))&gt;=1,"SIM","")</f>
        <v>#REF!</v>
      </c>
      <c r="G618" s="5" t="e">
        <f>IF((COUNTIFS(#REF!,$C618,#REF!,"*606*"))&gt;=1,"SIM","")</f>
        <v>#REF!</v>
      </c>
      <c r="H618" s="5" t="e">
        <f>IF((COUNTIFS(#REF!,$C618,#REF!,"*605*"))&gt;=1,"SIM","")</f>
        <v>#REF!</v>
      </c>
      <c r="I618" s="5" t="e">
        <f>IF((COUNTIFS(#REF!,$C618,#REF!,I$1))&gt;=1,"SIM","")</f>
        <v>#REF!</v>
      </c>
      <c r="J618" s="5" t="e">
        <f>IF((COUNTIFS(#REF!,$C618,#REF!,J$1))&gt;=1,"SIM","")</f>
        <v>#REF!</v>
      </c>
      <c r="K618" s="5" t="e">
        <f>IF((COUNTIFS(#REF!,$C618,#REF!,K$1))&gt;=1,"SIM","")</f>
        <v>#REF!</v>
      </c>
      <c r="L618" s="5" t="e">
        <f>IF((COUNTIFS(#REF!,$C618,#REF!,L$1))&gt;=1,"SIM","")</f>
        <v>#REF!</v>
      </c>
      <c r="M618" s="5" t="e">
        <f>IF((COUNTIFS(#REF!,$C618,#REF!,M$1))&gt;=1,"SIM","")</f>
        <v>#REF!</v>
      </c>
      <c r="N618" s="5" t="e">
        <f>IF((COUNTIFS(#REF!,$C618,#REF!,N$1))&gt;=1,"SIM","")</f>
        <v>#REF!</v>
      </c>
      <c r="O618" s="5"/>
      <c r="P618" s="5" t="e">
        <f>IF((COUNTIFS(#REF!,$C618,#REF!,P$1))&gt;=1,"SIM","")</f>
        <v>#REF!</v>
      </c>
      <c r="Q618" s="5" t="e">
        <f>IF((COUNTIFS(#REF!,$C618,#REF!,Q$1))&gt;=1,"SIM","")</f>
        <v>#REF!</v>
      </c>
      <c r="R618" s="5" t="e">
        <f>IF((COUNTIFS(#REF!,$C618,#REF!,"*CARTA*"))&gt;=1,"SIM","")</f>
        <v>#REF!</v>
      </c>
      <c r="S618" s="5" t="e">
        <f>IF((COUNTIFS(#REF!,$C618,#REF!,"*CARTA NOTIFICAÇÃO/DEVOL*"))&gt;=1,"SIM","")</f>
        <v>#REF!</v>
      </c>
      <c r="T618" s="5" t="e">
        <f>IF((COUNTIFS(#REF!,$C618,#REF!,"*LIGAÇÃO ATIVA DEV PRIN/LOC*"))&gt;=1,"SIM","")</f>
        <v>#REF!</v>
      </c>
    </row>
    <row r="619" spans="1:20">
      <c r="A619" s="24" t="s">
        <v>2159</v>
      </c>
      <c r="B619" s="24" t="s">
        <v>2128</v>
      </c>
      <c r="C619" s="24" t="s">
        <v>2129</v>
      </c>
      <c r="D619" s="5" t="e">
        <f>IF((COUNTIFS(#REF!,$C619,#REF!,"*163*"))&gt;=1,"SIM","")</f>
        <v>#REF!</v>
      </c>
      <c r="E619" s="5" t="e">
        <f>IF((COUNTIFS(#REF!,$C619,#REF!,E$1))&gt;=1,"SIM","")</f>
        <v>#REF!</v>
      </c>
      <c r="F619" s="5" t="e">
        <f>IF((COUNTIFS(#REF!,$C619,#REF!,F$1))&gt;=1,"SIM","")</f>
        <v>#REF!</v>
      </c>
      <c r="G619" s="5" t="e">
        <f>IF((COUNTIFS(#REF!,$C619,#REF!,"*606*"))&gt;=1,"SIM","")</f>
        <v>#REF!</v>
      </c>
      <c r="H619" s="5" t="e">
        <f>IF((COUNTIFS(#REF!,$C619,#REF!,"*605*"))&gt;=1,"SIM","")</f>
        <v>#REF!</v>
      </c>
      <c r="I619" s="5" t="e">
        <f>IF((COUNTIFS(#REF!,$C619,#REF!,I$1))&gt;=1,"SIM","")</f>
        <v>#REF!</v>
      </c>
      <c r="J619" s="5" t="e">
        <f>IF((COUNTIFS(#REF!,$C619,#REF!,J$1))&gt;=1,"SIM","")</f>
        <v>#REF!</v>
      </c>
      <c r="K619" s="5" t="e">
        <f>IF((COUNTIFS(#REF!,$C619,#REF!,K$1))&gt;=1,"SIM","")</f>
        <v>#REF!</v>
      </c>
      <c r="L619" s="5" t="e">
        <f>IF((COUNTIFS(#REF!,$C619,#REF!,L$1))&gt;=1,"SIM","")</f>
        <v>#REF!</v>
      </c>
      <c r="M619" s="5" t="e">
        <f>IF((COUNTIFS(#REF!,$C619,#REF!,M$1))&gt;=1,"SIM","")</f>
        <v>#REF!</v>
      </c>
      <c r="N619" s="5" t="e">
        <f>IF((COUNTIFS(#REF!,$C619,#REF!,N$1))&gt;=1,"SIM","")</f>
        <v>#REF!</v>
      </c>
      <c r="O619" s="5"/>
      <c r="P619" s="5" t="e">
        <f>IF((COUNTIFS(#REF!,$C619,#REF!,P$1))&gt;=1,"SIM","")</f>
        <v>#REF!</v>
      </c>
      <c r="Q619" s="5" t="e">
        <f>IF((COUNTIFS(#REF!,$C619,#REF!,Q$1))&gt;=1,"SIM","")</f>
        <v>#REF!</v>
      </c>
      <c r="R619" s="5" t="e">
        <f>IF((COUNTIFS(#REF!,$C619,#REF!,"*CARTA*"))&gt;=1,"SIM","")</f>
        <v>#REF!</v>
      </c>
      <c r="S619" s="5" t="e">
        <f>IF((COUNTIFS(#REF!,$C619,#REF!,"*CARTA NOTIFICAÇÃO/DEVOL*"))&gt;=1,"SIM","")</f>
        <v>#REF!</v>
      </c>
      <c r="T619" s="5" t="e">
        <f>IF((COUNTIFS(#REF!,$C619,#REF!,"*LIGAÇÃO ATIVA DEV PRIN/LOC*"))&gt;=1,"SIM","")</f>
        <v>#REF!</v>
      </c>
    </row>
    <row r="620" spans="1:20">
      <c r="A620" s="24" t="s">
        <v>2159</v>
      </c>
      <c r="B620" s="24" t="s">
        <v>1521</v>
      </c>
      <c r="C620" s="24" t="s">
        <v>1522</v>
      </c>
      <c r="D620" s="5" t="e">
        <f>IF((COUNTIFS(#REF!,$C620,#REF!,"*163*"))&gt;=1,"SIM","")</f>
        <v>#REF!</v>
      </c>
      <c r="E620" s="5" t="e">
        <f>IF((COUNTIFS(#REF!,$C620,#REF!,E$1))&gt;=1,"SIM","")</f>
        <v>#REF!</v>
      </c>
      <c r="F620" s="5" t="e">
        <f>IF((COUNTIFS(#REF!,$C620,#REF!,F$1))&gt;=1,"SIM","")</f>
        <v>#REF!</v>
      </c>
      <c r="G620" s="5" t="e">
        <f>IF((COUNTIFS(#REF!,$C620,#REF!,"*606*"))&gt;=1,"SIM","")</f>
        <v>#REF!</v>
      </c>
      <c r="H620" s="5" t="e">
        <f>IF((COUNTIFS(#REF!,$C620,#REF!,"*605*"))&gt;=1,"SIM","")</f>
        <v>#REF!</v>
      </c>
      <c r="I620" s="5" t="e">
        <f>IF((COUNTIFS(#REF!,$C620,#REF!,I$1))&gt;=1,"SIM","")</f>
        <v>#REF!</v>
      </c>
      <c r="J620" s="5" t="e">
        <f>IF((COUNTIFS(#REF!,$C620,#REF!,J$1))&gt;=1,"SIM","")</f>
        <v>#REF!</v>
      </c>
      <c r="K620" s="5" t="e">
        <f>IF((COUNTIFS(#REF!,$C620,#REF!,K$1))&gt;=1,"SIM","")</f>
        <v>#REF!</v>
      </c>
      <c r="L620" s="5" t="e">
        <f>IF((COUNTIFS(#REF!,$C620,#REF!,L$1))&gt;=1,"SIM","")</f>
        <v>#REF!</v>
      </c>
      <c r="M620" s="5" t="e">
        <f>IF((COUNTIFS(#REF!,$C620,#REF!,M$1))&gt;=1,"SIM","")</f>
        <v>#REF!</v>
      </c>
      <c r="N620" s="5" t="e">
        <f>IF((COUNTIFS(#REF!,$C620,#REF!,N$1))&gt;=1,"SIM","")</f>
        <v>#REF!</v>
      </c>
      <c r="O620" s="5"/>
      <c r="P620" s="5" t="e">
        <f>IF((COUNTIFS(#REF!,$C620,#REF!,P$1))&gt;=1,"SIM","")</f>
        <v>#REF!</v>
      </c>
      <c r="Q620" s="5" t="e">
        <f>IF((COUNTIFS(#REF!,$C620,#REF!,Q$1))&gt;=1,"SIM","")</f>
        <v>#REF!</v>
      </c>
      <c r="R620" s="5" t="e">
        <f>IF((COUNTIFS(#REF!,$C620,#REF!,"*CARTA*"))&gt;=1,"SIM","")</f>
        <v>#REF!</v>
      </c>
      <c r="S620" s="5" t="e">
        <f>IF((COUNTIFS(#REF!,$C620,#REF!,"*CARTA NOTIFICAÇÃO/DEVOL*"))&gt;=1,"SIM","")</f>
        <v>#REF!</v>
      </c>
      <c r="T620" s="5" t="e">
        <f>IF((COUNTIFS(#REF!,$C620,#REF!,"*LIGAÇÃO ATIVA DEV PRIN/LOC*"))&gt;=1,"SIM","")</f>
        <v>#REF!</v>
      </c>
    </row>
    <row r="621" spans="1:20">
      <c r="A621" s="24" t="s">
        <v>2159</v>
      </c>
      <c r="B621" s="24" t="s">
        <v>1752</v>
      </c>
      <c r="C621" s="24" t="s">
        <v>1753</v>
      </c>
      <c r="D621" s="5" t="e">
        <f>IF((COUNTIFS(#REF!,$C621,#REF!,"*163*"))&gt;=1,"SIM","")</f>
        <v>#REF!</v>
      </c>
      <c r="E621" s="5" t="e">
        <f>IF((COUNTIFS(#REF!,$C621,#REF!,E$1))&gt;=1,"SIM","")</f>
        <v>#REF!</v>
      </c>
      <c r="F621" s="5" t="e">
        <f>IF((COUNTIFS(#REF!,$C621,#REF!,F$1))&gt;=1,"SIM","")</f>
        <v>#REF!</v>
      </c>
      <c r="G621" s="5" t="e">
        <f>IF((COUNTIFS(#REF!,$C621,#REF!,"*606*"))&gt;=1,"SIM","")</f>
        <v>#REF!</v>
      </c>
      <c r="H621" s="5" t="e">
        <f>IF((COUNTIFS(#REF!,$C621,#REF!,"*605*"))&gt;=1,"SIM","")</f>
        <v>#REF!</v>
      </c>
      <c r="I621" s="5" t="e">
        <f>IF((COUNTIFS(#REF!,$C621,#REF!,I$1))&gt;=1,"SIM","")</f>
        <v>#REF!</v>
      </c>
      <c r="J621" s="5" t="e">
        <f>IF((COUNTIFS(#REF!,$C621,#REF!,J$1))&gt;=1,"SIM","")</f>
        <v>#REF!</v>
      </c>
      <c r="K621" s="5" t="e">
        <f>IF((COUNTIFS(#REF!,$C621,#REF!,K$1))&gt;=1,"SIM","")</f>
        <v>#REF!</v>
      </c>
      <c r="L621" s="5" t="e">
        <f>IF((COUNTIFS(#REF!,$C621,#REF!,L$1))&gt;=1,"SIM","")</f>
        <v>#REF!</v>
      </c>
      <c r="M621" s="5" t="e">
        <f>IF((COUNTIFS(#REF!,$C621,#REF!,M$1))&gt;=1,"SIM","")</f>
        <v>#REF!</v>
      </c>
      <c r="N621" s="5" t="e">
        <f>IF((COUNTIFS(#REF!,$C621,#REF!,N$1))&gt;=1,"SIM","")</f>
        <v>#REF!</v>
      </c>
      <c r="O621" s="5"/>
      <c r="P621" s="5" t="e">
        <f>IF((COUNTIFS(#REF!,$C621,#REF!,P$1))&gt;=1,"SIM","")</f>
        <v>#REF!</v>
      </c>
      <c r="Q621" s="5" t="e">
        <f>IF((COUNTIFS(#REF!,$C621,#REF!,Q$1))&gt;=1,"SIM","")</f>
        <v>#REF!</v>
      </c>
      <c r="R621" s="5" t="e">
        <f>IF((COUNTIFS(#REF!,$C621,#REF!,"*CARTA*"))&gt;=1,"SIM","")</f>
        <v>#REF!</v>
      </c>
      <c r="S621" s="5" t="e">
        <f>IF((COUNTIFS(#REF!,$C621,#REF!,"*CARTA NOTIFICAÇÃO/DEVOL*"))&gt;=1,"SIM","")</f>
        <v>#REF!</v>
      </c>
      <c r="T621" s="5" t="e">
        <f>IF((COUNTIFS(#REF!,$C621,#REF!,"*LIGAÇÃO ATIVA DEV PRIN/LOC*"))&gt;=1,"SIM","")</f>
        <v>#REF!</v>
      </c>
    </row>
    <row r="622" spans="1:20">
      <c r="A622" s="24" t="s">
        <v>2159</v>
      </c>
      <c r="B622" s="24" t="s">
        <v>1415</v>
      </c>
      <c r="C622" s="24" t="s">
        <v>1416</v>
      </c>
      <c r="D622" s="5" t="e">
        <f>IF((COUNTIFS(#REF!,$C622,#REF!,"*163*"))&gt;=1,"SIM","")</f>
        <v>#REF!</v>
      </c>
      <c r="E622" s="5" t="e">
        <f>IF((COUNTIFS(#REF!,$C622,#REF!,E$1))&gt;=1,"SIM","")</f>
        <v>#REF!</v>
      </c>
      <c r="F622" s="5" t="e">
        <f>IF((COUNTIFS(#REF!,$C622,#REF!,F$1))&gt;=1,"SIM","")</f>
        <v>#REF!</v>
      </c>
      <c r="G622" s="5" t="e">
        <f>IF((COUNTIFS(#REF!,$C622,#REF!,"*606*"))&gt;=1,"SIM","")</f>
        <v>#REF!</v>
      </c>
      <c r="H622" s="5" t="e">
        <f>IF((COUNTIFS(#REF!,$C622,#REF!,"*605*"))&gt;=1,"SIM","")</f>
        <v>#REF!</v>
      </c>
      <c r="I622" s="5" t="e">
        <f>IF((COUNTIFS(#REF!,$C622,#REF!,I$1))&gt;=1,"SIM","")</f>
        <v>#REF!</v>
      </c>
      <c r="J622" s="5" t="e">
        <f>IF((COUNTIFS(#REF!,$C622,#REF!,J$1))&gt;=1,"SIM","")</f>
        <v>#REF!</v>
      </c>
      <c r="K622" s="5" t="e">
        <f>IF((COUNTIFS(#REF!,$C622,#REF!,K$1))&gt;=1,"SIM","")</f>
        <v>#REF!</v>
      </c>
      <c r="L622" s="5" t="e">
        <f>IF((COUNTIFS(#REF!,$C622,#REF!,L$1))&gt;=1,"SIM","")</f>
        <v>#REF!</v>
      </c>
      <c r="M622" s="5" t="e">
        <f>IF((COUNTIFS(#REF!,$C622,#REF!,M$1))&gt;=1,"SIM","")</f>
        <v>#REF!</v>
      </c>
      <c r="N622" s="5" t="e">
        <f>IF((COUNTIFS(#REF!,$C622,#REF!,N$1))&gt;=1,"SIM","")</f>
        <v>#REF!</v>
      </c>
      <c r="O622" s="5"/>
      <c r="P622" s="5" t="e">
        <f>IF((COUNTIFS(#REF!,$C622,#REF!,P$1))&gt;=1,"SIM","")</f>
        <v>#REF!</v>
      </c>
      <c r="Q622" s="5" t="e">
        <f>IF((COUNTIFS(#REF!,$C622,#REF!,Q$1))&gt;=1,"SIM","")</f>
        <v>#REF!</v>
      </c>
      <c r="R622" s="5" t="e">
        <f>IF((COUNTIFS(#REF!,$C622,#REF!,"*CARTA*"))&gt;=1,"SIM","")</f>
        <v>#REF!</v>
      </c>
      <c r="S622" s="5" t="e">
        <f>IF((COUNTIFS(#REF!,$C622,#REF!,"*CARTA NOTIFICAÇÃO/DEVOL*"))&gt;=1,"SIM","")</f>
        <v>#REF!</v>
      </c>
      <c r="T622" s="5" t="e">
        <f>IF((COUNTIFS(#REF!,$C622,#REF!,"*LIGAÇÃO ATIVA DEV PRIN/LOC*"))&gt;=1,"SIM","")</f>
        <v>#REF!</v>
      </c>
    </row>
    <row r="623" spans="1:20">
      <c r="A623" s="24" t="s">
        <v>2159</v>
      </c>
      <c r="B623" s="24" t="s">
        <v>799</v>
      </c>
      <c r="C623" s="24" t="s">
        <v>800</v>
      </c>
      <c r="D623" s="5" t="e">
        <f>IF((COUNTIFS(#REF!,$C623,#REF!,"*163*"))&gt;=1,"SIM","")</f>
        <v>#REF!</v>
      </c>
      <c r="E623" s="5" t="e">
        <f>IF((COUNTIFS(#REF!,$C623,#REF!,E$1))&gt;=1,"SIM","")</f>
        <v>#REF!</v>
      </c>
      <c r="F623" s="5" t="e">
        <f>IF((COUNTIFS(#REF!,$C623,#REF!,F$1))&gt;=1,"SIM","")</f>
        <v>#REF!</v>
      </c>
      <c r="G623" s="5" t="e">
        <f>IF((COUNTIFS(#REF!,$C623,#REF!,"*606*"))&gt;=1,"SIM","")</f>
        <v>#REF!</v>
      </c>
      <c r="H623" s="5" t="e">
        <f>IF((COUNTIFS(#REF!,$C623,#REF!,"*605*"))&gt;=1,"SIM","")</f>
        <v>#REF!</v>
      </c>
      <c r="I623" s="5" t="e">
        <f>IF((COUNTIFS(#REF!,$C623,#REF!,I$1))&gt;=1,"SIM","")</f>
        <v>#REF!</v>
      </c>
      <c r="J623" s="5" t="e">
        <f>IF((COUNTIFS(#REF!,$C623,#REF!,J$1))&gt;=1,"SIM","")</f>
        <v>#REF!</v>
      </c>
      <c r="K623" s="5" t="e">
        <f>IF((COUNTIFS(#REF!,$C623,#REF!,K$1))&gt;=1,"SIM","")</f>
        <v>#REF!</v>
      </c>
      <c r="L623" s="5" t="e">
        <f>IF((COUNTIFS(#REF!,$C623,#REF!,L$1))&gt;=1,"SIM","")</f>
        <v>#REF!</v>
      </c>
      <c r="M623" s="5" t="e">
        <f>IF((COUNTIFS(#REF!,$C623,#REF!,M$1))&gt;=1,"SIM","")</f>
        <v>#REF!</v>
      </c>
      <c r="N623" s="5" t="e">
        <f>IF((COUNTIFS(#REF!,$C623,#REF!,N$1))&gt;=1,"SIM","")</f>
        <v>#REF!</v>
      </c>
      <c r="O623" s="5"/>
      <c r="P623" s="5" t="e">
        <f>IF((COUNTIFS(#REF!,$C623,#REF!,P$1))&gt;=1,"SIM","")</f>
        <v>#REF!</v>
      </c>
      <c r="Q623" s="5" t="e">
        <f>IF((COUNTIFS(#REF!,$C623,#REF!,Q$1))&gt;=1,"SIM","")</f>
        <v>#REF!</v>
      </c>
      <c r="R623" s="5" t="e">
        <f>IF((COUNTIFS(#REF!,$C623,#REF!,"*CARTA*"))&gt;=1,"SIM","")</f>
        <v>#REF!</v>
      </c>
      <c r="S623" s="5" t="e">
        <f>IF((COUNTIFS(#REF!,$C623,#REF!,"*CARTA NOTIFICAÇÃO/DEVOL*"))&gt;=1,"SIM","")</f>
        <v>#REF!</v>
      </c>
      <c r="T623" s="5" t="e">
        <f>IF((COUNTIFS(#REF!,$C623,#REF!,"*LIGAÇÃO ATIVA DEV PRIN/LOC*"))&gt;=1,"SIM","")</f>
        <v>#REF!</v>
      </c>
    </row>
    <row r="624" spans="1:20">
      <c r="A624" s="24" t="s">
        <v>2157</v>
      </c>
      <c r="B624" s="24" t="s">
        <v>1545</v>
      </c>
      <c r="C624" s="24" t="s">
        <v>1546</v>
      </c>
      <c r="D624" s="5" t="e">
        <f>IF((COUNTIFS(#REF!,$C624,#REF!,"*163*"))&gt;=1,"SIM","")</f>
        <v>#REF!</v>
      </c>
      <c r="E624" s="5" t="e">
        <f>IF((COUNTIFS(#REF!,$C624,#REF!,E$1))&gt;=1,"SIM","")</f>
        <v>#REF!</v>
      </c>
      <c r="F624" s="5" t="e">
        <f>IF((COUNTIFS(#REF!,$C624,#REF!,F$1))&gt;=1,"SIM","")</f>
        <v>#REF!</v>
      </c>
      <c r="G624" s="5" t="e">
        <f>IF((COUNTIFS(#REF!,$C624,#REF!,"*606*"))&gt;=1,"SIM","")</f>
        <v>#REF!</v>
      </c>
      <c r="H624" s="5" t="e">
        <f>IF((COUNTIFS(#REF!,$C624,#REF!,"*605*"))&gt;=1,"SIM","")</f>
        <v>#REF!</v>
      </c>
      <c r="I624" s="5" t="e">
        <f>IF((COUNTIFS(#REF!,$C624,#REF!,I$1))&gt;=1,"SIM","")</f>
        <v>#REF!</v>
      </c>
      <c r="J624" s="5" t="e">
        <f>IF((COUNTIFS(#REF!,$C624,#REF!,J$1))&gt;=1,"SIM","")</f>
        <v>#REF!</v>
      </c>
      <c r="K624" s="5" t="e">
        <f>IF((COUNTIFS(#REF!,$C624,#REF!,K$1))&gt;=1,"SIM","")</f>
        <v>#REF!</v>
      </c>
      <c r="L624" s="5" t="e">
        <f>IF((COUNTIFS(#REF!,$C624,#REF!,L$1))&gt;=1,"SIM","")</f>
        <v>#REF!</v>
      </c>
      <c r="M624" s="5" t="e">
        <f>IF((COUNTIFS(#REF!,$C624,#REF!,M$1))&gt;=1,"SIM","")</f>
        <v>#REF!</v>
      </c>
      <c r="N624" s="5" t="e">
        <f>IF((COUNTIFS(#REF!,$C624,#REF!,N$1))&gt;=1,"SIM","")</f>
        <v>#REF!</v>
      </c>
      <c r="O624" s="5"/>
      <c r="P624" s="5" t="e">
        <f>IF((COUNTIFS(#REF!,$C624,#REF!,P$1))&gt;=1,"SIM","")</f>
        <v>#REF!</v>
      </c>
      <c r="Q624" s="5" t="e">
        <f>IF((COUNTIFS(#REF!,$C624,#REF!,Q$1))&gt;=1,"SIM","")</f>
        <v>#REF!</v>
      </c>
      <c r="R624" s="5" t="e">
        <f>IF((COUNTIFS(#REF!,$C624,#REF!,"*CARTA*"))&gt;=1,"SIM","")</f>
        <v>#REF!</v>
      </c>
      <c r="S624" s="5" t="e">
        <f>IF((COUNTIFS(#REF!,$C624,#REF!,"*CARTA NOTIFICAÇÃO/DEVOL*"))&gt;=1,"SIM","")</f>
        <v>#REF!</v>
      </c>
      <c r="T624" s="5" t="e">
        <f>IF((COUNTIFS(#REF!,$C624,#REF!,"*LIGAÇÃO ATIVA DEV PRIN/LOC*"))&gt;=1,"SIM","")</f>
        <v>#REF!</v>
      </c>
    </row>
    <row r="625" spans="1:20">
      <c r="A625" s="24" t="s">
        <v>2159</v>
      </c>
      <c r="B625" s="24" t="s">
        <v>1583</v>
      </c>
      <c r="C625" s="24" t="s">
        <v>1584</v>
      </c>
      <c r="D625" s="5" t="e">
        <f>IF((COUNTIFS(#REF!,$C625,#REF!,"*163*"))&gt;=1,"SIM","")</f>
        <v>#REF!</v>
      </c>
      <c r="E625" s="5" t="e">
        <f>IF((COUNTIFS(#REF!,$C625,#REF!,E$1))&gt;=1,"SIM","")</f>
        <v>#REF!</v>
      </c>
      <c r="F625" s="5" t="e">
        <f>IF((COUNTIFS(#REF!,$C625,#REF!,F$1))&gt;=1,"SIM","")</f>
        <v>#REF!</v>
      </c>
      <c r="G625" s="5" t="e">
        <f>IF((COUNTIFS(#REF!,$C625,#REF!,"*606*"))&gt;=1,"SIM","")</f>
        <v>#REF!</v>
      </c>
      <c r="H625" s="5" t="e">
        <f>IF((COUNTIFS(#REF!,$C625,#REF!,"*605*"))&gt;=1,"SIM","")</f>
        <v>#REF!</v>
      </c>
      <c r="I625" s="5" t="e">
        <f>IF((COUNTIFS(#REF!,$C625,#REF!,I$1))&gt;=1,"SIM","")</f>
        <v>#REF!</v>
      </c>
      <c r="J625" s="5" t="e">
        <f>IF((COUNTIFS(#REF!,$C625,#REF!,J$1))&gt;=1,"SIM","")</f>
        <v>#REF!</v>
      </c>
      <c r="K625" s="5" t="e">
        <f>IF((COUNTIFS(#REF!,$C625,#REF!,K$1))&gt;=1,"SIM","")</f>
        <v>#REF!</v>
      </c>
      <c r="L625" s="5" t="e">
        <f>IF((COUNTIFS(#REF!,$C625,#REF!,L$1))&gt;=1,"SIM","")</f>
        <v>#REF!</v>
      </c>
      <c r="M625" s="5" t="e">
        <f>IF((COUNTIFS(#REF!,$C625,#REF!,M$1))&gt;=1,"SIM","")</f>
        <v>#REF!</v>
      </c>
      <c r="N625" s="5" t="e">
        <f>IF((COUNTIFS(#REF!,$C625,#REF!,N$1))&gt;=1,"SIM","")</f>
        <v>#REF!</v>
      </c>
      <c r="O625" s="5"/>
      <c r="P625" s="5" t="e">
        <f>IF((COUNTIFS(#REF!,$C625,#REF!,P$1))&gt;=1,"SIM","")</f>
        <v>#REF!</v>
      </c>
      <c r="Q625" s="5" t="e">
        <f>IF((COUNTIFS(#REF!,$C625,#REF!,Q$1))&gt;=1,"SIM","")</f>
        <v>#REF!</v>
      </c>
      <c r="R625" s="5" t="e">
        <f>IF((COUNTIFS(#REF!,$C625,#REF!,"*CARTA*"))&gt;=1,"SIM","")</f>
        <v>#REF!</v>
      </c>
      <c r="S625" s="5" t="e">
        <f>IF((COUNTIFS(#REF!,$C625,#REF!,"*CARTA NOTIFICAÇÃO/DEVOL*"))&gt;=1,"SIM","")</f>
        <v>#REF!</v>
      </c>
      <c r="T625" s="5" t="e">
        <f>IF((COUNTIFS(#REF!,$C625,#REF!,"*LIGAÇÃO ATIVA DEV PRIN/LOC*"))&gt;=1,"SIM","")</f>
        <v>#REF!</v>
      </c>
    </row>
    <row r="626" spans="1:20">
      <c r="A626" s="24" t="s">
        <v>2159</v>
      </c>
      <c r="B626" s="24" t="s">
        <v>1881</v>
      </c>
      <c r="C626" s="24" t="s">
        <v>1882</v>
      </c>
      <c r="D626" s="5" t="e">
        <f>IF((COUNTIFS(#REF!,$C626,#REF!,"*163*"))&gt;=1,"SIM","")</f>
        <v>#REF!</v>
      </c>
      <c r="E626" s="5" t="e">
        <f>IF((COUNTIFS(#REF!,$C626,#REF!,E$1))&gt;=1,"SIM","")</f>
        <v>#REF!</v>
      </c>
      <c r="F626" s="5" t="e">
        <f>IF((COUNTIFS(#REF!,$C626,#REF!,F$1))&gt;=1,"SIM","")</f>
        <v>#REF!</v>
      </c>
      <c r="G626" s="5" t="e">
        <f>IF((COUNTIFS(#REF!,$C626,#REF!,"*606*"))&gt;=1,"SIM","")</f>
        <v>#REF!</v>
      </c>
      <c r="H626" s="5" t="e">
        <f>IF((COUNTIFS(#REF!,$C626,#REF!,"*605*"))&gt;=1,"SIM","")</f>
        <v>#REF!</v>
      </c>
      <c r="I626" s="5" t="e">
        <f>IF((COUNTIFS(#REF!,$C626,#REF!,I$1))&gt;=1,"SIM","")</f>
        <v>#REF!</v>
      </c>
      <c r="J626" s="5" t="e">
        <f>IF((COUNTIFS(#REF!,$C626,#REF!,J$1))&gt;=1,"SIM","")</f>
        <v>#REF!</v>
      </c>
      <c r="K626" s="5" t="e">
        <f>IF((COUNTIFS(#REF!,$C626,#REF!,K$1))&gt;=1,"SIM","")</f>
        <v>#REF!</v>
      </c>
      <c r="L626" s="5" t="e">
        <f>IF((COUNTIFS(#REF!,$C626,#REF!,L$1))&gt;=1,"SIM","")</f>
        <v>#REF!</v>
      </c>
      <c r="M626" s="5" t="e">
        <f>IF((COUNTIFS(#REF!,$C626,#REF!,M$1))&gt;=1,"SIM","")</f>
        <v>#REF!</v>
      </c>
      <c r="N626" s="5" t="e">
        <f>IF((COUNTIFS(#REF!,$C626,#REF!,N$1))&gt;=1,"SIM","")</f>
        <v>#REF!</v>
      </c>
      <c r="O626" s="5"/>
      <c r="P626" s="5" t="e">
        <f>IF((COUNTIFS(#REF!,$C626,#REF!,P$1))&gt;=1,"SIM","")</f>
        <v>#REF!</v>
      </c>
      <c r="Q626" s="5" t="e">
        <f>IF((COUNTIFS(#REF!,$C626,#REF!,Q$1))&gt;=1,"SIM","")</f>
        <v>#REF!</v>
      </c>
      <c r="R626" s="5" t="e">
        <f>IF((COUNTIFS(#REF!,$C626,#REF!,"*CARTA*"))&gt;=1,"SIM","")</f>
        <v>#REF!</v>
      </c>
      <c r="S626" s="5" t="e">
        <f>IF((COUNTIFS(#REF!,$C626,#REF!,"*CARTA NOTIFICAÇÃO/DEVOL*"))&gt;=1,"SIM","")</f>
        <v>#REF!</v>
      </c>
      <c r="T626" s="5" t="e">
        <f>IF((COUNTIFS(#REF!,$C626,#REF!,"*LIGAÇÃO ATIVA DEV PRIN/LOC*"))&gt;=1,"SIM","")</f>
        <v>#REF!</v>
      </c>
    </row>
    <row r="627" spans="1:20">
      <c r="A627" s="24" t="s">
        <v>2153</v>
      </c>
      <c r="B627" s="24" t="s">
        <v>390</v>
      </c>
      <c r="C627" s="24" t="s">
        <v>391</v>
      </c>
      <c r="D627" s="5" t="e">
        <f>IF((COUNTIFS(#REF!,$C627,#REF!,"*163*"))&gt;=1,"SIM","")</f>
        <v>#REF!</v>
      </c>
      <c r="E627" s="5" t="e">
        <f>IF((COUNTIFS(#REF!,$C627,#REF!,E$1))&gt;=1,"SIM","")</f>
        <v>#REF!</v>
      </c>
      <c r="F627" s="5" t="e">
        <f>IF((COUNTIFS(#REF!,$C627,#REF!,F$1))&gt;=1,"SIM","")</f>
        <v>#REF!</v>
      </c>
      <c r="G627" s="5" t="e">
        <f>IF((COUNTIFS(#REF!,$C627,#REF!,"*606*"))&gt;=1,"SIM","")</f>
        <v>#REF!</v>
      </c>
      <c r="H627" s="5" t="e">
        <f>IF((COUNTIFS(#REF!,$C627,#REF!,"*605*"))&gt;=1,"SIM","")</f>
        <v>#REF!</v>
      </c>
      <c r="I627" s="5" t="e">
        <f>IF((COUNTIFS(#REF!,$C627,#REF!,I$1))&gt;=1,"SIM","")</f>
        <v>#REF!</v>
      </c>
      <c r="J627" s="5" t="e">
        <f>IF((COUNTIFS(#REF!,$C627,#REF!,J$1))&gt;=1,"SIM","")</f>
        <v>#REF!</v>
      </c>
      <c r="K627" s="5" t="e">
        <f>IF((COUNTIFS(#REF!,$C627,#REF!,K$1))&gt;=1,"SIM","")</f>
        <v>#REF!</v>
      </c>
      <c r="L627" s="5" t="e">
        <f>IF((COUNTIFS(#REF!,$C627,#REF!,L$1))&gt;=1,"SIM","")</f>
        <v>#REF!</v>
      </c>
      <c r="M627" s="5" t="e">
        <f>IF((COUNTIFS(#REF!,$C627,#REF!,M$1))&gt;=1,"SIM","")</f>
        <v>#REF!</v>
      </c>
      <c r="N627" s="5" t="e">
        <f>IF((COUNTIFS(#REF!,$C627,#REF!,N$1))&gt;=1,"SIM","")</f>
        <v>#REF!</v>
      </c>
      <c r="O627" s="5"/>
      <c r="P627" s="5" t="e">
        <f>IF((COUNTIFS(#REF!,$C627,#REF!,P$1))&gt;=1,"SIM","")</f>
        <v>#REF!</v>
      </c>
      <c r="Q627" s="5" t="e">
        <f>IF((COUNTIFS(#REF!,$C627,#REF!,Q$1))&gt;=1,"SIM","")</f>
        <v>#REF!</v>
      </c>
      <c r="R627" s="5" t="e">
        <f>IF((COUNTIFS(#REF!,$C627,#REF!,"*CARTA*"))&gt;=1,"SIM","")</f>
        <v>#REF!</v>
      </c>
      <c r="S627" s="5" t="e">
        <f>IF((COUNTIFS(#REF!,$C627,#REF!,"*CARTA NOTIFICAÇÃO/DEVOL*"))&gt;=1,"SIM","")</f>
        <v>#REF!</v>
      </c>
      <c r="T627" s="5" t="e">
        <f>IF((COUNTIFS(#REF!,$C627,#REF!,"*LIGAÇÃO ATIVA DEV PRIN/LOC*"))&gt;=1,"SIM","")</f>
        <v>#REF!</v>
      </c>
    </row>
    <row r="628" spans="1:20">
      <c r="A628" s="24" t="s">
        <v>2158</v>
      </c>
      <c r="B628" s="24" t="s">
        <v>2067</v>
      </c>
      <c r="C628" s="24" t="s">
        <v>2068</v>
      </c>
      <c r="D628" s="5" t="e">
        <f>IF((COUNTIFS(#REF!,$C628,#REF!,"*163*"))&gt;=1,"SIM","")</f>
        <v>#REF!</v>
      </c>
      <c r="E628" s="5" t="e">
        <f>IF((COUNTIFS(#REF!,$C628,#REF!,E$1))&gt;=1,"SIM","")</f>
        <v>#REF!</v>
      </c>
      <c r="F628" s="5" t="e">
        <f>IF((COUNTIFS(#REF!,$C628,#REF!,F$1))&gt;=1,"SIM","")</f>
        <v>#REF!</v>
      </c>
      <c r="G628" s="5" t="e">
        <f>IF((COUNTIFS(#REF!,$C628,#REF!,"*606*"))&gt;=1,"SIM","")</f>
        <v>#REF!</v>
      </c>
      <c r="H628" s="5" t="e">
        <f>IF((COUNTIFS(#REF!,$C628,#REF!,"*605*"))&gt;=1,"SIM","")</f>
        <v>#REF!</v>
      </c>
      <c r="I628" s="5" t="e">
        <f>IF((COUNTIFS(#REF!,$C628,#REF!,I$1))&gt;=1,"SIM","")</f>
        <v>#REF!</v>
      </c>
      <c r="J628" s="5" t="e">
        <f>IF((COUNTIFS(#REF!,$C628,#REF!,J$1))&gt;=1,"SIM","")</f>
        <v>#REF!</v>
      </c>
      <c r="K628" s="5" t="e">
        <f>IF((COUNTIFS(#REF!,$C628,#REF!,K$1))&gt;=1,"SIM","")</f>
        <v>#REF!</v>
      </c>
      <c r="L628" s="5" t="e">
        <f>IF((COUNTIFS(#REF!,$C628,#REF!,L$1))&gt;=1,"SIM","")</f>
        <v>#REF!</v>
      </c>
      <c r="M628" s="5" t="e">
        <f>IF((COUNTIFS(#REF!,$C628,#REF!,M$1))&gt;=1,"SIM","")</f>
        <v>#REF!</v>
      </c>
      <c r="N628" s="5" t="e">
        <f>IF((COUNTIFS(#REF!,$C628,#REF!,N$1))&gt;=1,"SIM","")</f>
        <v>#REF!</v>
      </c>
      <c r="O628" s="5"/>
      <c r="P628" s="5" t="e">
        <f>IF((COUNTIFS(#REF!,$C628,#REF!,P$1))&gt;=1,"SIM","")</f>
        <v>#REF!</v>
      </c>
      <c r="Q628" s="5" t="e">
        <f>IF((COUNTIFS(#REF!,$C628,#REF!,Q$1))&gt;=1,"SIM","")</f>
        <v>#REF!</v>
      </c>
      <c r="R628" s="5" t="e">
        <f>IF((COUNTIFS(#REF!,$C628,#REF!,"*CARTA*"))&gt;=1,"SIM","")</f>
        <v>#REF!</v>
      </c>
      <c r="S628" s="5" t="e">
        <f>IF((COUNTIFS(#REF!,$C628,#REF!,"*CARTA NOTIFICAÇÃO/DEVOL*"))&gt;=1,"SIM","")</f>
        <v>#REF!</v>
      </c>
      <c r="T628" s="5" t="e">
        <f>IF((COUNTIFS(#REF!,$C628,#REF!,"*LIGAÇÃO ATIVA DEV PRIN/LOC*"))&gt;=1,"SIM","")</f>
        <v>#REF!</v>
      </c>
    </row>
    <row r="629" spans="1:20">
      <c r="A629" s="24" t="s">
        <v>2153</v>
      </c>
      <c r="B629" s="24" t="s">
        <v>380</v>
      </c>
      <c r="C629" s="24" t="s">
        <v>381</v>
      </c>
      <c r="D629" s="5" t="e">
        <f>IF((COUNTIFS(#REF!,$C629,#REF!,"*163*"))&gt;=1,"SIM","")</f>
        <v>#REF!</v>
      </c>
      <c r="E629" s="5" t="e">
        <f>IF((COUNTIFS(#REF!,$C629,#REF!,E$1))&gt;=1,"SIM","")</f>
        <v>#REF!</v>
      </c>
      <c r="F629" s="5" t="e">
        <f>IF((COUNTIFS(#REF!,$C629,#REF!,F$1))&gt;=1,"SIM","")</f>
        <v>#REF!</v>
      </c>
      <c r="G629" s="5" t="e">
        <f>IF((COUNTIFS(#REF!,$C629,#REF!,"*606*"))&gt;=1,"SIM","")</f>
        <v>#REF!</v>
      </c>
      <c r="H629" s="5" t="e">
        <f>IF((COUNTIFS(#REF!,$C629,#REF!,"*605*"))&gt;=1,"SIM","")</f>
        <v>#REF!</v>
      </c>
      <c r="I629" s="5" t="e">
        <f>IF((COUNTIFS(#REF!,$C629,#REF!,I$1))&gt;=1,"SIM","")</f>
        <v>#REF!</v>
      </c>
      <c r="J629" s="5" t="e">
        <f>IF((COUNTIFS(#REF!,$C629,#REF!,J$1))&gt;=1,"SIM","")</f>
        <v>#REF!</v>
      </c>
      <c r="K629" s="5" t="e">
        <f>IF((COUNTIFS(#REF!,$C629,#REF!,K$1))&gt;=1,"SIM","")</f>
        <v>#REF!</v>
      </c>
      <c r="L629" s="5" t="e">
        <f>IF((COUNTIFS(#REF!,$C629,#REF!,L$1))&gt;=1,"SIM","")</f>
        <v>#REF!</v>
      </c>
      <c r="M629" s="5" t="e">
        <f>IF((COUNTIFS(#REF!,$C629,#REF!,M$1))&gt;=1,"SIM","")</f>
        <v>#REF!</v>
      </c>
      <c r="N629" s="5" t="e">
        <f>IF((COUNTIFS(#REF!,$C629,#REF!,N$1))&gt;=1,"SIM","")</f>
        <v>#REF!</v>
      </c>
      <c r="O629" s="5"/>
      <c r="P629" s="5" t="e">
        <f>IF((COUNTIFS(#REF!,$C629,#REF!,P$1))&gt;=1,"SIM","")</f>
        <v>#REF!</v>
      </c>
      <c r="Q629" s="5" t="e">
        <f>IF((COUNTIFS(#REF!,$C629,#REF!,Q$1))&gt;=1,"SIM","")</f>
        <v>#REF!</v>
      </c>
      <c r="R629" s="5" t="e">
        <f>IF((COUNTIFS(#REF!,$C629,#REF!,"*CARTA*"))&gt;=1,"SIM","")</f>
        <v>#REF!</v>
      </c>
      <c r="S629" s="5" t="e">
        <f>IF((COUNTIFS(#REF!,$C629,#REF!,"*CARTA NOTIFICAÇÃO/DEVOL*"))&gt;=1,"SIM","")</f>
        <v>#REF!</v>
      </c>
      <c r="T629" s="5" t="e">
        <f>IF((COUNTIFS(#REF!,$C629,#REF!,"*LIGAÇÃO ATIVA DEV PRIN/LOC*"))&gt;=1,"SIM","")</f>
        <v>#REF!</v>
      </c>
    </row>
    <row r="630" spans="1:20">
      <c r="A630" s="24" t="s">
        <v>2153</v>
      </c>
      <c r="B630" s="24" t="s">
        <v>372</v>
      </c>
      <c r="C630" s="24" t="s">
        <v>373</v>
      </c>
      <c r="D630" s="5" t="e">
        <f>IF((COUNTIFS(#REF!,$C630,#REF!,"*163*"))&gt;=1,"SIM","")</f>
        <v>#REF!</v>
      </c>
      <c r="E630" s="5" t="e">
        <f>IF((COUNTIFS(#REF!,$C630,#REF!,E$1))&gt;=1,"SIM","")</f>
        <v>#REF!</v>
      </c>
      <c r="F630" s="5" t="e">
        <f>IF((COUNTIFS(#REF!,$C630,#REF!,F$1))&gt;=1,"SIM","")</f>
        <v>#REF!</v>
      </c>
      <c r="G630" s="5" t="e">
        <f>IF((COUNTIFS(#REF!,$C630,#REF!,"*606*"))&gt;=1,"SIM","")</f>
        <v>#REF!</v>
      </c>
      <c r="H630" s="5" t="e">
        <f>IF((COUNTIFS(#REF!,$C630,#REF!,"*605*"))&gt;=1,"SIM","")</f>
        <v>#REF!</v>
      </c>
      <c r="I630" s="5" t="e">
        <f>IF((COUNTIFS(#REF!,$C630,#REF!,I$1))&gt;=1,"SIM","")</f>
        <v>#REF!</v>
      </c>
      <c r="J630" s="5" t="e">
        <f>IF((COUNTIFS(#REF!,$C630,#REF!,J$1))&gt;=1,"SIM","")</f>
        <v>#REF!</v>
      </c>
      <c r="K630" s="5" t="e">
        <f>IF((COUNTIFS(#REF!,$C630,#REF!,K$1))&gt;=1,"SIM","")</f>
        <v>#REF!</v>
      </c>
      <c r="L630" s="5" t="e">
        <f>IF((COUNTIFS(#REF!,$C630,#REF!,L$1))&gt;=1,"SIM","")</f>
        <v>#REF!</v>
      </c>
      <c r="M630" s="5" t="e">
        <f>IF((COUNTIFS(#REF!,$C630,#REF!,M$1))&gt;=1,"SIM","")</f>
        <v>#REF!</v>
      </c>
      <c r="N630" s="5" t="e">
        <f>IF((COUNTIFS(#REF!,$C630,#REF!,N$1))&gt;=1,"SIM","")</f>
        <v>#REF!</v>
      </c>
      <c r="O630" s="5"/>
      <c r="P630" s="5" t="e">
        <f>IF((COUNTIFS(#REF!,$C630,#REF!,P$1))&gt;=1,"SIM","")</f>
        <v>#REF!</v>
      </c>
      <c r="Q630" s="5" t="e">
        <f>IF((COUNTIFS(#REF!,$C630,#REF!,Q$1))&gt;=1,"SIM","")</f>
        <v>#REF!</v>
      </c>
      <c r="R630" s="5" t="e">
        <f>IF((COUNTIFS(#REF!,$C630,#REF!,"*CARTA*"))&gt;=1,"SIM","")</f>
        <v>#REF!</v>
      </c>
      <c r="S630" s="5" t="e">
        <f>IF((COUNTIFS(#REF!,$C630,#REF!,"*CARTA NOTIFICAÇÃO/DEVOL*"))&gt;=1,"SIM","")</f>
        <v>#REF!</v>
      </c>
      <c r="T630" s="5" t="e">
        <f>IF((COUNTIFS(#REF!,$C630,#REF!,"*LIGAÇÃO ATIVA DEV PRIN/LOC*"))&gt;=1,"SIM","")</f>
        <v>#REF!</v>
      </c>
    </row>
    <row r="631" spans="1:20">
      <c r="A631" s="24" t="s">
        <v>2159</v>
      </c>
      <c r="B631" s="24" t="s">
        <v>1334</v>
      </c>
      <c r="C631" s="24" t="s">
        <v>1335</v>
      </c>
      <c r="D631" s="5" t="e">
        <f>IF((COUNTIFS(#REF!,$C631,#REF!,"*163*"))&gt;=1,"SIM","")</f>
        <v>#REF!</v>
      </c>
      <c r="E631" s="5" t="e">
        <f>IF((COUNTIFS(#REF!,$C631,#REF!,E$1))&gt;=1,"SIM","")</f>
        <v>#REF!</v>
      </c>
      <c r="F631" s="5" t="e">
        <f>IF((COUNTIFS(#REF!,$C631,#REF!,F$1))&gt;=1,"SIM","")</f>
        <v>#REF!</v>
      </c>
      <c r="G631" s="5" t="e">
        <f>IF((COUNTIFS(#REF!,$C631,#REF!,"*606*"))&gt;=1,"SIM","")</f>
        <v>#REF!</v>
      </c>
      <c r="H631" s="5" t="e">
        <f>IF((COUNTIFS(#REF!,$C631,#REF!,"*605*"))&gt;=1,"SIM","")</f>
        <v>#REF!</v>
      </c>
      <c r="I631" s="5" t="e">
        <f>IF((COUNTIFS(#REF!,$C631,#REF!,I$1))&gt;=1,"SIM","")</f>
        <v>#REF!</v>
      </c>
      <c r="J631" s="5" t="e">
        <f>IF((COUNTIFS(#REF!,$C631,#REF!,J$1))&gt;=1,"SIM","")</f>
        <v>#REF!</v>
      </c>
      <c r="K631" s="5" t="e">
        <f>IF((COUNTIFS(#REF!,$C631,#REF!,K$1))&gt;=1,"SIM","")</f>
        <v>#REF!</v>
      </c>
      <c r="L631" s="5" t="e">
        <f>IF((COUNTIFS(#REF!,$C631,#REF!,L$1))&gt;=1,"SIM","")</f>
        <v>#REF!</v>
      </c>
      <c r="M631" s="5" t="e">
        <f>IF((COUNTIFS(#REF!,$C631,#REF!,M$1))&gt;=1,"SIM","")</f>
        <v>#REF!</v>
      </c>
      <c r="N631" s="5" t="e">
        <f>IF((COUNTIFS(#REF!,$C631,#REF!,N$1))&gt;=1,"SIM","")</f>
        <v>#REF!</v>
      </c>
      <c r="O631" s="5"/>
      <c r="P631" s="5" t="e">
        <f>IF((COUNTIFS(#REF!,$C631,#REF!,P$1))&gt;=1,"SIM","")</f>
        <v>#REF!</v>
      </c>
      <c r="Q631" s="5" t="e">
        <f>IF((COUNTIFS(#REF!,$C631,#REF!,Q$1))&gt;=1,"SIM","")</f>
        <v>#REF!</v>
      </c>
      <c r="R631" s="5" t="e">
        <f>IF((COUNTIFS(#REF!,$C631,#REF!,"*CARTA*"))&gt;=1,"SIM","")</f>
        <v>#REF!</v>
      </c>
      <c r="S631" s="5" t="e">
        <f>IF((COUNTIFS(#REF!,$C631,#REF!,"*CARTA NOTIFICAÇÃO/DEVOL*"))&gt;=1,"SIM","")</f>
        <v>#REF!</v>
      </c>
      <c r="T631" s="5" t="e">
        <f>IF((COUNTIFS(#REF!,$C631,#REF!,"*LIGAÇÃO ATIVA DEV PRIN/LOC*"))&gt;=1,"SIM","")</f>
        <v>#REF!</v>
      </c>
    </row>
    <row r="632" spans="1:20">
      <c r="A632" s="24" t="s">
        <v>2157</v>
      </c>
      <c r="B632" s="24" t="s">
        <v>1693</v>
      </c>
      <c r="C632" s="24" t="s">
        <v>1694</v>
      </c>
      <c r="D632" s="5" t="e">
        <f>IF((COUNTIFS(#REF!,$C632,#REF!,"*163*"))&gt;=1,"SIM","")</f>
        <v>#REF!</v>
      </c>
      <c r="E632" s="5" t="e">
        <f>IF((COUNTIFS(#REF!,$C632,#REF!,E$1))&gt;=1,"SIM","")</f>
        <v>#REF!</v>
      </c>
      <c r="F632" s="5" t="e">
        <f>IF((COUNTIFS(#REF!,$C632,#REF!,F$1))&gt;=1,"SIM","")</f>
        <v>#REF!</v>
      </c>
      <c r="G632" s="5" t="e">
        <f>IF((COUNTIFS(#REF!,$C632,#REF!,"*606*"))&gt;=1,"SIM","")</f>
        <v>#REF!</v>
      </c>
      <c r="H632" s="5" t="e">
        <f>IF((COUNTIFS(#REF!,$C632,#REF!,"*605*"))&gt;=1,"SIM","")</f>
        <v>#REF!</v>
      </c>
      <c r="I632" s="5" t="e">
        <f>IF((COUNTIFS(#REF!,$C632,#REF!,I$1))&gt;=1,"SIM","")</f>
        <v>#REF!</v>
      </c>
      <c r="J632" s="5" t="e">
        <f>IF((COUNTIFS(#REF!,$C632,#REF!,J$1))&gt;=1,"SIM","")</f>
        <v>#REF!</v>
      </c>
      <c r="K632" s="5" t="e">
        <f>IF((COUNTIFS(#REF!,$C632,#REF!,K$1))&gt;=1,"SIM","")</f>
        <v>#REF!</v>
      </c>
      <c r="L632" s="5" t="e">
        <f>IF((COUNTIFS(#REF!,$C632,#REF!,L$1))&gt;=1,"SIM","")</f>
        <v>#REF!</v>
      </c>
      <c r="M632" s="5" t="e">
        <f>IF((COUNTIFS(#REF!,$C632,#REF!,M$1))&gt;=1,"SIM","")</f>
        <v>#REF!</v>
      </c>
      <c r="N632" s="5" t="e">
        <f>IF((COUNTIFS(#REF!,$C632,#REF!,N$1))&gt;=1,"SIM","")</f>
        <v>#REF!</v>
      </c>
      <c r="O632" s="5"/>
      <c r="P632" s="5" t="e">
        <f>IF((COUNTIFS(#REF!,$C632,#REF!,P$1))&gt;=1,"SIM","")</f>
        <v>#REF!</v>
      </c>
      <c r="Q632" s="5" t="e">
        <f>IF((COUNTIFS(#REF!,$C632,#REF!,Q$1))&gt;=1,"SIM","")</f>
        <v>#REF!</v>
      </c>
      <c r="R632" s="5" t="e">
        <f>IF((COUNTIFS(#REF!,$C632,#REF!,"*CARTA*"))&gt;=1,"SIM","")</f>
        <v>#REF!</v>
      </c>
      <c r="S632" s="5" t="e">
        <f>IF((COUNTIFS(#REF!,$C632,#REF!,"*CARTA NOTIFICAÇÃO/DEVOL*"))&gt;=1,"SIM","")</f>
        <v>#REF!</v>
      </c>
      <c r="T632" s="5" t="e">
        <f>IF((COUNTIFS(#REF!,$C632,#REF!,"*LIGAÇÃO ATIVA DEV PRIN/LOC*"))&gt;=1,"SIM","")</f>
        <v>#REF!</v>
      </c>
    </row>
    <row r="633" spans="1:20">
      <c r="A633" s="24" t="s">
        <v>2159</v>
      </c>
      <c r="B633" s="24" t="s">
        <v>1989</v>
      </c>
      <c r="C633" s="24" t="s">
        <v>1990</v>
      </c>
      <c r="D633" s="5" t="e">
        <f>IF((COUNTIFS(#REF!,$C633,#REF!,"*163*"))&gt;=1,"SIM","")</f>
        <v>#REF!</v>
      </c>
      <c r="E633" s="5" t="e">
        <f>IF((COUNTIFS(#REF!,$C633,#REF!,E$1))&gt;=1,"SIM","")</f>
        <v>#REF!</v>
      </c>
      <c r="F633" s="5" t="e">
        <f>IF((COUNTIFS(#REF!,$C633,#REF!,F$1))&gt;=1,"SIM","")</f>
        <v>#REF!</v>
      </c>
      <c r="G633" s="5" t="e">
        <f>IF((COUNTIFS(#REF!,$C633,#REF!,"*606*"))&gt;=1,"SIM","")</f>
        <v>#REF!</v>
      </c>
      <c r="H633" s="5" t="e">
        <f>IF((COUNTIFS(#REF!,$C633,#REF!,"*605*"))&gt;=1,"SIM","")</f>
        <v>#REF!</v>
      </c>
      <c r="I633" s="5" t="e">
        <f>IF((COUNTIFS(#REF!,$C633,#REF!,I$1))&gt;=1,"SIM","")</f>
        <v>#REF!</v>
      </c>
      <c r="J633" s="5" t="e">
        <f>IF((COUNTIFS(#REF!,$C633,#REF!,J$1))&gt;=1,"SIM","")</f>
        <v>#REF!</v>
      </c>
      <c r="K633" s="5" t="e">
        <f>IF((COUNTIFS(#REF!,$C633,#REF!,K$1))&gt;=1,"SIM","")</f>
        <v>#REF!</v>
      </c>
      <c r="L633" s="5" t="e">
        <f>IF((COUNTIFS(#REF!,$C633,#REF!,L$1))&gt;=1,"SIM","")</f>
        <v>#REF!</v>
      </c>
      <c r="M633" s="5" t="e">
        <f>IF((COUNTIFS(#REF!,$C633,#REF!,M$1))&gt;=1,"SIM","")</f>
        <v>#REF!</v>
      </c>
      <c r="N633" s="5" t="e">
        <f>IF((COUNTIFS(#REF!,$C633,#REF!,N$1))&gt;=1,"SIM","")</f>
        <v>#REF!</v>
      </c>
      <c r="O633" s="5"/>
      <c r="P633" s="5" t="e">
        <f>IF((COUNTIFS(#REF!,$C633,#REF!,P$1))&gt;=1,"SIM","")</f>
        <v>#REF!</v>
      </c>
      <c r="Q633" s="5" t="e">
        <f>IF((COUNTIFS(#REF!,$C633,#REF!,Q$1))&gt;=1,"SIM","")</f>
        <v>#REF!</v>
      </c>
      <c r="R633" s="5" t="e">
        <f>IF((COUNTIFS(#REF!,$C633,#REF!,"*CARTA*"))&gt;=1,"SIM","")</f>
        <v>#REF!</v>
      </c>
      <c r="S633" s="5" t="e">
        <f>IF((COUNTIFS(#REF!,$C633,#REF!,"*CARTA NOTIFICAÇÃO/DEVOL*"))&gt;=1,"SIM","")</f>
        <v>#REF!</v>
      </c>
      <c r="T633" s="5" t="e">
        <f>IF((COUNTIFS(#REF!,$C633,#REF!,"*LIGAÇÃO ATIVA DEV PRIN/LOC*"))&gt;=1,"SIM","")</f>
        <v>#REF!</v>
      </c>
    </row>
    <row r="634" spans="1:20">
      <c r="A634" s="24" t="s">
        <v>2153</v>
      </c>
      <c r="B634" s="24" t="s">
        <v>2020</v>
      </c>
      <c r="C634" s="24" t="s">
        <v>2021</v>
      </c>
      <c r="D634" s="5" t="e">
        <f>IF((COUNTIFS(#REF!,$C634,#REF!,"*163*"))&gt;=1,"SIM","")</f>
        <v>#REF!</v>
      </c>
      <c r="E634" s="5" t="e">
        <f>IF((COUNTIFS(#REF!,$C634,#REF!,E$1))&gt;=1,"SIM","")</f>
        <v>#REF!</v>
      </c>
      <c r="F634" s="5" t="e">
        <f>IF((COUNTIFS(#REF!,$C634,#REF!,F$1))&gt;=1,"SIM","")</f>
        <v>#REF!</v>
      </c>
      <c r="G634" s="5" t="e">
        <f>IF((COUNTIFS(#REF!,$C634,#REF!,"*606*"))&gt;=1,"SIM","")</f>
        <v>#REF!</v>
      </c>
      <c r="H634" s="5" t="e">
        <f>IF((COUNTIFS(#REF!,$C634,#REF!,"*605*"))&gt;=1,"SIM","")</f>
        <v>#REF!</v>
      </c>
      <c r="I634" s="5" t="e">
        <f>IF((COUNTIFS(#REF!,$C634,#REF!,I$1))&gt;=1,"SIM","")</f>
        <v>#REF!</v>
      </c>
      <c r="J634" s="5" t="e">
        <f>IF((COUNTIFS(#REF!,$C634,#REF!,J$1))&gt;=1,"SIM","")</f>
        <v>#REF!</v>
      </c>
      <c r="K634" s="5" t="e">
        <f>IF((COUNTIFS(#REF!,$C634,#REF!,K$1))&gt;=1,"SIM","")</f>
        <v>#REF!</v>
      </c>
      <c r="L634" s="5" t="e">
        <f>IF((COUNTIFS(#REF!,$C634,#REF!,L$1))&gt;=1,"SIM","")</f>
        <v>#REF!</v>
      </c>
      <c r="M634" s="5" t="e">
        <f>IF((COUNTIFS(#REF!,$C634,#REF!,M$1))&gt;=1,"SIM","")</f>
        <v>#REF!</v>
      </c>
      <c r="N634" s="5" t="e">
        <f>IF((COUNTIFS(#REF!,$C634,#REF!,N$1))&gt;=1,"SIM","")</f>
        <v>#REF!</v>
      </c>
      <c r="O634" s="5"/>
      <c r="P634" s="5" t="e">
        <f>IF((COUNTIFS(#REF!,$C634,#REF!,P$1))&gt;=1,"SIM","")</f>
        <v>#REF!</v>
      </c>
      <c r="Q634" s="5" t="e">
        <f>IF((COUNTIFS(#REF!,$C634,#REF!,Q$1))&gt;=1,"SIM","")</f>
        <v>#REF!</v>
      </c>
      <c r="R634" s="5" t="e">
        <f>IF((COUNTIFS(#REF!,$C634,#REF!,"*CARTA*"))&gt;=1,"SIM","")</f>
        <v>#REF!</v>
      </c>
      <c r="S634" s="5" t="e">
        <f>IF((COUNTIFS(#REF!,$C634,#REF!,"*CARTA NOTIFICAÇÃO/DEVOL*"))&gt;=1,"SIM","")</f>
        <v>#REF!</v>
      </c>
      <c r="T634" s="5" t="e">
        <f>IF((COUNTIFS(#REF!,$C634,#REF!,"*LIGAÇÃO ATIVA DEV PRIN/LOC*"))&gt;=1,"SIM","")</f>
        <v>#REF!</v>
      </c>
    </row>
    <row r="635" spans="1:20">
      <c r="A635" s="24" t="s">
        <v>2156</v>
      </c>
      <c r="B635" s="24" t="s">
        <v>550</v>
      </c>
      <c r="C635" s="24" t="s">
        <v>551</v>
      </c>
      <c r="D635" s="5" t="e">
        <f>IF((COUNTIFS(#REF!,$C635,#REF!,"*163*"))&gt;=1,"SIM","")</f>
        <v>#REF!</v>
      </c>
      <c r="E635" s="5" t="e">
        <f>IF((COUNTIFS(#REF!,$C635,#REF!,E$1))&gt;=1,"SIM","")</f>
        <v>#REF!</v>
      </c>
      <c r="F635" s="5" t="e">
        <f>IF((COUNTIFS(#REF!,$C635,#REF!,F$1))&gt;=1,"SIM","")</f>
        <v>#REF!</v>
      </c>
      <c r="G635" s="5" t="e">
        <f>IF((COUNTIFS(#REF!,$C635,#REF!,"*606*"))&gt;=1,"SIM","")</f>
        <v>#REF!</v>
      </c>
      <c r="H635" s="5" t="e">
        <f>IF((COUNTIFS(#REF!,$C635,#REF!,"*605*"))&gt;=1,"SIM","")</f>
        <v>#REF!</v>
      </c>
      <c r="I635" s="5" t="e">
        <f>IF((COUNTIFS(#REF!,$C635,#REF!,I$1))&gt;=1,"SIM","")</f>
        <v>#REF!</v>
      </c>
      <c r="J635" s="5" t="e">
        <f>IF((COUNTIFS(#REF!,$C635,#REF!,J$1))&gt;=1,"SIM","")</f>
        <v>#REF!</v>
      </c>
      <c r="K635" s="5" t="e">
        <f>IF((COUNTIFS(#REF!,$C635,#REF!,K$1))&gt;=1,"SIM","")</f>
        <v>#REF!</v>
      </c>
      <c r="L635" s="5" t="e">
        <f>IF((COUNTIFS(#REF!,$C635,#REF!,L$1))&gt;=1,"SIM","")</f>
        <v>#REF!</v>
      </c>
      <c r="M635" s="5" t="e">
        <f>IF((COUNTIFS(#REF!,$C635,#REF!,M$1))&gt;=1,"SIM","")</f>
        <v>#REF!</v>
      </c>
      <c r="N635" s="5" t="e">
        <f>IF((COUNTIFS(#REF!,$C635,#REF!,N$1))&gt;=1,"SIM","")</f>
        <v>#REF!</v>
      </c>
      <c r="O635" s="5"/>
      <c r="P635" s="5" t="e">
        <f>IF((COUNTIFS(#REF!,$C635,#REF!,P$1))&gt;=1,"SIM","")</f>
        <v>#REF!</v>
      </c>
      <c r="Q635" s="5" t="e">
        <f>IF((COUNTIFS(#REF!,$C635,#REF!,Q$1))&gt;=1,"SIM","")</f>
        <v>#REF!</v>
      </c>
      <c r="R635" s="5" t="e">
        <f>IF((COUNTIFS(#REF!,$C635,#REF!,"*CARTA*"))&gt;=1,"SIM","")</f>
        <v>#REF!</v>
      </c>
      <c r="S635" s="5" t="e">
        <f>IF((COUNTIFS(#REF!,$C635,#REF!,"*CARTA NOTIFICAÇÃO/DEVOL*"))&gt;=1,"SIM","")</f>
        <v>#REF!</v>
      </c>
      <c r="T635" s="5" t="e">
        <f>IF((COUNTIFS(#REF!,$C635,#REF!,"*LIGAÇÃO ATIVA DEV PRIN/LOC*"))&gt;=1,"SIM","")</f>
        <v>#REF!</v>
      </c>
    </row>
    <row r="636" spans="1:20">
      <c r="A636" s="24" t="s">
        <v>2153</v>
      </c>
      <c r="B636" s="24" t="s">
        <v>914</v>
      </c>
      <c r="C636" s="24" t="s">
        <v>915</v>
      </c>
      <c r="D636" s="5" t="e">
        <f>IF((COUNTIFS(#REF!,$C636,#REF!,"*163*"))&gt;=1,"SIM","")</f>
        <v>#REF!</v>
      </c>
      <c r="E636" s="5" t="e">
        <f>IF((COUNTIFS(#REF!,$C636,#REF!,E$1))&gt;=1,"SIM","")</f>
        <v>#REF!</v>
      </c>
      <c r="F636" s="5" t="e">
        <f>IF((COUNTIFS(#REF!,$C636,#REF!,F$1))&gt;=1,"SIM","")</f>
        <v>#REF!</v>
      </c>
      <c r="G636" s="5" t="e">
        <f>IF((COUNTIFS(#REF!,$C636,#REF!,"*606*"))&gt;=1,"SIM","")</f>
        <v>#REF!</v>
      </c>
      <c r="H636" s="5" t="e">
        <f>IF((COUNTIFS(#REF!,$C636,#REF!,"*605*"))&gt;=1,"SIM","")</f>
        <v>#REF!</v>
      </c>
      <c r="I636" s="5" t="e">
        <f>IF((COUNTIFS(#REF!,$C636,#REF!,I$1))&gt;=1,"SIM","")</f>
        <v>#REF!</v>
      </c>
      <c r="J636" s="5" t="e">
        <f>IF((COUNTIFS(#REF!,$C636,#REF!,J$1))&gt;=1,"SIM","")</f>
        <v>#REF!</v>
      </c>
      <c r="K636" s="5" t="e">
        <f>IF((COUNTIFS(#REF!,$C636,#REF!,K$1))&gt;=1,"SIM","")</f>
        <v>#REF!</v>
      </c>
      <c r="L636" s="5" t="e">
        <f>IF((COUNTIFS(#REF!,$C636,#REF!,L$1))&gt;=1,"SIM","")</f>
        <v>#REF!</v>
      </c>
      <c r="M636" s="5" t="e">
        <f>IF((COUNTIFS(#REF!,$C636,#REF!,M$1))&gt;=1,"SIM","")</f>
        <v>#REF!</v>
      </c>
      <c r="N636" s="5" t="e">
        <f>IF((COUNTIFS(#REF!,$C636,#REF!,N$1))&gt;=1,"SIM","")</f>
        <v>#REF!</v>
      </c>
      <c r="O636" s="5"/>
      <c r="P636" s="5" t="e">
        <f>IF((COUNTIFS(#REF!,$C636,#REF!,P$1))&gt;=1,"SIM","")</f>
        <v>#REF!</v>
      </c>
      <c r="Q636" s="5" t="e">
        <f>IF((COUNTIFS(#REF!,$C636,#REF!,Q$1))&gt;=1,"SIM","")</f>
        <v>#REF!</v>
      </c>
      <c r="R636" s="5" t="e">
        <f>IF((COUNTIFS(#REF!,$C636,#REF!,"*CARTA*"))&gt;=1,"SIM","")</f>
        <v>#REF!</v>
      </c>
      <c r="S636" s="5" t="e">
        <f>IF((COUNTIFS(#REF!,$C636,#REF!,"*CARTA NOTIFICAÇÃO/DEVOL*"))&gt;=1,"SIM","")</f>
        <v>#REF!</v>
      </c>
      <c r="T636" s="5" t="e">
        <f>IF((COUNTIFS(#REF!,$C636,#REF!,"*LIGAÇÃO ATIVA DEV PRIN/LOC*"))&gt;=1,"SIM","")</f>
        <v>#REF!</v>
      </c>
    </row>
    <row r="637" spans="1:20">
      <c r="A637" s="24" t="s">
        <v>2155</v>
      </c>
      <c r="B637" s="24" t="s">
        <v>134</v>
      </c>
      <c r="C637" s="24" t="s">
        <v>135</v>
      </c>
      <c r="D637" s="5" t="e">
        <f>IF((COUNTIFS(#REF!,$C637,#REF!,"*163*"))&gt;=1,"SIM","")</f>
        <v>#REF!</v>
      </c>
      <c r="E637" s="5" t="e">
        <f>IF((COUNTIFS(#REF!,$C637,#REF!,E$1))&gt;=1,"SIM","")</f>
        <v>#REF!</v>
      </c>
      <c r="F637" s="5" t="e">
        <f>IF((COUNTIFS(#REF!,$C637,#REF!,F$1))&gt;=1,"SIM","")</f>
        <v>#REF!</v>
      </c>
      <c r="G637" s="5" t="e">
        <f>IF((COUNTIFS(#REF!,$C637,#REF!,"*606*"))&gt;=1,"SIM","")</f>
        <v>#REF!</v>
      </c>
      <c r="H637" s="5" t="e">
        <f>IF((COUNTIFS(#REF!,$C637,#REF!,"*605*"))&gt;=1,"SIM","")</f>
        <v>#REF!</v>
      </c>
      <c r="I637" s="5" t="e">
        <f>IF((COUNTIFS(#REF!,$C637,#REF!,I$1))&gt;=1,"SIM","")</f>
        <v>#REF!</v>
      </c>
      <c r="J637" s="5" t="e">
        <f>IF((COUNTIFS(#REF!,$C637,#REF!,J$1))&gt;=1,"SIM","")</f>
        <v>#REF!</v>
      </c>
      <c r="K637" s="5" t="e">
        <f>IF((COUNTIFS(#REF!,$C637,#REF!,K$1))&gt;=1,"SIM","")</f>
        <v>#REF!</v>
      </c>
      <c r="L637" s="5" t="e">
        <f>IF((COUNTIFS(#REF!,$C637,#REF!,L$1))&gt;=1,"SIM","")</f>
        <v>#REF!</v>
      </c>
      <c r="M637" s="5" t="e">
        <f>IF((COUNTIFS(#REF!,$C637,#REF!,M$1))&gt;=1,"SIM","")</f>
        <v>#REF!</v>
      </c>
      <c r="N637" s="5" t="e">
        <f>IF((COUNTIFS(#REF!,$C637,#REF!,N$1))&gt;=1,"SIM","")</f>
        <v>#REF!</v>
      </c>
      <c r="O637" s="5"/>
      <c r="P637" s="5" t="e">
        <f>IF((COUNTIFS(#REF!,$C637,#REF!,P$1))&gt;=1,"SIM","")</f>
        <v>#REF!</v>
      </c>
      <c r="Q637" s="5" t="e">
        <f>IF((COUNTIFS(#REF!,$C637,#REF!,Q$1))&gt;=1,"SIM","")</f>
        <v>#REF!</v>
      </c>
      <c r="R637" s="5" t="e">
        <f>IF((COUNTIFS(#REF!,$C637,#REF!,"*CARTA*"))&gt;=1,"SIM","")</f>
        <v>#REF!</v>
      </c>
      <c r="S637" s="5" t="e">
        <f>IF((COUNTIFS(#REF!,$C637,#REF!,"*CARTA NOTIFICAÇÃO/DEVOL*"))&gt;=1,"SIM","")</f>
        <v>#REF!</v>
      </c>
      <c r="T637" s="5" t="e">
        <f>IF((COUNTIFS(#REF!,$C637,#REF!,"*LIGAÇÃO ATIVA DEV PRIN/LOC*"))&gt;=1,"SIM","")</f>
        <v>#REF!</v>
      </c>
    </row>
    <row r="638" spans="1:20">
      <c r="A638" s="24" t="s">
        <v>2157</v>
      </c>
      <c r="B638" s="24" t="s">
        <v>1047</v>
      </c>
      <c r="C638" s="24" t="s">
        <v>1048</v>
      </c>
      <c r="D638" s="5" t="e">
        <f>IF((COUNTIFS(#REF!,$C638,#REF!,"*163*"))&gt;=1,"SIM","")</f>
        <v>#REF!</v>
      </c>
      <c r="E638" s="5" t="e">
        <f>IF((COUNTIFS(#REF!,$C638,#REF!,E$1))&gt;=1,"SIM","")</f>
        <v>#REF!</v>
      </c>
      <c r="F638" s="5" t="e">
        <f>IF((COUNTIFS(#REF!,$C638,#REF!,F$1))&gt;=1,"SIM","")</f>
        <v>#REF!</v>
      </c>
      <c r="G638" s="5" t="e">
        <f>IF((COUNTIFS(#REF!,$C638,#REF!,"*606*"))&gt;=1,"SIM","")</f>
        <v>#REF!</v>
      </c>
      <c r="H638" s="5" t="e">
        <f>IF((COUNTIFS(#REF!,$C638,#REF!,"*605*"))&gt;=1,"SIM","")</f>
        <v>#REF!</v>
      </c>
      <c r="I638" s="5" t="e">
        <f>IF((COUNTIFS(#REF!,$C638,#REF!,I$1))&gt;=1,"SIM","")</f>
        <v>#REF!</v>
      </c>
      <c r="J638" s="5" t="e">
        <f>IF((COUNTIFS(#REF!,$C638,#REF!,J$1))&gt;=1,"SIM","")</f>
        <v>#REF!</v>
      </c>
      <c r="K638" s="5" t="e">
        <f>IF((COUNTIFS(#REF!,$C638,#REF!,K$1))&gt;=1,"SIM","")</f>
        <v>#REF!</v>
      </c>
      <c r="L638" s="5" t="e">
        <f>IF((COUNTIFS(#REF!,$C638,#REF!,L$1))&gt;=1,"SIM","")</f>
        <v>#REF!</v>
      </c>
      <c r="M638" s="5" t="e">
        <f>IF((COUNTIFS(#REF!,$C638,#REF!,M$1))&gt;=1,"SIM","")</f>
        <v>#REF!</v>
      </c>
      <c r="N638" s="5" t="e">
        <f>IF((COUNTIFS(#REF!,$C638,#REF!,N$1))&gt;=1,"SIM","")</f>
        <v>#REF!</v>
      </c>
      <c r="O638" s="5"/>
      <c r="P638" s="5" t="e">
        <f>IF((COUNTIFS(#REF!,$C638,#REF!,P$1))&gt;=1,"SIM","")</f>
        <v>#REF!</v>
      </c>
      <c r="Q638" s="5" t="e">
        <f>IF((COUNTIFS(#REF!,$C638,#REF!,Q$1))&gt;=1,"SIM","")</f>
        <v>#REF!</v>
      </c>
      <c r="R638" s="5" t="e">
        <f>IF((COUNTIFS(#REF!,$C638,#REF!,"*CARTA*"))&gt;=1,"SIM","")</f>
        <v>#REF!</v>
      </c>
      <c r="S638" s="5" t="e">
        <f>IF((COUNTIFS(#REF!,$C638,#REF!,"*CARTA NOTIFICAÇÃO/DEVOL*"))&gt;=1,"SIM","")</f>
        <v>#REF!</v>
      </c>
      <c r="T638" s="5" t="e">
        <f>IF((COUNTIFS(#REF!,$C638,#REF!,"*LIGAÇÃO ATIVA DEV PRIN/LOC*"))&gt;=1,"SIM","")</f>
        <v>#REF!</v>
      </c>
    </row>
    <row r="639" spans="1:20">
      <c r="A639" s="24" t="s">
        <v>2153</v>
      </c>
      <c r="B639" s="24" t="s">
        <v>766</v>
      </c>
      <c r="C639" s="24" t="s">
        <v>767</v>
      </c>
      <c r="D639" s="5" t="e">
        <f>IF((COUNTIFS(#REF!,$C639,#REF!,"*163*"))&gt;=1,"SIM","")</f>
        <v>#REF!</v>
      </c>
      <c r="E639" s="5" t="e">
        <f>IF((COUNTIFS(#REF!,$C639,#REF!,E$1))&gt;=1,"SIM","")</f>
        <v>#REF!</v>
      </c>
      <c r="F639" s="5" t="e">
        <f>IF((COUNTIFS(#REF!,$C639,#REF!,F$1))&gt;=1,"SIM","")</f>
        <v>#REF!</v>
      </c>
      <c r="G639" s="5" t="e">
        <f>IF((COUNTIFS(#REF!,$C639,#REF!,"*606*"))&gt;=1,"SIM","")</f>
        <v>#REF!</v>
      </c>
      <c r="H639" s="5" t="e">
        <f>IF((COUNTIFS(#REF!,$C639,#REF!,"*605*"))&gt;=1,"SIM","")</f>
        <v>#REF!</v>
      </c>
      <c r="I639" s="5" t="e">
        <f>IF((COUNTIFS(#REF!,$C639,#REF!,I$1))&gt;=1,"SIM","")</f>
        <v>#REF!</v>
      </c>
      <c r="J639" s="5" t="e">
        <f>IF((COUNTIFS(#REF!,$C639,#REF!,J$1))&gt;=1,"SIM","")</f>
        <v>#REF!</v>
      </c>
      <c r="K639" s="5" t="e">
        <f>IF((COUNTIFS(#REF!,$C639,#REF!,K$1))&gt;=1,"SIM","")</f>
        <v>#REF!</v>
      </c>
      <c r="L639" s="5" t="e">
        <f>IF((COUNTIFS(#REF!,$C639,#REF!,L$1))&gt;=1,"SIM","")</f>
        <v>#REF!</v>
      </c>
      <c r="M639" s="5" t="e">
        <f>IF((COUNTIFS(#REF!,$C639,#REF!,M$1))&gt;=1,"SIM","")</f>
        <v>#REF!</v>
      </c>
      <c r="N639" s="5" t="e">
        <f>IF((COUNTIFS(#REF!,$C639,#REF!,N$1))&gt;=1,"SIM","")</f>
        <v>#REF!</v>
      </c>
      <c r="O639" s="5"/>
      <c r="P639" s="5" t="e">
        <f>IF((COUNTIFS(#REF!,$C639,#REF!,P$1))&gt;=1,"SIM","")</f>
        <v>#REF!</v>
      </c>
      <c r="Q639" s="5" t="e">
        <f>IF((COUNTIFS(#REF!,$C639,#REF!,Q$1))&gt;=1,"SIM","")</f>
        <v>#REF!</v>
      </c>
      <c r="R639" s="5" t="e">
        <f>IF((COUNTIFS(#REF!,$C639,#REF!,"*CARTA*"))&gt;=1,"SIM","")</f>
        <v>#REF!</v>
      </c>
      <c r="S639" s="5" t="e">
        <f>IF((COUNTIFS(#REF!,$C639,#REF!,"*CARTA NOTIFICAÇÃO/DEVOL*"))&gt;=1,"SIM","")</f>
        <v>#REF!</v>
      </c>
      <c r="T639" s="5" t="e">
        <f>IF((COUNTIFS(#REF!,$C639,#REF!,"*LIGAÇÃO ATIVA DEV PRIN/LOC*"))&gt;=1,"SIM","")</f>
        <v>#REF!</v>
      </c>
    </row>
    <row r="640" spans="1:20">
      <c r="A640" s="24" t="s">
        <v>2158</v>
      </c>
      <c r="B640" s="24" t="s">
        <v>2138</v>
      </c>
      <c r="C640" s="24" t="s">
        <v>2139</v>
      </c>
      <c r="D640" s="5" t="e">
        <f>IF((COUNTIFS(#REF!,$C640,#REF!,"*163*"))&gt;=1,"SIM","")</f>
        <v>#REF!</v>
      </c>
      <c r="E640" s="5" t="e">
        <f>IF((COUNTIFS(#REF!,$C640,#REF!,E$1))&gt;=1,"SIM","")</f>
        <v>#REF!</v>
      </c>
      <c r="F640" s="5" t="e">
        <f>IF((COUNTIFS(#REF!,$C640,#REF!,F$1))&gt;=1,"SIM","")</f>
        <v>#REF!</v>
      </c>
      <c r="G640" s="5" t="e">
        <f>IF((COUNTIFS(#REF!,$C640,#REF!,"*606*"))&gt;=1,"SIM","")</f>
        <v>#REF!</v>
      </c>
      <c r="H640" s="5" t="e">
        <f>IF((COUNTIFS(#REF!,$C640,#REF!,"*605*"))&gt;=1,"SIM","")</f>
        <v>#REF!</v>
      </c>
      <c r="I640" s="5" t="e">
        <f>IF((COUNTIFS(#REF!,$C640,#REF!,I$1))&gt;=1,"SIM","")</f>
        <v>#REF!</v>
      </c>
      <c r="J640" s="5" t="e">
        <f>IF((COUNTIFS(#REF!,$C640,#REF!,J$1))&gt;=1,"SIM","")</f>
        <v>#REF!</v>
      </c>
      <c r="K640" s="5" t="e">
        <f>IF((COUNTIFS(#REF!,$C640,#REF!,K$1))&gt;=1,"SIM","")</f>
        <v>#REF!</v>
      </c>
      <c r="L640" s="5" t="e">
        <f>IF((COUNTIFS(#REF!,$C640,#REF!,L$1))&gt;=1,"SIM","")</f>
        <v>#REF!</v>
      </c>
      <c r="M640" s="5" t="e">
        <f>IF((COUNTIFS(#REF!,$C640,#REF!,M$1))&gt;=1,"SIM","")</f>
        <v>#REF!</v>
      </c>
      <c r="N640" s="5" t="e">
        <f>IF((COUNTIFS(#REF!,$C640,#REF!,N$1))&gt;=1,"SIM","")</f>
        <v>#REF!</v>
      </c>
      <c r="O640" s="5"/>
      <c r="P640" s="5" t="e">
        <f>IF((COUNTIFS(#REF!,$C640,#REF!,P$1))&gt;=1,"SIM","")</f>
        <v>#REF!</v>
      </c>
      <c r="Q640" s="5" t="e">
        <f>IF((COUNTIFS(#REF!,$C640,#REF!,Q$1))&gt;=1,"SIM","")</f>
        <v>#REF!</v>
      </c>
      <c r="R640" s="5" t="e">
        <f>IF((COUNTIFS(#REF!,$C640,#REF!,"*CARTA*"))&gt;=1,"SIM","")</f>
        <v>#REF!</v>
      </c>
      <c r="S640" s="5" t="e">
        <f>IF((COUNTIFS(#REF!,$C640,#REF!,"*CARTA NOTIFICAÇÃO/DEVOL*"))&gt;=1,"SIM","")</f>
        <v>#REF!</v>
      </c>
      <c r="T640" s="5" t="e">
        <f>IF((COUNTIFS(#REF!,$C640,#REF!,"*LIGAÇÃO ATIVA DEV PRIN/LOC*"))&gt;=1,"SIM","")</f>
        <v>#REF!</v>
      </c>
    </row>
    <row r="641" spans="1:20">
      <c r="A641" s="24" t="s">
        <v>2159</v>
      </c>
      <c r="B641" s="24" t="s">
        <v>1430</v>
      </c>
      <c r="C641" s="24" t="s">
        <v>1431</v>
      </c>
      <c r="D641" s="5" t="e">
        <f>IF((COUNTIFS(#REF!,$C641,#REF!,"*163*"))&gt;=1,"SIM","")</f>
        <v>#REF!</v>
      </c>
      <c r="E641" s="5" t="e">
        <f>IF((COUNTIFS(#REF!,$C641,#REF!,E$1))&gt;=1,"SIM","")</f>
        <v>#REF!</v>
      </c>
      <c r="F641" s="5" t="e">
        <f>IF((COUNTIFS(#REF!,$C641,#REF!,F$1))&gt;=1,"SIM","")</f>
        <v>#REF!</v>
      </c>
      <c r="G641" s="5" t="e">
        <f>IF((COUNTIFS(#REF!,$C641,#REF!,"*606*"))&gt;=1,"SIM","")</f>
        <v>#REF!</v>
      </c>
      <c r="H641" s="5" t="e">
        <f>IF((COUNTIFS(#REF!,$C641,#REF!,"*605*"))&gt;=1,"SIM","")</f>
        <v>#REF!</v>
      </c>
      <c r="I641" s="5" t="e">
        <f>IF((COUNTIFS(#REF!,$C641,#REF!,I$1))&gt;=1,"SIM","")</f>
        <v>#REF!</v>
      </c>
      <c r="J641" s="5" t="e">
        <f>IF((COUNTIFS(#REF!,$C641,#REF!,J$1))&gt;=1,"SIM","")</f>
        <v>#REF!</v>
      </c>
      <c r="K641" s="5" t="e">
        <f>IF((COUNTIFS(#REF!,$C641,#REF!,K$1))&gt;=1,"SIM","")</f>
        <v>#REF!</v>
      </c>
      <c r="L641" s="5" t="e">
        <f>IF((COUNTIFS(#REF!,$C641,#REF!,L$1))&gt;=1,"SIM","")</f>
        <v>#REF!</v>
      </c>
      <c r="M641" s="5" t="e">
        <f>IF((COUNTIFS(#REF!,$C641,#REF!,M$1))&gt;=1,"SIM","")</f>
        <v>#REF!</v>
      </c>
      <c r="N641" s="5" t="e">
        <f>IF((COUNTIFS(#REF!,$C641,#REF!,N$1))&gt;=1,"SIM","")</f>
        <v>#REF!</v>
      </c>
      <c r="O641" s="5"/>
      <c r="P641" s="5" t="e">
        <f>IF((COUNTIFS(#REF!,$C641,#REF!,P$1))&gt;=1,"SIM","")</f>
        <v>#REF!</v>
      </c>
      <c r="Q641" s="5" t="e">
        <f>IF((COUNTIFS(#REF!,$C641,#REF!,Q$1))&gt;=1,"SIM","")</f>
        <v>#REF!</v>
      </c>
      <c r="R641" s="5" t="e">
        <f>IF((COUNTIFS(#REF!,$C641,#REF!,"*CARTA*"))&gt;=1,"SIM","")</f>
        <v>#REF!</v>
      </c>
      <c r="S641" s="5" t="e">
        <f>IF((COUNTIFS(#REF!,$C641,#REF!,"*CARTA NOTIFICAÇÃO/DEVOL*"))&gt;=1,"SIM","")</f>
        <v>#REF!</v>
      </c>
      <c r="T641" s="5" t="e">
        <f>IF((COUNTIFS(#REF!,$C641,#REF!,"*LIGAÇÃO ATIVA DEV PRIN/LOC*"))&gt;=1,"SIM","")</f>
        <v>#REF!</v>
      </c>
    </row>
    <row r="642" spans="1:20">
      <c r="A642" s="24" t="s">
        <v>2153</v>
      </c>
      <c r="B642" s="24" t="s">
        <v>616</v>
      </c>
      <c r="C642" s="24" t="s">
        <v>617</v>
      </c>
      <c r="D642" s="5" t="e">
        <f>IF((COUNTIFS(#REF!,$C642,#REF!,"*163*"))&gt;=1,"SIM","")</f>
        <v>#REF!</v>
      </c>
      <c r="E642" s="5" t="e">
        <f>IF((COUNTIFS(#REF!,$C642,#REF!,E$1))&gt;=1,"SIM","")</f>
        <v>#REF!</v>
      </c>
      <c r="F642" s="5" t="e">
        <f>IF((COUNTIFS(#REF!,$C642,#REF!,F$1))&gt;=1,"SIM","")</f>
        <v>#REF!</v>
      </c>
      <c r="G642" s="5" t="e">
        <f>IF((COUNTIFS(#REF!,$C642,#REF!,"*606*"))&gt;=1,"SIM","")</f>
        <v>#REF!</v>
      </c>
      <c r="H642" s="5" t="e">
        <f>IF((COUNTIFS(#REF!,$C642,#REF!,"*605*"))&gt;=1,"SIM","")</f>
        <v>#REF!</v>
      </c>
      <c r="I642" s="5" t="e">
        <f>IF((COUNTIFS(#REF!,$C642,#REF!,I$1))&gt;=1,"SIM","")</f>
        <v>#REF!</v>
      </c>
      <c r="J642" s="5" t="e">
        <f>IF((COUNTIFS(#REF!,$C642,#REF!,J$1))&gt;=1,"SIM","")</f>
        <v>#REF!</v>
      </c>
      <c r="K642" s="5" t="e">
        <f>IF((COUNTIFS(#REF!,$C642,#REF!,K$1))&gt;=1,"SIM","")</f>
        <v>#REF!</v>
      </c>
      <c r="L642" s="5" t="e">
        <f>IF((COUNTIFS(#REF!,$C642,#REF!,L$1))&gt;=1,"SIM","")</f>
        <v>#REF!</v>
      </c>
      <c r="M642" s="5" t="e">
        <f>IF((COUNTIFS(#REF!,$C642,#REF!,M$1))&gt;=1,"SIM","")</f>
        <v>#REF!</v>
      </c>
      <c r="N642" s="5" t="e">
        <f>IF((COUNTIFS(#REF!,$C642,#REF!,N$1))&gt;=1,"SIM","")</f>
        <v>#REF!</v>
      </c>
      <c r="O642" s="5"/>
      <c r="P642" s="5" t="e">
        <f>IF((COUNTIFS(#REF!,$C642,#REF!,P$1))&gt;=1,"SIM","")</f>
        <v>#REF!</v>
      </c>
      <c r="Q642" s="5" t="e">
        <f>IF((COUNTIFS(#REF!,$C642,#REF!,Q$1))&gt;=1,"SIM","")</f>
        <v>#REF!</v>
      </c>
      <c r="R642" s="5" t="e">
        <f>IF((COUNTIFS(#REF!,$C642,#REF!,"*CARTA*"))&gt;=1,"SIM","")</f>
        <v>#REF!</v>
      </c>
      <c r="S642" s="5" t="e">
        <f>IF((COUNTIFS(#REF!,$C642,#REF!,"*CARTA NOTIFICAÇÃO/DEVOL*"))&gt;=1,"SIM","")</f>
        <v>#REF!</v>
      </c>
      <c r="T642" s="5" t="e">
        <f>IF((COUNTIFS(#REF!,$C642,#REF!,"*LIGAÇÃO ATIVA DEV PRIN/LOC*"))&gt;=1,"SIM","")</f>
        <v>#REF!</v>
      </c>
    </row>
    <row r="643" spans="1:20">
      <c r="A643" s="24" t="s">
        <v>2157</v>
      </c>
      <c r="B643" s="24" t="s">
        <v>1508</v>
      </c>
      <c r="C643" s="24" t="s">
        <v>1509</v>
      </c>
      <c r="D643" s="5" t="e">
        <f>IF((COUNTIFS(#REF!,$C643,#REF!,"*163*"))&gt;=1,"SIM","")</f>
        <v>#REF!</v>
      </c>
      <c r="E643" s="5" t="e">
        <f>IF((COUNTIFS(#REF!,$C643,#REF!,E$1))&gt;=1,"SIM","")</f>
        <v>#REF!</v>
      </c>
      <c r="F643" s="5" t="e">
        <f>IF((COUNTIFS(#REF!,$C643,#REF!,F$1))&gt;=1,"SIM","")</f>
        <v>#REF!</v>
      </c>
      <c r="G643" s="5" t="e">
        <f>IF((COUNTIFS(#REF!,$C643,#REF!,"*606*"))&gt;=1,"SIM","")</f>
        <v>#REF!</v>
      </c>
      <c r="H643" s="5" t="e">
        <f>IF((COUNTIFS(#REF!,$C643,#REF!,"*605*"))&gt;=1,"SIM","")</f>
        <v>#REF!</v>
      </c>
      <c r="I643" s="5" t="e">
        <f>IF((COUNTIFS(#REF!,$C643,#REF!,I$1))&gt;=1,"SIM","")</f>
        <v>#REF!</v>
      </c>
      <c r="J643" s="5" t="e">
        <f>IF((COUNTIFS(#REF!,$C643,#REF!,J$1))&gt;=1,"SIM","")</f>
        <v>#REF!</v>
      </c>
      <c r="K643" s="5" t="e">
        <f>IF((COUNTIFS(#REF!,$C643,#REF!,K$1))&gt;=1,"SIM","")</f>
        <v>#REF!</v>
      </c>
      <c r="L643" s="5" t="e">
        <f>IF((COUNTIFS(#REF!,$C643,#REF!,L$1))&gt;=1,"SIM","")</f>
        <v>#REF!</v>
      </c>
      <c r="M643" s="5" t="e">
        <f>IF((COUNTIFS(#REF!,$C643,#REF!,M$1))&gt;=1,"SIM","")</f>
        <v>#REF!</v>
      </c>
      <c r="N643" s="5" t="e">
        <f>IF((COUNTIFS(#REF!,$C643,#REF!,N$1))&gt;=1,"SIM","")</f>
        <v>#REF!</v>
      </c>
      <c r="O643" s="5"/>
      <c r="P643" s="5" t="e">
        <f>IF((COUNTIFS(#REF!,$C643,#REF!,P$1))&gt;=1,"SIM","")</f>
        <v>#REF!</v>
      </c>
      <c r="Q643" s="5" t="e">
        <f>IF((COUNTIFS(#REF!,$C643,#REF!,Q$1))&gt;=1,"SIM","")</f>
        <v>#REF!</v>
      </c>
      <c r="R643" s="5" t="e">
        <f>IF((COUNTIFS(#REF!,$C643,#REF!,"*CARTA*"))&gt;=1,"SIM","")</f>
        <v>#REF!</v>
      </c>
      <c r="S643" s="5" t="e">
        <f>IF((COUNTIFS(#REF!,$C643,#REF!,"*CARTA NOTIFICAÇÃO/DEVOL*"))&gt;=1,"SIM","")</f>
        <v>#REF!</v>
      </c>
      <c r="T643" s="5" t="e">
        <f>IF((COUNTIFS(#REF!,$C643,#REF!,"*LIGAÇÃO ATIVA DEV PRIN/LOC*"))&gt;=1,"SIM","")</f>
        <v>#REF!</v>
      </c>
    </row>
    <row r="644" spans="1:20">
      <c r="A644" s="24" t="s">
        <v>2153</v>
      </c>
      <c r="B644" s="24" t="s">
        <v>690</v>
      </c>
      <c r="C644" s="24" t="s">
        <v>691</v>
      </c>
      <c r="D644" s="5" t="e">
        <f>IF((COUNTIFS(#REF!,$C644,#REF!,"*163*"))&gt;=1,"SIM","")</f>
        <v>#REF!</v>
      </c>
      <c r="E644" s="5" t="e">
        <f>IF((COUNTIFS(#REF!,$C644,#REF!,E$1))&gt;=1,"SIM","")</f>
        <v>#REF!</v>
      </c>
      <c r="F644" s="5" t="e">
        <f>IF((COUNTIFS(#REF!,$C644,#REF!,F$1))&gt;=1,"SIM","")</f>
        <v>#REF!</v>
      </c>
      <c r="G644" s="5" t="e">
        <f>IF((COUNTIFS(#REF!,$C644,#REF!,"*606*"))&gt;=1,"SIM","")</f>
        <v>#REF!</v>
      </c>
      <c r="H644" s="5" t="e">
        <f>IF((COUNTIFS(#REF!,$C644,#REF!,"*605*"))&gt;=1,"SIM","")</f>
        <v>#REF!</v>
      </c>
      <c r="I644" s="5" t="e">
        <f>IF((COUNTIFS(#REF!,$C644,#REF!,I$1))&gt;=1,"SIM","")</f>
        <v>#REF!</v>
      </c>
      <c r="J644" s="5" t="e">
        <f>IF((COUNTIFS(#REF!,$C644,#REF!,J$1))&gt;=1,"SIM","")</f>
        <v>#REF!</v>
      </c>
      <c r="K644" s="5" t="e">
        <f>IF((COUNTIFS(#REF!,$C644,#REF!,K$1))&gt;=1,"SIM","")</f>
        <v>#REF!</v>
      </c>
      <c r="L644" s="5" t="e">
        <f>IF((COUNTIFS(#REF!,$C644,#REF!,L$1))&gt;=1,"SIM","")</f>
        <v>#REF!</v>
      </c>
      <c r="M644" s="5" t="e">
        <f>IF((COUNTIFS(#REF!,$C644,#REF!,M$1))&gt;=1,"SIM","")</f>
        <v>#REF!</v>
      </c>
      <c r="N644" s="5" t="e">
        <f>IF((COUNTIFS(#REF!,$C644,#REF!,N$1))&gt;=1,"SIM","")</f>
        <v>#REF!</v>
      </c>
      <c r="O644" s="5"/>
      <c r="P644" s="5" t="e">
        <f>IF((COUNTIFS(#REF!,$C644,#REF!,P$1))&gt;=1,"SIM","")</f>
        <v>#REF!</v>
      </c>
      <c r="Q644" s="5" t="e">
        <f>IF((COUNTIFS(#REF!,$C644,#REF!,Q$1))&gt;=1,"SIM","")</f>
        <v>#REF!</v>
      </c>
      <c r="R644" s="5" t="e">
        <f>IF((COUNTIFS(#REF!,$C644,#REF!,"*CARTA*"))&gt;=1,"SIM","")</f>
        <v>#REF!</v>
      </c>
      <c r="S644" s="5" t="e">
        <f>IF((COUNTIFS(#REF!,$C644,#REF!,"*CARTA NOTIFICAÇÃO/DEVOL*"))&gt;=1,"SIM","")</f>
        <v>#REF!</v>
      </c>
      <c r="T644" s="5" t="e">
        <f>IF((COUNTIFS(#REF!,$C644,#REF!,"*LIGAÇÃO ATIVA DEV PRIN/LOC*"))&gt;=1,"SIM","")</f>
        <v>#REF!</v>
      </c>
    </row>
    <row r="645" spans="1:20">
      <c r="A645" s="24" t="s">
        <v>2153</v>
      </c>
      <c r="B645" s="24" t="s">
        <v>630</v>
      </c>
      <c r="C645" s="24" t="s">
        <v>631</v>
      </c>
      <c r="D645" s="5" t="e">
        <f>IF((COUNTIFS(#REF!,$C645,#REF!,"*163*"))&gt;=1,"SIM","")</f>
        <v>#REF!</v>
      </c>
      <c r="E645" s="5" t="e">
        <f>IF((COUNTIFS(#REF!,$C645,#REF!,E$1))&gt;=1,"SIM","")</f>
        <v>#REF!</v>
      </c>
      <c r="F645" s="5" t="e">
        <f>IF((COUNTIFS(#REF!,$C645,#REF!,F$1))&gt;=1,"SIM","")</f>
        <v>#REF!</v>
      </c>
      <c r="G645" s="5" t="e">
        <f>IF((COUNTIFS(#REF!,$C645,#REF!,"*606*"))&gt;=1,"SIM","")</f>
        <v>#REF!</v>
      </c>
      <c r="H645" s="5" t="e">
        <f>IF((COUNTIFS(#REF!,$C645,#REF!,"*605*"))&gt;=1,"SIM","")</f>
        <v>#REF!</v>
      </c>
      <c r="I645" s="5" t="e">
        <f>IF((COUNTIFS(#REF!,$C645,#REF!,I$1))&gt;=1,"SIM","")</f>
        <v>#REF!</v>
      </c>
      <c r="J645" s="5" t="e">
        <f>IF((COUNTIFS(#REF!,$C645,#REF!,J$1))&gt;=1,"SIM","")</f>
        <v>#REF!</v>
      </c>
      <c r="K645" s="5" t="e">
        <f>IF((COUNTIFS(#REF!,$C645,#REF!,K$1))&gt;=1,"SIM","")</f>
        <v>#REF!</v>
      </c>
      <c r="L645" s="5" t="e">
        <f>IF((COUNTIFS(#REF!,$C645,#REF!,L$1))&gt;=1,"SIM","")</f>
        <v>#REF!</v>
      </c>
      <c r="M645" s="5" t="e">
        <f>IF((COUNTIFS(#REF!,$C645,#REF!,M$1))&gt;=1,"SIM","")</f>
        <v>#REF!</v>
      </c>
      <c r="N645" s="5" t="e">
        <f>IF((COUNTIFS(#REF!,$C645,#REF!,N$1))&gt;=1,"SIM","")</f>
        <v>#REF!</v>
      </c>
      <c r="O645" s="5"/>
      <c r="P645" s="5" t="e">
        <f>IF((COUNTIFS(#REF!,$C645,#REF!,P$1))&gt;=1,"SIM","")</f>
        <v>#REF!</v>
      </c>
      <c r="Q645" s="5" t="e">
        <f>IF((COUNTIFS(#REF!,$C645,#REF!,Q$1))&gt;=1,"SIM","")</f>
        <v>#REF!</v>
      </c>
      <c r="R645" s="5" t="e">
        <f>IF((COUNTIFS(#REF!,$C645,#REF!,"*CARTA*"))&gt;=1,"SIM","")</f>
        <v>#REF!</v>
      </c>
      <c r="S645" s="5" t="e">
        <f>IF((COUNTIFS(#REF!,$C645,#REF!,"*CARTA NOTIFICAÇÃO/DEVOL*"))&gt;=1,"SIM","")</f>
        <v>#REF!</v>
      </c>
      <c r="T645" s="5" t="e">
        <f>IF((COUNTIFS(#REF!,$C645,#REF!,"*LIGAÇÃO ATIVA DEV PRIN/LOC*"))&gt;=1,"SIM","")</f>
        <v>#REF!</v>
      </c>
    </row>
    <row r="646" spans="1:20">
      <c r="A646" s="24" t="s">
        <v>2153</v>
      </c>
      <c r="B646" s="24" t="s">
        <v>332</v>
      </c>
      <c r="C646" s="24" t="s">
        <v>333</v>
      </c>
      <c r="D646" s="5" t="e">
        <f>IF((COUNTIFS(#REF!,$C646,#REF!,"*163*"))&gt;=1,"SIM","")</f>
        <v>#REF!</v>
      </c>
      <c r="E646" s="5" t="e">
        <f>IF((COUNTIFS(#REF!,$C646,#REF!,E$1))&gt;=1,"SIM","")</f>
        <v>#REF!</v>
      </c>
      <c r="F646" s="5" t="e">
        <f>IF((COUNTIFS(#REF!,$C646,#REF!,F$1))&gt;=1,"SIM","")</f>
        <v>#REF!</v>
      </c>
      <c r="G646" s="5" t="e">
        <f>IF((COUNTIFS(#REF!,$C646,#REF!,"*606*"))&gt;=1,"SIM","")</f>
        <v>#REF!</v>
      </c>
      <c r="H646" s="5" t="e">
        <f>IF((COUNTIFS(#REF!,$C646,#REF!,"*605*"))&gt;=1,"SIM","")</f>
        <v>#REF!</v>
      </c>
      <c r="I646" s="5" t="e">
        <f>IF((COUNTIFS(#REF!,$C646,#REF!,I$1))&gt;=1,"SIM","")</f>
        <v>#REF!</v>
      </c>
      <c r="J646" s="5" t="e">
        <f>IF((COUNTIFS(#REF!,$C646,#REF!,J$1))&gt;=1,"SIM","")</f>
        <v>#REF!</v>
      </c>
      <c r="K646" s="5" t="e">
        <f>IF((COUNTIFS(#REF!,$C646,#REF!,K$1))&gt;=1,"SIM","")</f>
        <v>#REF!</v>
      </c>
      <c r="L646" s="5" t="e">
        <f>IF((COUNTIFS(#REF!,$C646,#REF!,L$1))&gt;=1,"SIM","")</f>
        <v>#REF!</v>
      </c>
      <c r="M646" s="5" t="e">
        <f>IF((COUNTIFS(#REF!,$C646,#REF!,M$1))&gt;=1,"SIM","")</f>
        <v>#REF!</v>
      </c>
      <c r="N646" s="5" t="e">
        <f>IF((COUNTIFS(#REF!,$C646,#REF!,N$1))&gt;=1,"SIM","")</f>
        <v>#REF!</v>
      </c>
      <c r="O646" s="5"/>
      <c r="P646" s="5" t="e">
        <f>IF((COUNTIFS(#REF!,$C646,#REF!,P$1))&gt;=1,"SIM","")</f>
        <v>#REF!</v>
      </c>
      <c r="Q646" s="5" t="e">
        <f>IF((COUNTIFS(#REF!,$C646,#REF!,Q$1))&gt;=1,"SIM","")</f>
        <v>#REF!</v>
      </c>
      <c r="R646" s="5" t="e">
        <f>IF((COUNTIFS(#REF!,$C646,#REF!,"*CARTA*"))&gt;=1,"SIM","")</f>
        <v>#REF!</v>
      </c>
      <c r="S646" s="5" t="e">
        <f>IF((COUNTIFS(#REF!,$C646,#REF!,"*CARTA NOTIFICAÇÃO/DEVOL*"))&gt;=1,"SIM","")</f>
        <v>#REF!</v>
      </c>
      <c r="T646" s="5" t="e">
        <f>IF((COUNTIFS(#REF!,$C646,#REF!,"*LIGAÇÃO ATIVA DEV PRIN/LOC*"))&gt;=1,"SIM","")</f>
        <v>#REF!</v>
      </c>
    </row>
    <row r="647" spans="1:20">
      <c r="A647" s="24" t="s">
        <v>2153</v>
      </c>
      <c r="B647" s="24" t="s">
        <v>330</v>
      </c>
      <c r="C647" s="24" t="s">
        <v>331</v>
      </c>
      <c r="D647" s="5" t="e">
        <f>IF((COUNTIFS(#REF!,$C647,#REF!,"*163*"))&gt;=1,"SIM","")</f>
        <v>#REF!</v>
      </c>
      <c r="E647" s="5" t="e">
        <f>IF((COUNTIFS(#REF!,$C647,#REF!,E$1))&gt;=1,"SIM","")</f>
        <v>#REF!</v>
      </c>
      <c r="F647" s="5" t="e">
        <f>IF((COUNTIFS(#REF!,$C647,#REF!,F$1))&gt;=1,"SIM","")</f>
        <v>#REF!</v>
      </c>
      <c r="G647" s="5" t="e">
        <f>IF((COUNTIFS(#REF!,$C647,#REF!,"*606*"))&gt;=1,"SIM","")</f>
        <v>#REF!</v>
      </c>
      <c r="H647" s="5" t="e">
        <f>IF((COUNTIFS(#REF!,$C647,#REF!,"*605*"))&gt;=1,"SIM","")</f>
        <v>#REF!</v>
      </c>
      <c r="I647" s="5" t="e">
        <f>IF((COUNTIFS(#REF!,$C647,#REF!,I$1))&gt;=1,"SIM","")</f>
        <v>#REF!</v>
      </c>
      <c r="J647" s="5" t="e">
        <f>IF((COUNTIFS(#REF!,$C647,#REF!,J$1))&gt;=1,"SIM","")</f>
        <v>#REF!</v>
      </c>
      <c r="K647" s="5" t="e">
        <f>IF((COUNTIFS(#REF!,$C647,#REF!,K$1))&gt;=1,"SIM","")</f>
        <v>#REF!</v>
      </c>
      <c r="L647" s="5" t="e">
        <f>IF((COUNTIFS(#REF!,$C647,#REF!,L$1))&gt;=1,"SIM","")</f>
        <v>#REF!</v>
      </c>
      <c r="M647" s="5" t="e">
        <f>IF((COUNTIFS(#REF!,$C647,#REF!,M$1))&gt;=1,"SIM","")</f>
        <v>#REF!</v>
      </c>
      <c r="N647" s="5" t="e">
        <f>IF((COUNTIFS(#REF!,$C647,#REF!,N$1))&gt;=1,"SIM","")</f>
        <v>#REF!</v>
      </c>
      <c r="O647" s="5"/>
      <c r="P647" s="5" t="e">
        <f>IF((COUNTIFS(#REF!,$C647,#REF!,P$1))&gt;=1,"SIM","")</f>
        <v>#REF!</v>
      </c>
      <c r="Q647" s="5" t="e">
        <f>IF((COUNTIFS(#REF!,$C647,#REF!,Q$1))&gt;=1,"SIM","")</f>
        <v>#REF!</v>
      </c>
      <c r="R647" s="5" t="e">
        <f>IF((COUNTIFS(#REF!,$C647,#REF!,"*CARTA*"))&gt;=1,"SIM","")</f>
        <v>#REF!</v>
      </c>
      <c r="S647" s="5" t="e">
        <f>IF((COUNTIFS(#REF!,$C647,#REF!,"*CARTA NOTIFICAÇÃO/DEVOL*"))&gt;=1,"SIM","")</f>
        <v>#REF!</v>
      </c>
      <c r="T647" s="5" t="e">
        <f>IF((COUNTIFS(#REF!,$C647,#REF!,"*LIGAÇÃO ATIVA DEV PRIN/LOC*"))&gt;=1,"SIM","")</f>
        <v>#REF!</v>
      </c>
    </row>
    <row r="648" spans="1:20">
      <c r="A648" s="24" t="s">
        <v>2153</v>
      </c>
      <c r="B648" s="24" t="s">
        <v>1200</v>
      </c>
      <c r="C648" s="24" t="s">
        <v>1201</v>
      </c>
      <c r="D648" s="5" t="e">
        <f>IF((COUNTIFS(#REF!,$C648,#REF!,"*163*"))&gt;=1,"SIM","")</f>
        <v>#REF!</v>
      </c>
      <c r="E648" s="5" t="e">
        <f>IF((COUNTIFS(#REF!,$C648,#REF!,E$1))&gt;=1,"SIM","")</f>
        <v>#REF!</v>
      </c>
      <c r="F648" s="5" t="e">
        <f>IF((COUNTIFS(#REF!,$C648,#REF!,F$1))&gt;=1,"SIM","")</f>
        <v>#REF!</v>
      </c>
      <c r="G648" s="5" t="e">
        <f>IF((COUNTIFS(#REF!,$C648,#REF!,"*606*"))&gt;=1,"SIM","")</f>
        <v>#REF!</v>
      </c>
      <c r="H648" s="5" t="e">
        <f>IF((COUNTIFS(#REF!,$C648,#REF!,"*605*"))&gt;=1,"SIM","")</f>
        <v>#REF!</v>
      </c>
      <c r="I648" s="5" t="e">
        <f>IF((COUNTIFS(#REF!,$C648,#REF!,I$1))&gt;=1,"SIM","")</f>
        <v>#REF!</v>
      </c>
      <c r="J648" s="5" t="e">
        <f>IF((COUNTIFS(#REF!,$C648,#REF!,J$1))&gt;=1,"SIM","")</f>
        <v>#REF!</v>
      </c>
      <c r="K648" s="5" t="e">
        <f>IF((COUNTIFS(#REF!,$C648,#REF!,K$1))&gt;=1,"SIM","")</f>
        <v>#REF!</v>
      </c>
      <c r="L648" s="5" t="e">
        <f>IF((COUNTIFS(#REF!,$C648,#REF!,L$1))&gt;=1,"SIM","")</f>
        <v>#REF!</v>
      </c>
      <c r="M648" s="5" t="e">
        <f>IF((COUNTIFS(#REF!,$C648,#REF!,M$1))&gt;=1,"SIM","")</f>
        <v>#REF!</v>
      </c>
      <c r="N648" s="5" t="e">
        <f>IF((COUNTIFS(#REF!,$C648,#REF!,N$1))&gt;=1,"SIM","")</f>
        <v>#REF!</v>
      </c>
      <c r="O648" s="5"/>
      <c r="P648" s="5" t="e">
        <f>IF((COUNTIFS(#REF!,$C648,#REF!,P$1))&gt;=1,"SIM","")</f>
        <v>#REF!</v>
      </c>
      <c r="Q648" s="5" t="e">
        <f>IF((COUNTIFS(#REF!,$C648,#REF!,Q$1))&gt;=1,"SIM","")</f>
        <v>#REF!</v>
      </c>
      <c r="R648" s="5" t="e">
        <f>IF((COUNTIFS(#REF!,$C648,#REF!,"*CARTA*"))&gt;=1,"SIM","")</f>
        <v>#REF!</v>
      </c>
      <c r="S648" s="5" t="e">
        <f>IF((COUNTIFS(#REF!,$C648,#REF!,"*CARTA NOTIFICAÇÃO/DEVOL*"))&gt;=1,"SIM","")</f>
        <v>#REF!</v>
      </c>
      <c r="T648" s="5" t="e">
        <f>IF((COUNTIFS(#REF!,$C648,#REF!,"*LIGAÇÃO ATIVA DEV PRIN/LOC*"))&gt;=1,"SIM","")</f>
        <v>#REF!</v>
      </c>
    </row>
    <row r="649" spans="1:20">
      <c r="A649" s="24" t="s">
        <v>2153</v>
      </c>
      <c r="B649" s="24" t="s">
        <v>638</v>
      </c>
      <c r="C649" s="24" t="s">
        <v>639</v>
      </c>
      <c r="D649" s="5" t="e">
        <f>IF((COUNTIFS(#REF!,$C649,#REF!,"*163*"))&gt;=1,"SIM","")</f>
        <v>#REF!</v>
      </c>
      <c r="E649" s="5" t="e">
        <f>IF((COUNTIFS(#REF!,$C649,#REF!,E$1))&gt;=1,"SIM","")</f>
        <v>#REF!</v>
      </c>
      <c r="F649" s="5" t="e">
        <f>IF((COUNTIFS(#REF!,$C649,#REF!,F$1))&gt;=1,"SIM","")</f>
        <v>#REF!</v>
      </c>
      <c r="G649" s="5" t="e">
        <f>IF((COUNTIFS(#REF!,$C649,#REF!,"*606*"))&gt;=1,"SIM","")</f>
        <v>#REF!</v>
      </c>
      <c r="H649" s="5" t="e">
        <f>IF((COUNTIFS(#REF!,$C649,#REF!,"*605*"))&gt;=1,"SIM","")</f>
        <v>#REF!</v>
      </c>
      <c r="I649" s="5" t="e">
        <f>IF((COUNTIFS(#REF!,$C649,#REF!,I$1))&gt;=1,"SIM","")</f>
        <v>#REF!</v>
      </c>
      <c r="J649" s="5" t="e">
        <f>IF((COUNTIFS(#REF!,$C649,#REF!,J$1))&gt;=1,"SIM","")</f>
        <v>#REF!</v>
      </c>
      <c r="K649" s="5" t="e">
        <f>IF((COUNTIFS(#REF!,$C649,#REF!,K$1))&gt;=1,"SIM","")</f>
        <v>#REF!</v>
      </c>
      <c r="L649" s="5" t="e">
        <f>IF((COUNTIFS(#REF!,$C649,#REF!,L$1))&gt;=1,"SIM","")</f>
        <v>#REF!</v>
      </c>
      <c r="M649" s="5" t="e">
        <f>IF((COUNTIFS(#REF!,$C649,#REF!,M$1))&gt;=1,"SIM","")</f>
        <v>#REF!</v>
      </c>
      <c r="N649" s="5" t="e">
        <f>IF((COUNTIFS(#REF!,$C649,#REF!,N$1))&gt;=1,"SIM","")</f>
        <v>#REF!</v>
      </c>
      <c r="O649" s="5"/>
      <c r="P649" s="5" t="e">
        <f>IF((COUNTIFS(#REF!,$C649,#REF!,P$1))&gt;=1,"SIM","")</f>
        <v>#REF!</v>
      </c>
      <c r="Q649" s="5" t="e">
        <f>IF((COUNTIFS(#REF!,$C649,#REF!,Q$1))&gt;=1,"SIM","")</f>
        <v>#REF!</v>
      </c>
      <c r="R649" s="5" t="e">
        <f>IF((COUNTIFS(#REF!,$C649,#REF!,"*CARTA*"))&gt;=1,"SIM","")</f>
        <v>#REF!</v>
      </c>
      <c r="S649" s="5" t="e">
        <f>IF((COUNTIFS(#REF!,$C649,#REF!,"*CARTA NOTIFICAÇÃO/DEVOL*"))&gt;=1,"SIM","")</f>
        <v>#REF!</v>
      </c>
      <c r="T649" s="5" t="e">
        <f>IF((COUNTIFS(#REF!,$C649,#REF!,"*LIGAÇÃO ATIVA DEV PRIN/LOC*"))&gt;=1,"SIM","")</f>
        <v>#REF!</v>
      </c>
    </row>
    <row r="650" spans="1:20">
      <c r="A650" s="24" t="s">
        <v>2158</v>
      </c>
      <c r="B650" s="24" t="s">
        <v>820</v>
      </c>
      <c r="C650" s="24" t="s">
        <v>821</v>
      </c>
      <c r="D650" s="5" t="e">
        <f>IF((COUNTIFS(#REF!,$C650,#REF!,"*163*"))&gt;=1,"SIM","")</f>
        <v>#REF!</v>
      </c>
      <c r="E650" s="5" t="e">
        <f>IF((COUNTIFS(#REF!,$C650,#REF!,E$1))&gt;=1,"SIM","")</f>
        <v>#REF!</v>
      </c>
      <c r="F650" s="5" t="e">
        <f>IF((COUNTIFS(#REF!,$C650,#REF!,F$1))&gt;=1,"SIM","")</f>
        <v>#REF!</v>
      </c>
      <c r="G650" s="5" t="e">
        <f>IF((COUNTIFS(#REF!,$C650,#REF!,"*606*"))&gt;=1,"SIM","")</f>
        <v>#REF!</v>
      </c>
      <c r="H650" s="5" t="e">
        <f>IF((COUNTIFS(#REF!,$C650,#REF!,"*605*"))&gt;=1,"SIM","")</f>
        <v>#REF!</v>
      </c>
      <c r="I650" s="5" t="e">
        <f>IF((COUNTIFS(#REF!,$C650,#REF!,I$1))&gt;=1,"SIM","")</f>
        <v>#REF!</v>
      </c>
      <c r="J650" s="5" t="e">
        <f>IF((COUNTIFS(#REF!,$C650,#REF!,J$1))&gt;=1,"SIM","")</f>
        <v>#REF!</v>
      </c>
      <c r="K650" s="5" t="e">
        <f>IF((COUNTIFS(#REF!,$C650,#REF!,K$1))&gt;=1,"SIM","")</f>
        <v>#REF!</v>
      </c>
      <c r="L650" s="5" t="e">
        <f>IF((COUNTIFS(#REF!,$C650,#REF!,L$1))&gt;=1,"SIM","")</f>
        <v>#REF!</v>
      </c>
      <c r="M650" s="5" t="e">
        <f>IF((COUNTIFS(#REF!,$C650,#REF!,M$1))&gt;=1,"SIM","")</f>
        <v>#REF!</v>
      </c>
      <c r="N650" s="5" t="e">
        <f>IF((COUNTIFS(#REF!,$C650,#REF!,N$1))&gt;=1,"SIM","")</f>
        <v>#REF!</v>
      </c>
      <c r="O650" s="5"/>
      <c r="P650" s="5" t="e">
        <f>IF((COUNTIFS(#REF!,$C650,#REF!,P$1))&gt;=1,"SIM","")</f>
        <v>#REF!</v>
      </c>
      <c r="Q650" s="5" t="e">
        <f>IF((COUNTIFS(#REF!,$C650,#REF!,Q$1))&gt;=1,"SIM","")</f>
        <v>#REF!</v>
      </c>
      <c r="R650" s="5" t="e">
        <f>IF((COUNTIFS(#REF!,$C650,#REF!,"*CARTA*"))&gt;=1,"SIM","")</f>
        <v>#REF!</v>
      </c>
      <c r="S650" s="5" t="e">
        <f>IF((COUNTIFS(#REF!,$C650,#REF!,"*CARTA NOTIFICAÇÃO/DEVOL*"))&gt;=1,"SIM","")</f>
        <v>#REF!</v>
      </c>
      <c r="T650" s="5" t="e">
        <f>IF((COUNTIFS(#REF!,$C650,#REF!,"*LIGAÇÃO ATIVA DEV PRIN/LOC*"))&gt;=1,"SIM","")</f>
        <v>#REF!</v>
      </c>
    </row>
    <row r="651" spans="1:20">
      <c r="A651" s="24" t="s">
        <v>2153</v>
      </c>
      <c r="B651" s="24" t="s">
        <v>934</v>
      </c>
      <c r="C651" s="24" t="s">
        <v>935</v>
      </c>
      <c r="D651" s="5" t="e">
        <f>IF((COUNTIFS(#REF!,$C651,#REF!,"*163*"))&gt;=1,"SIM","")</f>
        <v>#REF!</v>
      </c>
      <c r="E651" s="5" t="e">
        <f>IF((COUNTIFS(#REF!,$C651,#REF!,E$1))&gt;=1,"SIM","")</f>
        <v>#REF!</v>
      </c>
      <c r="F651" s="5" t="e">
        <f>IF((COUNTIFS(#REF!,$C651,#REF!,F$1))&gt;=1,"SIM","")</f>
        <v>#REF!</v>
      </c>
      <c r="G651" s="5" t="e">
        <f>IF((COUNTIFS(#REF!,$C651,#REF!,"*606*"))&gt;=1,"SIM","")</f>
        <v>#REF!</v>
      </c>
      <c r="H651" s="5" t="e">
        <f>IF((COUNTIFS(#REF!,$C651,#REF!,"*605*"))&gt;=1,"SIM","")</f>
        <v>#REF!</v>
      </c>
      <c r="I651" s="5" t="e">
        <f>IF((COUNTIFS(#REF!,$C651,#REF!,I$1))&gt;=1,"SIM","")</f>
        <v>#REF!</v>
      </c>
      <c r="J651" s="5" t="e">
        <f>IF((COUNTIFS(#REF!,$C651,#REF!,J$1))&gt;=1,"SIM","")</f>
        <v>#REF!</v>
      </c>
      <c r="K651" s="5" t="e">
        <f>IF((COUNTIFS(#REF!,$C651,#REF!,K$1))&gt;=1,"SIM","")</f>
        <v>#REF!</v>
      </c>
      <c r="L651" s="5" t="e">
        <f>IF((COUNTIFS(#REF!,$C651,#REF!,L$1))&gt;=1,"SIM","")</f>
        <v>#REF!</v>
      </c>
      <c r="M651" s="5" t="e">
        <f>IF((COUNTIFS(#REF!,$C651,#REF!,M$1))&gt;=1,"SIM","")</f>
        <v>#REF!</v>
      </c>
      <c r="N651" s="5" t="e">
        <f>IF((COUNTIFS(#REF!,$C651,#REF!,N$1))&gt;=1,"SIM","")</f>
        <v>#REF!</v>
      </c>
      <c r="O651" s="5"/>
      <c r="P651" s="5" t="e">
        <f>IF((COUNTIFS(#REF!,$C651,#REF!,P$1))&gt;=1,"SIM","")</f>
        <v>#REF!</v>
      </c>
      <c r="Q651" s="5" t="e">
        <f>IF((COUNTIFS(#REF!,$C651,#REF!,Q$1))&gt;=1,"SIM","")</f>
        <v>#REF!</v>
      </c>
      <c r="R651" s="5" t="e">
        <f>IF((COUNTIFS(#REF!,$C651,#REF!,"*CARTA*"))&gt;=1,"SIM","")</f>
        <v>#REF!</v>
      </c>
      <c r="S651" s="5" t="e">
        <f>IF((COUNTIFS(#REF!,$C651,#REF!,"*CARTA NOTIFICAÇÃO/DEVOL*"))&gt;=1,"SIM","")</f>
        <v>#REF!</v>
      </c>
      <c r="T651" s="5" t="e">
        <f>IF((COUNTIFS(#REF!,$C651,#REF!,"*LIGAÇÃO ATIVA DEV PRIN/LOC*"))&gt;=1,"SIM","")</f>
        <v>#REF!</v>
      </c>
    </row>
    <row r="652" spans="1:20">
      <c r="A652" s="24" t="s">
        <v>2153</v>
      </c>
      <c r="B652" s="24" t="s">
        <v>1206</v>
      </c>
      <c r="C652" s="24" t="s">
        <v>1207</v>
      </c>
      <c r="D652" s="5" t="e">
        <f>IF((COUNTIFS(#REF!,$C652,#REF!,"*163*"))&gt;=1,"SIM","")</f>
        <v>#REF!</v>
      </c>
      <c r="E652" s="5" t="e">
        <f>IF((COUNTIFS(#REF!,$C652,#REF!,E$1))&gt;=1,"SIM","")</f>
        <v>#REF!</v>
      </c>
      <c r="F652" s="5" t="e">
        <f>IF((COUNTIFS(#REF!,$C652,#REF!,F$1))&gt;=1,"SIM","")</f>
        <v>#REF!</v>
      </c>
      <c r="G652" s="5" t="e">
        <f>IF((COUNTIFS(#REF!,$C652,#REF!,"*606*"))&gt;=1,"SIM","")</f>
        <v>#REF!</v>
      </c>
      <c r="H652" s="5" t="e">
        <f>IF((COUNTIFS(#REF!,$C652,#REF!,"*605*"))&gt;=1,"SIM","")</f>
        <v>#REF!</v>
      </c>
      <c r="I652" s="5" t="e">
        <f>IF((COUNTIFS(#REF!,$C652,#REF!,I$1))&gt;=1,"SIM","")</f>
        <v>#REF!</v>
      </c>
      <c r="J652" s="5" t="e">
        <f>IF((COUNTIFS(#REF!,$C652,#REF!,J$1))&gt;=1,"SIM","")</f>
        <v>#REF!</v>
      </c>
      <c r="K652" s="5" t="e">
        <f>IF((COUNTIFS(#REF!,$C652,#REF!,K$1))&gt;=1,"SIM","")</f>
        <v>#REF!</v>
      </c>
      <c r="L652" s="5" t="e">
        <f>IF((COUNTIFS(#REF!,$C652,#REF!,L$1))&gt;=1,"SIM","")</f>
        <v>#REF!</v>
      </c>
      <c r="M652" s="5" t="e">
        <f>IF((COUNTIFS(#REF!,$C652,#REF!,M$1))&gt;=1,"SIM","")</f>
        <v>#REF!</v>
      </c>
      <c r="N652" s="5" t="e">
        <f>IF((COUNTIFS(#REF!,$C652,#REF!,N$1))&gt;=1,"SIM","")</f>
        <v>#REF!</v>
      </c>
      <c r="O652" s="5"/>
      <c r="P652" s="5" t="e">
        <f>IF((COUNTIFS(#REF!,$C652,#REF!,P$1))&gt;=1,"SIM","")</f>
        <v>#REF!</v>
      </c>
      <c r="Q652" s="5" t="e">
        <f>IF((COUNTIFS(#REF!,$C652,#REF!,Q$1))&gt;=1,"SIM","")</f>
        <v>#REF!</v>
      </c>
      <c r="R652" s="5" t="e">
        <f>IF((COUNTIFS(#REF!,$C652,#REF!,"*CARTA*"))&gt;=1,"SIM","")</f>
        <v>#REF!</v>
      </c>
      <c r="S652" s="5" t="e">
        <f>IF((COUNTIFS(#REF!,$C652,#REF!,"*CARTA NOTIFICAÇÃO/DEVOL*"))&gt;=1,"SIM","")</f>
        <v>#REF!</v>
      </c>
      <c r="T652" s="5" t="e">
        <f>IF((COUNTIFS(#REF!,$C652,#REF!,"*LIGAÇÃO ATIVA DEV PRIN/LOC*"))&gt;=1,"SIM","")</f>
        <v>#REF!</v>
      </c>
    </row>
    <row r="653" spans="1:20">
      <c r="A653" s="24" t="s">
        <v>2153</v>
      </c>
      <c r="B653" s="24" t="s">
        <v>437</v>
      </c>
      <c r="C653" s="24" t="s">
        <v>438</v>
      </c>
      <c r="D653" s="5" t="e">
        <f>IF((COUNTIFS(#REF!,$C653,#REF!,"*163*"))&gt;=1,"SIM","")</f>
        <v>#REF!</v>
      </c>
      <c r="E653" s="5" t="e">
        <f>IF((COUNTIFS(#REF!,$C653,#REF!,E$1))&gt;=1,"SIM","")</f>
        <v>#REF!</v>
      </c>
      <c r="F653" s="5" t="e">
        <f>IF((COUNTIFS(#REF!,$C653,#REF!,F$1))&gt;=1,"SIM","")</f>
        <v>#REF!</v>
      </c>
      <c r="G653" s="5" t="e">
        <f>IF((COUNTIFS(#REF!,$C653,#REF!,"*606*"))&gt;=1,"SIM","")</f>
        <v>#REF!</v>
      </c>
      <c r="H653" s="5" t="e">
        <f>IF((COUNTIFS(#REF!,$C653,#REF!,"*605*"))&gt;=1,"SIM","")</f>
        <v>#REF!</v>
      </c>
      <c r="I653" s="5" t="e">
        <f>IF((COUNTIFS(#REF!,$C653,#REF!,I$1))&gt;=1,"SIM","")</f>
        <v>#REF!</v>
      </c>
      <c r="J653" s="5" t="e">
        <f>IF((COUNTIFS(#REF!,$C653,#REF!,J$1))&gt;=1,"SIM","")</f>
        <v>#REF!</v>
      </c>
      <c r="K653" s="5" t="e">
        <f>IF((COUNTIFS(#REF!,$C653,#REF!,K$1))&gt;=1,"SIM","")</f>
        <v>#REF!</v>
      </c>
      <c r="L653" s="5" t="e">
        <f>IF((COUNTIFS(#REF!,$C653,#REF!,L$1))&gt;=1,"SIM","")</f>
        <v>#REF!</v>
      </c>
      <c r="M653" s="5" t="e">
        <f>IF((COUNTIFS(#REF!,$C653,#REF!,M$1))&gt;=1,"SIM","")</f>
        <v>#REF!</v>
      </c>
      <c r="N653" s="5" t="e">
        <f>IF((COUNTIFS(#REF!,$C653,#REF!,N$1))&gt;=1,"SIM","")</f>
        <v>#REF!</v>
      </c>
      <c r="O653" s="5"/>
      <c r="P653" s="5" t="e">
        <f>IF((COUNTIFS(#REF!,$C653,#REF!,P$1))&gt;=1,"SIM","")</f>
        <v>#REF!</v>
      </c>
      <c r="Q653" s="5" t="e">
        <f>IF((COUNTIFS(#REF!,$C653,#REF!,Q$1))&gt;=1,"SIM","")</f>
        <v>#REF!</v>
      </c>
      <c r="R653" s="5" t="e">
        <f>IF((COUNTIFS(#REF!,$C653,#REF!,"*CARTA*"))&gt;=1,"SIM","")</f>
        <v>#REF!</v>
      </c>
      <c r="S653" s="5" t="e">
        <f>IF((COUNTIFS(#REF!,$C653,#REF!,"*CARTA NOTIFICAÇÃO/DEVOL*"))&gt;=1,"SIM","")</f>
        <v>#REF!</v>
      </c>
      <c r="T653" s="5" t="e">
        <f>IF((COUNTIFS(#REF!,$C653,#REF!,"*LIGAÇÃO ATIVA DEV PRIN/LOC*"))&gt;=1,"SIM","")</f>
        <v>#REF!</v>
      </c>
    </row>
    <row r="654" spans="1:20">
      <c r="A654" s="24" t="s">
        <v>2153</v>
      </c>
      <c r="B654" s="24" t="s">
        <v>376</v>
      </c>
      <c r="C654" s="24" t="s">
        <v>377</v>
      </c>
      <c r="D654" s="5" t="e">
        <f>IF((COUNTIFS(#REF!,$C654,#REF!,"*163*"))&gt;=1,"SIM","")</f>
        <v>#REF!</v>
      </c>
      <c r="E654" s="5" t="e">
        <f>IF((COUNTIFS(#REF!,$C654,#REF!,E$1))&gt;=1,"SIM","")</f>
        <v>#REF!</v>
      </c>
      <c r="F654" s="5" t="e">
        <f>IF((COUNTIFS(#REF!,$C654,#REF!,F$1))&gt;=1,"SIM","")</f>
        <v>#REF!</v>
      </c>
      <c r="G654" s="5" t="e">
        <f>IF((COUNTIFS(#REF!,$C654,#REF!,"*606*"))&gt;=1,"SIM","")</f>
        <v>#REF!</v>
      </c>
      <c r="H654" s="5" t="e">
        <f>IF((COUNTIFS(#REF!,$C654,#REF!,"*605*"))&gt;=1,"SIM","")</f>
        <v>#REF!</v>
      </c>
      <c r="I654" s="5" t="e">
        <f>IF((COUNTIFS(#REF!,$C654,#REF!,I$1))&gt;=1,"SIM","")</f>
        <v>#REF!</v>
      </c>
      <c r="J654" s="5" t="e">
        <f>IF((COUNTIFS(#REF!,$C654,#REF!,J$1))&gt;=1,"SIM","")</f>
        <v>#REF!</v>
      </c>
      <c r="K654" s="5" t="e">
        <f>IF((COUNTIFS(#REF!,$C654,#REF!,K$1))&gt;=1,"SIM","")</f>
        <v>#REF!</v>
      </c>
      <c r="L654" s="5" t="e">
        <f>IF((COUNTIFS(#REF!,$C654,#REF!,L$1))&gt;=1,"SIM","")</f>
        <v>#REF!</v>
      </c>
      <c r="M654" s="5" t="e">
        <f>IF((COUNTIFS(#REF!,$C654,#REF!,M$1))&gt;=1,"SIM","")</f>
        <v>#REF!</v>
      </c>
      <c r="N654" s="5" t="e">
        <f>IF((COUNTIFS(#REF!,$C654,#REF!,N$1))&gt;=1,"SIM","")</f>
        <v>#REF!</v>
      </c>
      <c r="O654" s="5"/>
      <c r="P654" s="5" t="e">
        <f>IF((COUNTIFS(#REF!,$C654,#REF!,P$1))&gt;=1,"SIM","")</f>
        <v>#REF!</v>
      </c>
      <c r="Q654" s="5" t="e">
        <f>IF((COUNTIFS(#REF!,$C654,#REF!,Q$1))&gt;=1,"SIM","")</f>
        <v>#REF!</v>
      </c>
      <c r="R654" s="5" t="e">
        <f>IF((COUNTIFS(#REF!,$C654,#REF!,"*CARTA*"))&gt;=1,"SIM","")</f>
        <v>#REF!</v>
      </c>
      <c r="S654" s="5" t="e">
        <f>IF((COUNTIFS(#REF!,$C654,#REF!,"*CARTA NOTIFICAÇÃO/DEVOL*"))&gt;=1,"SIM","")</f>
        <v>#REF!</v>
      </c>
      <c r="T654" s="5" t="e">
        <f>IF((COUNTIFS(#REF!,$C654,#REF!,"*LIGAÇÃO ATIVA DEV PRIN/LOC*"))&gt;=1,"SIM","")</f>
        <v>#REF!</v>
      </c>
    </row>
    <row r="655" spans="1:20">
      <c r="A655" s="24" t="s">
        <v>2159</v>
      </c>
      <c r="B655" s="24" t="s">
        <v>1848</v>
      </c>
      <c r="C655" s="24" t="s">
        <v>1849</v>
      </c>
      <c r="D655" s="5" t="e">
        <f>IF((COUNTIFS(#REF!,$C655,#REF!,"*163*"))&gt;=1,"SIM","")</f>
        <v>#REF!</v>
      </c>
      <c r="E655" s="5" t="e">
        <f>IF((COUNTIFS(#REF!,$C655,#REF!,E$1))&gt;=1,"SIM","")</f>
        <v>#REF!</v>
      </c>
      <c r="F655" s="5" t="e">
        <f>IF((COUNTIFS(#REF!,$C655,#REF!,F$1))&gt;=1,"SIM","")</f>
        <v>#REF!</v>
      </c>
      <c r="G655" s="5" t="e">
        <f>IF((COUNTIFS(#REF!,$C655,#REF!,"*606*"))&gt;=1,"SIM","")</f>
        <v>#REF!</v>
      </c>
      <c r="H655" s="5" t="e">
        <f>IF((COUNTIFS(#REF!,$C655,#REF!,"*605*"))&gt;=1,"SIM","")</f>
        <v>#REF!</v>
      </c>
      <c r="I655" s="5" t="e">
        <f>IF((COUNTIFS(#REF!,$C655,#REF!,I$1))&gt;=1,"SIM","")</f>
        <v>#REF!</v>
      </c>
      <c r="J655" s="5" t="e">
        <f>IF((COUNTIFS(#REF!,$C655,#REF!,J$1))&gt;=1,"SIM","")</f>
        <v>#REF!</v>
      </c>
      <c r="K655" s="5" t="e">
        <f>IF((COUNTIFS(#REF!,$C655,#REF!,K$1))&gt;=1,"SIM","")</f>
        <v>#REF!</v>
      </c>
      <c r="L655" s="5" t="e">
        <f>IF((COUNTIFS(#REF!,$C655,#REF!,L$1))&gt;=1,"SIM","")</f>
        <v>#REF!</v>
      </c>
      <c r="M655" s="5" t="e">
        <f>IF((COUNTIFS(#REF!,$C655,#REF!,M$1))&gt;=1,"SIM","")</f>
        <v>#REF!</v>
      </c>
      <c r="N655" s="5" t="e">
        <f>IF((COUNTIFS(#REF!,$C655,#REF!,N$1))&gt;=1,"SIM","")</f>
        <v>#REF!</v>
      </c>
      <c r="O655" s="5"/>
      <c r="P655" s="5" t="e">
        <f>IF((COUNTIFS(#REF!,$C655,#REF!,P$1))&gt;=1,"SIM","")</f>
        <v>#REF!</v>
      </c>
      <c r="Q655" s="5" t="e">
        <f>IF((COUNTIFS(#REF!,$C655,#REF!,Q$1))&gt;=1,"SIM","")</f>
        <v>#REF!</v>
      </c>
      <c r="R655" s="5" t="e">
        <f>IF((COUNTIFS(#REF!,$C655,#REF!,"*CARTA*"))&gt;=1,"SIM","")</f>
        <v>#REF!</v>
      </c>
      <c r="S655" s="5" t="e">
        <f>IF((COUNTIFS(#REF!,$C655,#REF!,"*CARTA NOTIFICAÇÃO/DEVOL*"))&gt;=1,"SIM","")</f>
        <v>#REF!</v>
      </c>
      <c r="T655" s="5" t="e">
        <f>IF((COUNTIFS(#REF!,$C655,#REF!,"*LIGAÇÃO ATIVA DEV PRIN/LOC*"))&gt;=1,"SIM","")</f>
        <v>#REF!</v>
      </c>
    </row>
    <row r="656" spans="1:20">
      <c r="A656" s="24" t="s">
        <v>2153</v>
      </c>
      <c r="B656" s="24" t="s">
        <v>736</v>
      </c>
      <c r="C656" s="24" t="s">
        <v>737</v>
      </c>
      <c r="D656" s="5" t="e">
        <f>IF((COUNTIFS(#REF!,$C656,#REF!,"*163*"))&gt;=1,"SIM","")</f>
        <v>#REF!</v>
      </c>
      <c r="E656" s="5" t="e">
        <f>IF((COUNTIFS(#REF!,$C656,#REF!,E$1))&gt;=1,"SIM","")</f>
        <v>#REF!</v>
      </c>
      <c r="F656" s="5" t="e">
        <f>IF((COUNTIFS(#REF!,$C656,#REF!,F$1))&gt;=1,"SIM","")</f>
        <v>#REF!</v>
      </c>
      <c r="G656" s="5" t="e">
        <f>IF((COUNTIFS(#REF!,$C656,#REF!,"*606*"))&gt;=1,"SIM","")</f>
        <v>#REF!</v>
      </c>
      <c r="H656" s="5" t="e">
        <f>IF((COUNTIFS(#REF!,$C656,#REF!,"*605*"))&gt;=1,"SIM","")</f>
        <v>#REF!</v>
      </c>
      <c r="I656" s="5" t="e">
        <f>IF((COUNTIFS(#REF!,$C656,#REF!,I$1))&gt;=1,"SIM","")</f>
        <v>#REF!</v>
      </c>
      <c r="J656" s="5" t="e">
        <f>IF((COUNTIFS(#REF!,$C656,#REF!,J$1))&gt;=1,"SIM","")</f>
        <v>#REF!</v>
      </c>
      <c r="K656" s="5" t="e">
        <f>IF((COUNTIFS(#REF!,$C656,#REF!,K$1))&gt;=1,"SIM","")</f>
        <v>#REF!</v>
      </c>
      <c r="L656" s="5" t="e">
        <f>IF((COUNTIFS(#REF!,$C656,#REF!,L$1))&gt;=1,"SIM","")</f>
        <v>#REF!</v>
      </c>
      <c r="M656" s="5" t="e">
        <f>IF((COUNTIFS(#REF!,$C656,#REF!,M$1))&gt;=1,"SIM","")</f>
        <v>#REF!</v>
      </c>
      <c r="N656" s="5" t="e">
        <f>IF((COUNTIFS(#REF!,$C656,#REF!,N$1))&gt;=1,"SIM","")</f>
        <v>#REF!</v>
      </c>
      <c r="O656" s="5"/>
      <c r="P656" s="5" t="e">
        <f>IF((COUNTIFS(#REF!,$C656,#REF!,P$1))&gt;=1,"SIM","")</f>
        <v>#REF!</v>
      </c>
      <c r="Q656" s="5" t="e">
        <f>IF((COUNTIFS(#REF!,$C656,#REF!,Q$1))&gt;=1,"SIM","")</f>
        <v>#REF!</v>
      </c>
      <c r="R656" s="5" t="e">
        <f>IF((COUNTIFS(#REF!,$C656,#REF!,"*CARTA*"))&gt;=1,"SIM","")</f>
        <v>#REF!</v>
      </c>
      <c r="S656" s="5" t="e">
        <f>IF((COUNTIFS(#REF!,$C656,#REF!,"*CARTA NOTIFICAÇÃO/DEVOL*"))&gt;=1,"SIM","")</f>
        <v>#REF!</v>
      </c>
      <c r="T656" s="5" t="e">
        <f>IF((COUNTIFS(#REF!,$C656,#REF!,"*LIGAÇÃO ATIVA DEV PRIN/LOC*"))&gt;=1,"SIM","")</f>
        <v>#REF!</v>
      </c>
    </row>
    <row r="657" spans="1:20">
      <c r="A657" s="24" t="s">
        <v>2157</v>
      </c>
      <c r="B657" s="24" t="s">
        <v>1852</v>
      </c>
      <c r="C657" s="24" t="s">
        <v>1853</v>
      </c>
      <c r="D657" s="5" t="e">
        <f>IF((COUNTIFS(#REF!,$C657,#REF!,"*163*"))&gt;=1,"SIM","")</f>
        <v>#REF!</v>
      </c>
      <c r="E657" s="5" t="e">
        <f>IF((COUNTIFS(#REF!,$C657,#REF!,E$1))&gt;=1,"SIM","")</f>
        <v>#REF!</v>
      </c>
      <c r="F657" s="5" t="e">
        <f>IF((COUNTIFS(#REF!,$C657,#REF!,F$1))&gt;=1,"SIM","")</f>
        <v>#REF!</v>
      </c>
      <c r="G657" s="5" t="e">
        <f>IF((COUNTIFS(#REF!,$C657,#REF!,"*606*"))&gt;=1,"SIM","")</f>
        <v>#REF!</v>
      </c>
      <c r="H657" s="5" t="e">
        <f>IF((COUNTIFS(#REF!,$C657,#REF!,"*605*"))&gt;=1,"SIM","")</f>
        <v>#REF!</v>
      </c>
      <c r="I657" s="5" t="e">
        <f>IF((COUNTIFS(#REF!,$C657,#REF!,I$1))&gt;=1,"SIM","")</f>
        <v>#REF!</v>
      </c>
      <c r="J657" s="5" t="e">
        <f>IF((COUNTIFS(#REF!,$C657,#REF!,J$1))&gt;=1,"SIM","")</f>
        <v>#REF!</v>
      </c>
      <c r="K657" s="5" t="e">
        <f>IF((COUNTIFS(#REF!,$C657,#REF!,K$1))&gt;=1,"SIM","")</f>
        <v>#REF!</v>
      </c>
      <c r="L657" s="5" t="e">
        <f>IF((COUNTIFS(#REF!,$C657,#REF!,L$1))&gt;=1,"SIM","")</f>
        <v>#REF!</v>
      </c>
      <c r="M657" s="5" t="e">
        <f>IF((COUNTIFS(#REF!,$C657,#REF!,M$1))&gt;=1,"SIM","")</f>
        <v>#REF!</v>
      </c>
      <c r="N657" s="5" t="e">
        <f>IF((COUNTIFS(#REF!,$C657,#REF!,N$1))&gt;=1,"SIM","")</f>
        <v>#REF!</v>
      </c>
      <c r="O657" s="5"/>
      <c r="P657" s="5" t="e">
        <f>IF((COUNTIFS(#REF!,$C657,#REF!,P$1))&gt;=1,"SIM","")</f>
        <v>#REF!</v>
      </c>
      <c r="Q657" s="5" t="e">
        <f>IF((COUNTIFS(#REF!,$C657,#REF!,Q$1))&gt;=1,"SIM","")</f>
        <v>#REF!</v>
      </c>
      <c r="R657" s="5" t="e">
        <f>IF((COUNTIFS(#REF!,$C657,#REF!,"*CARTA*"))&gt;=1,"SIM","")</f>
        <v>#REF!</v>
      </c>
      <c r="S657" s="5" t="e">
        <f>IF((COUNTIFS(#REF!,$C657,#REF!,"*CARTA NOTIFICAÇÃO/DEVOL*"))&gt;=1,"SIM","")</f>
        <v>#REF!</v>
      </c>
      <c r="T657" s="5" t="e">
        <f>IF((COUNTIFS(#REF!,$C657,#REF!,"*LIGAÇÃO ATIVA DEV PRIN/LOC*"))&gt;=1,"SIM","")</f>
        <v>#REF!</v>
      </c>
    </row>
    <row r="658" spans="1:20">
      <c r="A658" s="24" t="s">
        <v>2158</v>
      </c>
      <c r="B658" s="24" t="s">
        <v>1992</v>
      </c>
      <c r="C658" s="24" t="s">
        <v>1993</v>
      </c>
      <c r="D658" s="5" t="e">
        <f>IF((COUNTIFS(#REF!,$C658,#REF!,"*163*"))&gt;=1,"SIM","")</f>
        <v>#REF!</v>
      </c>
      <c r="E658" s="5" t="e">
        <f>IF((COUNTIFS(#REF!,$C658,#REF!,E$1))&gt;=1,"SIM","")</f>
        <v>#REF!</v>
      </c>
      <c r="F658" s="5" t="e">
        <f>IF((COUNTIFS(#REF!,$C658,#REF!,F$1))&gt;=1,"SIM","")</f>
        <v>#REF!</v>
      </c>
      <c r="G658" s="5" t="e">
        <f>IF((COUNTIFS(#REF!,$C658,#REF!,"*606*"))&gt;=1,"SIM","")</f>
        <v>#REF!</v>
      </c>
      <c r="H658" s="5" t="e">
        <f>IF((COUNTIFS(#REF!,$C658,#REF!,"*605*"))&gt;=1,"SIM","")</f>
        <v>#REF!</v>
      </c>
      <c r="I658" s="5" t="e">
        <f>IF((COUNTIFS(#REF!,$C658,#REF!,I$1))&gt;=1,"SIM","")</f>
        <v>#REF!</v>
      </c>
      <c r="J658" s="5" t="e">
        <f>IF((COUNTIFS(#REF!,$C658,#REF!,J$1))&gt;=1,"SIM","")</f>
        <v>#REF!</v>
      </c>
      <c r="K658" s="5" t="e">
        <f>IF((COUNTIFS(#REF!,$C658,#REF!,K$1))&gt;=1,"SIM","")</f>
        <v>#REF!</v>
      </c>
      <c r="L658" s="5" t="e">
        <f>IF((COUNTIFS(#REF!,$C658,#REF!,L$1))&gt;=1,"SIM","")</f>
        <v>#REF!</v>
      </c>
      <c r="M658" s="5" t="e">
        <f>IF((COUNTIFS(#REF!,$C658,#REF!,M$1))&gt;=1,"SIM","")</f>
        <v>#REF!</v>
      </c>
      <c r="N658" s="5" t="e">
        <f>IF((COUNTIFS(#REF!,$C658,#REF!,N$1))&gt;=1,"SIM","")</f>
        <v>#REF!</v>
      </c>
      <c r="O658" s="5"/>
      <c r="P658" s="5" t="e">
        <f>IF((COUNTIFS(#REF!,$C658,#REF!,P$1))&gt;=1,"SIM","")</f>
        <v>#REF!</v>
      </c>
      <c r="Q658" s="5" t="e">
        <f>IF((COUNTIFS(#REF!,$C658,#REF!,Q$1))&gt;=1,"SIM","")</f>
        <v>#REF!</v>
      </c>
      <c r="R658" s="5" t="e">
        <f>IF((COUNTIFS(#REF!,$C658,#REF!,"*CARTA*"))&gt;=1,"SIM","")</f>
        <v>#REF!</v>
      </c>
      <c r="S658" s="5" t="e">
        <f>IF((COUNTIFS(#REF!,$C658,#REF!,"*CARTA NOTIFICAÇÃO/DEVOL*"))&gt;=1,"SIM","")</f>
        <v>#REF!</v>
      </c>
      <c r="T658" s="5" t="e">
        <f>IF((COUNTIFS(#REF!,$C658,#REF!,"*LIGAÇÃO ATIVA DEV PRIN/LOC*"))&gt;=1,"SIM","")</f>
        <v>#REF!</v>
      </c>
    </row>
    <row r="659" spans="1:20">
      <c r="A659" s="24" t="s">
        <v>2153</v>
      </c>
      <c r="B659" s="24" t="s">
        <v>267</v>
      </c>
      <c r="C659" s="24" t="s">
        <v>268</v>
      </c>
      <c r="D659" s="5" t="e">
        <f>IF((COUNTIFS(#REF!,$C659,#REF!,"*163*"))&gt;=1,"SIM","")</f>
        <v>#REF!</v>
      </c>
      <c r="E659" s="5" t="e">
        <f>IF((COUNTIFS(#REF!,$C659,#REF!,E$1))&gt;=1,"SIM","")</f>
        <v>#REF!</v>
      </c>
      <c r="F659" s="5" t="e">
        <f>IF((COUNTIFS(#REF!,$C659,#REF!,F$1))&gt;=1,"SIM","")</f>
        <v>#REF!</v>
      </c>
      <c r="G659" s="5" t="e">
        <f>IF((COUNTIFS(#REF!,$C659,#REF!,"*606*"))&gt;=1,"SIM","")</f>
        <v>#REF!</v>
      </c>
      <c r="H659" s="5" t="e">
        <f>IF((COUNTIFS(#REF!,$C659,#REF!,"*605*"))&gt;=1,"SIM","")</f>
        <v>#REF!</v>
      </c>
      <c r="I659" s="5" t="e">
        <f>IF((COUNTIFS(#REF!,$C659,#REF!,I$1))&gt;=1,"SIM","")</f>
        <v>#REF!</v>
      </c>
      <c r="J659" s="5" t="e">
        <f>IF((COUNTIFS(#REF!,$C659,#REF!,J$1))&gt;=1,"SIM","")</f>
        <v>#REF!</v>
      </c>
      <c r="K659" s="5" t="e">
        <f>IF((COUNTIFS(#REF!,$C659,#REF!,K$1))&gt;=1,"SIM","")</f>
        <v>#REF!</v>
      </c>
      <c r="L659" s="5" t="e">
        <f>IF((COUNTIFS(#REF!,$C659,#REF!,L$1))&gt;=1,"SIM","")</f>
        <v>#REF!</v>
      </c>
      <c r="M659" s="5" t="e">
        <f>IF((COUNTIFS(#REF!,$C659,#REF!,M$1))&gt;=1,"SIM","")</f>
        <v>#REF!</v>
      </c>
      <c r="N659" s="5" t="e">
        <f>IF((COUNTIFS(#REF!,$C659,#REF!,N$1))&gt;=1,"SIM","")</f>
        <v>#REF!</v>
      </c>
      <c r="O659" s="5"/>
      <c r="P659" s="5" t="e">
        <f>IF((COUNTIFS(#REF!,$C659,#REF!,P$1))&gt;=1,"SIM","")</f>
        <v>#REF!</v>
      </c>
      <c r="Q659" s="5" t="e">
        <f>IF((COUNTIFS(#REF!,$C659,#REF!,Q$1))&gt;=1,"SIM","")</f>
        <v>#REF!</v>
      </c>
      <c r="R659" s="5" t="e">
        <f>IF((COUNTIFS(#REF!,$C659,#REF!,"*CARTA*"))&gt;=1,"SIM","")</f>
        <v>#REF!</v>
      </c>
      <c r="S659" s="5" t="e">
        <f>IF((COUNTIFS(#REF!,$C659,#REF!,"*CARTA NOTIFICAÇÃO/DEVOL*"))&gt;=1,"SIM","")</f>
        <v>#REF!</v>
      </c>
      <c r="T659" s="5" t="e">
        <f>IF((COUNTIFS(#REF!,$C659,#REF!,"*LIGAÇÃO ATIVA DEV PRIN/LOC*"))&gt;=1,"SIM","")</f>
        <v>#REF!</v>
      </c>
    </row>
    <row r="660" spans="1:20">
      <c r="A660" s="24" t="s">
        <v>2157</v>
      </c>
      <c r="B660" s="24" t="s">
        <v>1437</v>
      </c>
      <c r="C660" s="24" t="s">
        <v>1438</v>
      </c>
      <c r="D660" s="5" t="e">
        <f>IF((COUNTIFS(#REF!,$C660,#REF!,"*163*"))&gt;=1,"SIM","")</f>
        <v>#REF!</v>
      </c>
      <c r="E660" s="5" t="e">
        <f>IF((COUNTIFS(#REF!,$C660,#REF!,E$1))&gt;=1,"SIM","")</f>
        <v>#REF!</v>
      </c>
      <c r="F660" s="5" t="e">
        <f>IF((COUNTIFS(#REF!,$C660,#REF!,F$1))&gt;=1,"SIM","")</f>
        <v>#REF!</v>
      </c>
      <c r="G660" s="5" t="e">
        <f>IF((COUNTIFS(#REF!,$C660,#REF!,"*606*"))&gt;=1,"SIM","")</f>
        <v>#REF!</v>
      </c>
      <c r="H660" s="5" t="e">
        <f>IF((COUNTIFS(#REF!,$C660,#REF!,"*605*"))&gt;=1,"SIM","")</f>
        <v>#REF!</v>
      </c>
      <c r="I660" s="5" t="e">
        <f>IF((COUNTIFS(#REF!,$C660,#REF!,I$1))&gt;=1,"SIM","")</f>
        <v>#REF!</v>
      </c>
      <c r="J660" s="5" t="e">
        <f>IF((COUNTIFS(#REF!,$C660,#REF!,J$1))&gt;=1,"SIM","")</f>
        <v>#REF!</v>
      </c>
      <c r="K660" s="5" t="e">
        <f>IF((COUNTIFS(#REF!,$C660,#REF!,K$1))&gt;=1,"SIM","")</f>
        <v>#REF!</v>
      </c>
      <c r="L660" s="5" t="e">
        <f>IF((COUNTIFS(#REF!,$C660,#REF!,L$1))&gt;=1,"SIM","")</f>
        <v>#REF!</v>
      </c>
      <c r="M660" s="5" t="e">
        <f>IF((COUNTIFS(#REF!,$C660,#REF!,M$1))&gt;=1,"SIM","")</f>
        <v>#REF!</v>
      </c>
      <c r="N660" s="5" t="e">
        <f>IF((COUNTIFS(#REF!,$C660,#REF!,N$1))&gt;=1,"SIM","")</f>
        <v>#REF!</v>
      </c>
      <c r="O660" s="5"/>
      <c r="P660" s="5" t="e">
        <f>IF((COUNTIFS(#REF!,$C660,#REF!,P$1))&gt;=1,"SIM","")</f>
        <v>#REF!</v>
      </c>
      <c r="Q660" s="5" t="e">
        <f>IF((COUNTIFS(#REF!,$C660,#REF!,Q$1))&gt;=1,"SIM","")</f>
        <v>#REF!</v>
      </c>
      <c r="R660" s="5" t="e">
        <f>IF((COUNTIFS(#REF!,$C660,#REF!,"*CARTA*"))&gt;=1,"SIM","")</f>
        <v>#REF!</v>
      </c>
      <c r="S660" s="5" t="e">
        <f>IF((COUNTIFS(#REF!,$C660,#REF!,"*CARTA NOTIFICAÇÃO/DEVOL*"))&gt;=1,"SIM","")</f>
        <v>#REF!</v>
      </c>
      <c r="T660" s="5" t="e">
        <f>IF((COUNTIFS(#REF!,$C660,#REF!,"*LIGAÇÃO ATIVA DEV PRIN/LOC*"))&gt;=1,"SIM","")</f>
        <v>#REF!</v>
      </c>
    </row>
    <row r="661" spans="1:20">
      <c r="A661" s="24" t="s">
        <v>2159</v>
      </c>
      <c r="B661" s="24" t="s">
        <v>1338</v>
      </c>
      <c r="C661" s="24" t="s">
        <v>1339</v>
      </c>
      <c r="D661" s="5" t="e">
        <f>IF((COUNTIFS(#REF!,$C661,#REF!,"*163*"))&gt;=1,"SIM","")</f>
        <v>#REF!</v>
      </c>
      <c r="E661" s="5" t="e">
        <f>IF((COUNTIFS(#REF!,$C661,#REF!,E$1))&gt;=1,"SIM","")</f>
        <v>#REF!</v>
      </c>
      <c r="F661" s="5" t="e">
        <f>IF((COUNTIFS(#REF!,$C661,#REF!,F$1))&gt;=1,"SIM","")</f>
        <v>#REF!</v>
      </c>
      <c r="G661" s="5" t="e">
        <f>IF((COUNTIFS(#REF!,$C661,#REF!,"*606*"))&gt;=1,"SIM","")</f>
        <v>#REF!</v>
      </c>
      <c r="H661" s="5" t="e">
        <f>IF((COUNTIFS(#REF!,$C661,#REF!,"*605*"))&gt;=1,"SIM","")</f>
        <v>#REF!</v>
      </c>
      <c r="I661" s="5" t="e">
        <f>IF((COUNTIFS(#REF!,$C661,#REF!,I$1))&gt;=1,"SIM","")</f>
        <v>#REF!</v>
      </c>
      <c r="J661" s="5" t="e">
        <f>IF((COUNTIFS(#REF!,$C661,#REF!,J$1))&gt;=1,"SIM","")</f>
        <v>#REF!</v>
      </c>
      <c r="K661" s="5" t="e">
        <f>IF((COUNTIFS(#REF!,$C661,#REF!,K$1))&gt;=1,"SIM","")</f>
        <v>#REF!</v>
      </c>
      <c r="L661" s="5" t="e">
        <f>IF((COUNTIFS(#REF!,$C661,#REF!,L$1))&gt;=1,"SIM","")</f>
        <v>#REF!</v>
      </c>
      <c r="M661" s="5" t="e">
        <f>IF((COUNTIFS(#REF!,$C661,#REF!,M$1))&gt;=1,"SIM","")</f>
        <v>#REF!</v>
      </c>
      <c r="N661" s="5" t="e">
        <f>IF((COUNTIFS(#REF!,$C661,#REF!,N$1))&gt;=1,"SIM","")</f>
        <v>#REF!</v>
      </c>
      <c r="O661" s="5"/>
      <c r="P661" s="5" t="e">
        <f>IF((COUNTIFS(#REF!,$C661,#REF!,P$1))&gt;=1,"SIM","")</f>
        <v>#REF!</v>
      </c>
      <c r="Q661" s="5" t="e">
        <f>IF((COUNTIFS(#REF!,$C661,#REF!,Q$1))&gt;=1,"SIM","")</f>
        <v>#REF!</v>
      </c>
      <c r="R661" s="5" t="e">
        <f>IF((COUNTIFS(#REF!,$C661,#REF!,"*CARTA*"))&gt;=1,"SIM","")</f>
        <v>#REF!</v>
      </c>
      <c r="S661" s="5" t="e">
        <f>IF((COUNTIFS(#REF!,$C661,#REF!,"*CARTA NOTIFICAÇÃO/DEVOL*"))&gt;=1,"SIM","")</f>
        <v>#REF!</v>
      </c>
      <c r="T661" s="5" t="e">
        <f>IF((COUNTIFS(#REF!,$C661,#REF!,"*LIGAÇÃO ATIVA DEV PRIN/LOC*"))&gt;=1,"SIM","")</f>
        <v>#REF!</v>
      </c>
    </row>
    <row r="662" spans="1:20">
      <c r="A662" s="24" t="s">
        <v>2157</v>
      </c>
      <c r="B662" s="24" t="s">
        <v>847</v>
      </c>
      <c r="C662" s="24" t="s">
        <v>848</v>
      </c>
      <c r="D662" s="5" t="e">
        <f>IF((COUNTIFS(#REF!,$C662,#REF!,"*163*"))&gt;=1,"SIM","")</f>
        <v>#REF!</v>
      </c>
      <c r="E662" s="5" t="e">
        <f>IF((COUNTIFS(#REF!,$C662,#REF!,E$1))&gt;=1,"SIM","")</f>
        <v>#REF!</v>
      </c>
      <c r="F662" s="5" t="e">
        <f>IF((COUNTIFS(#REF!,$C662,#REF!,F$1))&gt;=1,"SIM","")</f>
        <v>#REF!</v>
      </c>
      <c r="G662" s="5" t="e">
        <f>IF((COUNTIFS(#REF!,$C662,#REF!,"*606*"))&gt;=1,"SIM","")</f>
        <v>#REF!</v>
      </c>
      <c r="H662" s="5" t="e">
        <f>IF((COUNTIFS(#REF!,$C662,#REF!,"*605*"))&gt;=1,"SIM","")</f>
        <v>#REF!</v>
      </c>
      <c r="I662" s="5" t="e">
        <f>IF((COUNTIFS(#REF!,$C662,#REF!,I$1))&gt;=1,"SIM","")</f>
        <v>#REF!</v>
      </c>
      <c r="J662" s="5" t="e">
        <f>IF((COUNTIFS(#REF!,$C662,#REF!,J$1))&gt;=1,"SIM","")</f>
        <v>#REF!</v>
      </c>
      <c r="K662" s="5" t="e">
        <f>IF((COUNTIFS(#REF!,$C662,#REF!,K$1))&gt;=1,"SIM","")</f>
        <v>#REF!</v>
      </c>
      <c r="L662" s="5" t="e">
        <f>IF((COUNTIFS(#REF!,$C662,#REF!,L$1))&gt;=1,"SIM","")</f>
        <v>#REF!</v>
      </c>
      <c r="M662" s="5" t="e">
        <f>IF((COUNTIFS(#REF!,$C662,#REF!,M$1))&gt;=1,"SIM","")</f>
        <v>#REF!</v>
      </c>
      <c r="N662" s="5" t="e">
        <f>IF((COUNTIFS(#REF!,$C662,#REF!,N$1))&gt;=1,"SIM","")</f>
        <v>#REF!</v>
      </c>
      <c r="O662" s="5"/>
      <c r="P662" s="5" t="e">
        <f>IF((COUNTIFS(#REF!,$C662,#REF!,P$1))&gt;=1,"SIM","")</f>
        <v>#REF!</v>
      </c>
      <c r="Q662" s="5" t="e">
        <f>IF((COUNTIFS(#REF!,$C662,#REF!,Q$1))&gt;=1,"SIM","")</f>
        <v>#REF!</v>
      </c>
      <c r="R662" s="5" t="e">
        <f>IF((COUNTIFS(#REF!,$C662,#REF!,"*CARTA*"))&gt;=1,"SIM","")</f>
        <v>#REF!</v>
      </c>
      <c r="S662" s="5" t="e">
        <f>IF((COUNTIFS(#REF!,$C662,#REF!,"*CARTA NOTIFICAÇÃO/DEVOL*"))&gt;=1,"SIM","")</f>
        <v>#REF!</v>
      </c>
      <c r="T662" s="5" t="e">
        <f>IF((COUNTIFS(#REF!,$C662,#REF!,"*LIGAÇÃO ATIVA DEV PRIN/LOC*"))&gt;=1,"SIM","")</f>
        <v>#REF!</v>
      </c>
    </row>
    <row r="663" spans="1:20">
      <c r="A663" s="24" t="s">
        <v>2159</v>
      </c>
      <c r="B663" s="24" t="s">
        <v>1611</v>
      </c>
      <c r="C663" s="24" t="s">
        <v>1612</v>
      </c>
      <c r="D663" s="5" t="e">
        <f>IF((COUNTIFS(#REF!,$C663,#REF!,"*163*"))&gt;=1,"SIM","")</f>
        <v>#REF!</v>
      </c>
      <c r="E663" s="5" t="e">
        <f>IF((COUNTIFS(#REF!,$C663,#REF!,E$1))&gt;=1,"SIM","")</f>
        <v>#REF!</v>
      </c>
      <c r="F663" s="5" t="e">
        <f>IF((COUNTIFS(#REF!,$C663,#REF!,F$1))&gt;=1,"SIM","")</f>
        <v>#REF!</v>
      </c>
      <c r="G663" s="5" t="e">
        <f>IF((COUNTIFS(#REF!,$C663,#REF!,"*606*"))&gt;=1,"SIM","")</f>
        <v>#REF!</v>
      </c>
      <c r="H663" s="5" t="e">
        <f>IF((COUNTIFS(#REF!,$C663,#REF!,"*605*"))&gt;=1,"SIM","")</f>
        <v>#REF!</v>
      </c>
      <c r="I663" s="5" t="e">
        <f>IF((COUNTIFS(#REF!,$C663,#REF!,I$1))&gt;=1,"SIM","")</f>
        <v>#REF!</v>
      </c>
      <c r="J663" s="5" t="e">
        <f>IF((COUNTIFS(#REF!,$C663,#REF!,J$1))&gt;=1,"SIM","")</f>
        <v>#REF!</v>
      </c>
      <c r="K663" s="5" t="e">
        <f>IF((COUNTIFS(#REF!,$C663,#REF!,K$1))&gt;=1,"SIM","")</f>
        <v>#REF!</v>
      </c>
      <c r="L663" s="5" t="e">
        <f>IF((COUNTIFS(#REF!,$C663,#REF!,L$1))&gt;=1,"SIM","")</f>
        <v>#REF!</v>
      </c>
      <c r="M663" s="5" t="e">
        <f>IF((COUNTIFS(#REF!,$C663,#REF!,M$1))&gt;=1,"SIM","")</f>
        <v>#REF!</v>
      </c>
      <c r="N663" s="5" t="e">
        <f>IF((COUNTIFS(#REF!,$C663,#REF!,N$1))&gt;=1,"SIM","")</f>
        <v>#REF!</v>
      </c>
      <c r="O663" s="5"/>
      <c r="P663" s="5" t="e">
        <f>IF((COUNTIFS(#REF!,$C663,#REF!,P$1))&gt;=1,"SIM","")</f>
        <v>#REF!</v>
      </c>
      <c r="Q663" s="5" t="e">
        <f>IF((COUNTIFS(#REF!,$C663,#REF!,Q$1))&gt;=1,"SIM","")</f>
        <v>#REF!</v>
      </c>
      <c r="R663" s="5" t="e">
        <f>IF((COUNTIFS(#REF!,$C663,#REF!,"*CARTA*"))&gt;=1,"SIM","")</f>
        <v>#REF!</v>
      </c>
      <c r="S663" s="5" t="e">
        <f>IF((COUNTIFS(#REF!,$C663,#REF!,"*CARTA NOTIFICAÇÃO/DEVOL*"))&gt;=1,"SIM","")</f>
        <v>#REF!</v>
      </c>
      <c r="T663" s="5" t="e">
        <f>IF((COUNTIFS(#REF!,$C663,#REF!,"*LIGAÇÃO ATIVA DEV PRIN/LOC*"))&gt;=1,"SIM","")</f>
        <v>#REF!</v>
      </c>
    </row>
    <row r="664" spans="1:20">
      <c r="A664" s="24" t="s">
        <v>2159</v>
      </c>
      <c r="B664" s="24" t="s">
        <v>851</v>
      </c>
      <c r="C664" s="24" t="s">
        <v>852</v>
      </c>
      <c r="D664" s="5" t="e">
        <f>IF((COUNTIFS(#REF!,$C664,#REF!,"*163*"))&gt;=1,"SIM","")</f>
        <v>#REF!</v>
      </c>
      <c r="E664" s="5" t="e">
        <f>IF((COUNTIFS(#REF!,$C664,#REF!,E$1))&gt;=1,"SIM","")</f>
        <v>#REF!</v>
      </c>
      <c r="F664" s="5" t="e">
        <f>IF((COUNTIFS(#REF!,$C664,#REF!,F$1))&gt;=1,"SIM","")</f>
        <v>#REF!</v>
      </c>
      <c r="G664" s="5" t="e">
        <f>IF((COUNTIFS(#REF!,$C664,#REF!,"*606*"))&gt;=1,"SIM","")</f>
        <v>#REF!</v>
      </c>
      <c r="H664" s="5" t="e">
        <f>IF((COUNTIFS(#REF!,$C664,#REF!,"*605*"))&gt;=1,"SIM","")</f>
        <v>#REF!</v>
      </c>
      <c r="I664" s="5" t="e">
        <f>IF((COUNTIFS(#REF!,$C664,#REF!,I$1))&gt;=1,"SIM","")</f>
        <v>#REF!</v>
      </c>
      <c r="J664" s="5" t="e">
        <f>IF((COUNTIFS(#REF!,$C664,#REF!,J$1))&gt;=1,"SIM","")</f>
        <v>#REF!</v>
      </c>
      <c r="K664" s="5" t="e">
        <f>IF((COUNTIFS(#REF!,$C664,#REF!,K$1))&gt;=1,"SIM","")</f>
        <v>#REF!</v>
      </c>
      <c r="L664" s="5" t="e">
        <f>IF((COUNTIFS(#REF!,$C664,#REF!,L$1))&gt;=1,"SIM","")</f>
        <v>#REF!</v>
      </c>
      <c r="M664" s="5" t="e">
        <f>IF((COUNTIFS(#REF!,$C664,#REF!,M$1))&gt;=1,"SIM","")</f>
        <v>#REF!</v>
      </c>
      <c r="N664" s="5" t="e">
        <f>IF((COUNTIFS(#REF!,$C664,#REF!,N$1))&gt;=1,"SIM","")</f>
        <v>#REF!</v>
      </c>
      <c r="O664" s="5"/>
      <c r="P664" s="5" t="e">
        <f>IF((COUNTIFS(#REF!,$C664,#REF!,P$1))&gt;=1,"SIM","")</f>
        <v>#REF!</v>
      </c>
      <c r="Q664" s="5" t="e">
        <f>IF((COUNTIFS(#REF!,$C664,#REF!,Q$1))&gt;=1,"SIM","")</f>
        <v>#REF!</v>
      </c>
      <c r="R664" s="5" t="e">
        <f>IF((COUNTIFS(#REF!,$C664,#REF!,"*CARTA*"))&gt;=1,"SIM","")</f>
        <v>#REF!</v>
      </c>
      <c r="S664" s="5" t="e">
        <f>IF((COUNTIFS(#REF!,$C664,#REF!,"*CARTA NOTIFICAÇÃO/DEVOL*"))&gt;=1,"SIM","")</f>
        <v>#REF!</v>
      </c>
      <c r="T664" s="5" t="e">
        <f>IF((COUNTIFS(#REF!,$C664,#REF!,"*LIGAÇÃO ATIVA DEV PRIN/LOC*"))&gt;=1,"SIM","")</f>
        <v>#REF!</v>
      </c>
    </row>
    <row r="665" spans="1:20">
      <c r="A665" s="24" t="s">
        <v>2159</v>
      </c>
      <c r="B665" s="24" t="s">
        <v>2099</v>
      </c>
      <c r="C665" s="24" t="s">
        <v>2100</v>
      </c>
      <c r="D665" s="5" t="e">
        <f>IF((COUNTIFS(#REF!,$C665,#REF!,"*163*"))&gt;=1,"SIM","")</f>
        <v>#REF!</v>
      </c>
      <c r="E665" s="5" t="e">
        <f>IF((COUNTIFS(#REF!,$C665,#REF!,E$1))&gt;=1,"SIM","")</f>
        <v>#REF!</v>
      </c>
      <c r="F665" s="5" t="e">
        <f>IF((COUNTIFS(#REF!,$C665,#REF!,F$1))&gt;=1,"SIM","")</f>
        <v>#REF!</v>
      </c>
      <c r="G665" s="5" t="e">
        <f>IF((COUNTIFS(#REF!,$C665,#REF!,"*606*"))&gt;=1,"SIM","")</f>
        <v>#REF!</v>
      </c>
      <c r="H665" s="5" t="e">
        <f>IF((COUNTIFS(#REF!,$C665,#REF!,"*605*"))&gt;=1,"SIM","")</f>
        <v>#REF!</v>
      </c>
      <c r="I665" s="5" t="e">
        <f>IF((COUNTIFS(#REF!,$C665,#REF!,I$1))&gt;=1,"SIM","")</f>
        <v>#REF!</v>
      </c>
      <c r="J665" s="5" t="e">
        <f>IF((COUNTIFS(#REF!,$C665,#REF!,J$1))&gt;=1,"SIM","")</f>
        <v>#REF!</v>
      </c>
      <c r="K665" s="5" t="e">
        <f>IF((COUNTIFS(#REF!,$C665,#REF!,K$1))&gt;=1,"SIM","")</f>
        <v>#REF!</v>
      </c>
      <c r="L665" s="5" t="e">
        <f>IF((COUNTIFS(#REF!,$C665,#REF!,L$1))&gt;=1,"SIM","")</f>
        <v>#REF!</v>
      </c>
      <c r="M665" s="5" t="e">
        <f>IF((COUNTIFS(#REF!,$C665,#REF!,M$1))&gt;=1,"SIM","")</f>
        <v>#REF!</v>
      </c>
      <c r="N665" s="5" t="e">
        <f>IF((COUNTIFS(#REF!,$C665,#REF!,N$1))&gt;=1,"SIM","")</f>
        <v>#REF!</v>
      </c>
      <c r="O665" s="5"/>
      <c r="P665" s="5" t="e">
        <f>IF((COUNTIFS(#REF!,$C665,#REF!,P$1))&gt;=1,"SIM","")</f>
        <v>#REF!</v>
      </c>
      <c r="Q665" s="5" t="e">
        <f>IF((COUNTIFS(#REF!,$C665,#REF!,Q$1))&gt;=1,"SIM","")</f>
        <v>#REF!</v>
      </c>
      <c r="R665" s="5" t="e">
        <f>IF((COUNTIFS(#REF!,$C665,#REF!,"*CARTA*"))&gt;=1,"SIM","")</f>
        <v>#REF!</v>
      </c>
      <c r="S665" s="5" t="e">
        <f>IF((COUNTIFS(#REF!,$C665,#REF!,"*CARTA NOTIFICAÇÃO/DEVOL*"))&gt;=1,"SIM","")</f>
        <v>#REF!</v>
      </c>
      <c r="T665" s="5" t="e">
        <f>IF((COUNTIFS(#REF!,$C665,#REF!,"*LIGAÇÃO ATIVA DEV PRIN/LOC*"))&gt;=1,"SIM","")</f>
        <v>#REF!</v>
      </c>
    </row>
    <row r="666" spans="1:20">
      <c r="A666" s="24" t="s">
        <v>2153</v>
      </c>
      <c r="B666" s="24" t="s">
        <v>522</v>
      </c>
      <c r="C666" s="24" t="s">
        <v>523</v>
      </c>
      <c r="D666" s="5" t="e">
        <f>IF((COUNTIFS(#REF!,$C666,#REF!,"*163*"))&gt;=1,"SIM","")</f>
        <v>#REF!</v>
      </c>
      <c r="E666" s="5" t="e">
        <f>IF((COUNTIFS(#REF!,$C666,#REF!,E$1))&gt;=1,"SIM","")</f>
        <v>#REF!</v>
      </c>
      <c r="F666" s="5" t="e">
        <f>IF((COUNTIFS(#REF!,$C666,#REF!,F$1))&gt;=1,"SIM","")</f>
        <v>#REF!</v>
      </c>
      <c r="G666" s="5" t="e">
        <f>IF((COUNTIFS(#REF!,$C666,#REF!,"*606*"))&gt;=1,"SIM","")</f>
        <v>#REF!</v>
      </c>
      <c r="H666" s="5" t="e">
        <f>IF((COUNTIFS(#REF!,$C666,#REF!,"*605*"))&gt;=1,"SIM","")</f>
        <v>#REF!</v>
      </c>
      <c r="I666" s="5" t="e">
        <f>IF((COUNTIFS(#REF!,$C666,#REF!,I$1))&gt;=1,"SIM","")</f>
        <v>#REF!</v>
      </c>
      <c r="J666" s="5" t="e">
        <f>IF((COUNTIFS(#REF!,$C666,#REF!,J$1))&gt;=1,"SIM","")</f>
        <v>#REF!</v>
      </c>
      <c r="K666" s="5" t="e">
        <f>IF((COUNTIFS(#REF!,$C666,#REF!,K$1))&gt;=1,"SIM","")</f>
        <v>#REF!</v>
      </c>
      <c r="L666" s="5" t="e">
        <f>IF((COUNTIFS(#REF!,$C666,#REF!,L$1))&gt;=1,"SIM","")</f>
        <v>#REF!</v>
      </c>
      <c r="M666" s="5" t="e">
        <f>IF((COUNTIFS(#REF!,$C666,#REF!,M$1))&gt;=1,"SIM","")</f>
        <v>#REF!</v>
      </c>
      <c r="N666" s="5" t="e">
        <f>IF((COUNTIFS(#REF!,$C666,#REF!,N$1))&gt;=1,"SIM","")</f>
        <v>#REF!</v>
      </c>
      <c r="O666" s="5"/>
      <c r="P666" s="5" t="e">
        <f>IF((COUNTIFS(#REF!,$C666,#REF!,P$1))&gt;=1,"SIM","")</f>
        <v>#REF!</v>
      </c>
      <c r="Q666" s="5" t="e">
        <f>IF((COUNTIFS(#REF!,$C666,#REF!,Q$1))&gt;=1,"SIM","")</f>
        <v>#REF!</v>
      </c>
      <c r="R666" s="5" t="e">
        <f>IF((COUNTIFS(#REF!,$C666,#REF!,"*CARTA*"))&gt;=1,"SIM","")</f>
        <v>#REF!</v>
      </c>
      <c r="S666" s="5" t="e">
        <f>IF((COUNTIFS(#REF!,$C666,#REF!,"*CARTA NOTIFICAÇÃO/DEVOL*"))&gt;=1,"SIM","")</f>
        <v>#REF!</v>
      </c>
      <c r="T666" s="5" t="e">
        <f>IF((COUNTIFS(#REF!,$C666,#REF!,"*LIGAÇÃO ATIVA DEV PRIN/LOC*"))&gt;=1,"SIM","")</f>
        <v>#REF!</v>
      </c>
    </row>
    <row r="667" spans="1:20">
      <c r="A667" s="24" t="s">
        <v>2157</v>
      </c>
      <c r="B667" s="24" t="s">
        <v>869</v>
      </c>
      <c r="C667" s="24" t="s">
        <v>870</v>
      </c>
      <c r="D667" s="5" t="e">
        <f>IF((COUNTIFS(#REF!,$C667,#REF!,"*163*"))&gt;=1,"SIM","")</f>
        <v>#REF!</v>
      </c>
      <c r="E667" s="5" t="e">
        <f>IF((COUNTIFS(#REF!,$C667,#REF!,E$1))&gt;=1,"SIM","")</f>
        <v>#REF!</v>
      </c>
      <c r="F667" s="5" t="e">
        <f>IF((COUNTIFS(#REF!,$C667,#REF!,F$1))&gt;=1,"SIM","")</f>
        <v>#REF!</v>
      </c>
      <c r="G667" s="5" t="e">
        <f>IF((COUNTIFS(#REF!,$C667,#REF!,"*606*"))&gt;=1,"SIM","")</f>
        <v>#REF!</v>
      </c>
      <c r="H667" s="5" t="e">
        <f>IF((COUNTIFS(#REF!,$C667,#REF!,"*605*"))&gt;=1,"SIM","")</f>
        <v>#REF!</v>
      </c>
      <c r="I667" s="5" t="e">
        <f>IF((COUNTIFS(#REF!,$C667,#REF!,I$1))&gt;=1,"SIM","")</f>
        <v>#REF!</v>
      </c>
      <c r="J667" s="5" t="e">
        <f>IF((COUNTIFS(#REF!,$C667,#REF!,J$1))&gt;=1,"SIM","")</f>
        <v>#REF!</v>
      </c>
      <c r="K667" s="5" t="e">
        <f>IF((COUNTIFS(#REF!,$C667,#REF!,K$1))&gt;=1,"SIM","")</f>
        <v>#REF!</v>
      </c>
      <c r="L667" s="5" t="e">
        <f>IF((COUNTIFS(#REF!,$C667,#REF!,L$1))&gt;=1,"SIM","")</f>
        <v>#REF!</v>
      </c>
      <c r="M667" s="5" t="e">
        <f>IF((COUNTIFS(#REF!,$C667,#REF!,M$1))&gt;=1,"SIM","")</f>
        <v>#REF!</v>
      </c>
      <c r="N667" s="5" t="e">
        <f>IF((COUNTIFS(#REF!,$C667,#REF!,N$1))&gt;=1,"SIM","")</f>
        <v>#REF!</v>
      </c>
      <c r="O667" s="5"/>
      <c r="P667" s="5" t="e">
        <f>IF((COUNTIFS(#REF!,$C667,#REF!,P$1))&gt;=1,"SIM","")</f>
        <v>#REF!</v>
      </c>
      <c r="Q667" s="5" t="e">
        <f>IF((COUNTIFS(#REF!,$C667,#REF!,Q$1))&gt;=1,"SIM","")</f>
        <v>#REF!</v>
      </c>
      <c r="R667" s="5" t="e">
        <f>IF((COUNTIFS(#REF!,$C667,#REF!,"*CARTA*"))&gt;=1,"SIM","")</f>
        <v>#REF!</v>
      </c>
      <c r="S667" s="5" t="e">
        <f>IF((COUNTIFS(#REF!,$C667,#REF!,"*CARTA NOTIFICAÇÃO/DEVOL*"))&gt;=1,"SIM","")</f>
        <v>#REF!</v>
      </c>
      <c r="T667" s="5" t="e">
        <f>IF((COUNTIFS(#REF!,$C667,#REF!,"*LIGAÇÃO ATIVA DEV PRIN/LOC*"))&gt;=1,"SIM","")</f>
        <v>#REF!</v>
      </c>
    </row>
    <row r="668" spans="1:20">
      <c r="A668" s="24" t="s">
        <v>2159</v>
      </c>
      <c r="B668" s="24" t="s">
        <v>1552</v>
      </c>
      <c r="C668" s="24" t="s">
        <v>1553</v>
      </c>
      <c r="D668" s="5" t="e">
        <f>IF((COUNTIFS(#REF!,$C668,#REF!,"*163*"))&gt;=1,"SIM","")</f>
        <v>#REF!</v>
      </c>
      <c r="E668" s="5" t="e">
        <f>IF((COUNTIFS(#REF!,$C668,#REF!,E$1))&gt;=1,"SIM","")</f>
        <v>#REF!</v>
      </c>
      <c r="F668" s="5" t="e">
        <f>IF((COUNTIFS(#REF!,$C668,#REF!,F$1))&gt;=1,"SIM","")</f>
        <v>#REF!</v>
      </c>
      <c r="G668" s="5" t="e">
        <f>IF((COUNTIFS(#REF!,$C668,#REF!,"*606*"))&gt;=1,"SIM","")</f>
        <v>#REF!</v>
      </c>
      <c r="H668" s="5" t="e">
        <f>IF((COUNTIFS(#REF!,$C668,#REF!,"*605*"))&gt;=1,"SIM","")</f>
        <v>#REF!</v>
      </c>
      <c r="I668" s="5" t="e">
        <f>IF((COUNTIFS(#REF!,$C668,#REF!,I$1))&gt;=1,"SIM","")</f>
        <v>#REF!</v>
      </c>
      <c r="J668" s="5" t="e">
        <f>IF((COUNTIFS(#REF!,$C668,#REF!,J$1))&gt;=1,"SIM","")</f>
        <v>#REF!</v>
      </c>
      <c r="K668" s="5" t="e">
        <f>IF((COUNTIFS(#REF!,$C668,#REF!,K$1))&gt;=1,"SIM","")</f>
        <v>#REF!</v>
      </c>
      <c r="L668" s="5" t="e">
        <f>IF((COUNTIFS(#REF!,$C668,#REF!,L$1))&gt;=1,"SIM","")</f>
        <v>#REF!</v>
      </c>
      <c r="M668" s="5" t="e">
        <f>IF((COUNTIFS(#REF!,$C668,#REF!,M$1))&gt;=1,"SIM","")</f>
        <v>#REF!</v>
      </c>
      <c r="N668" s="5" t="e">
        <f>IF((COUNTIFS(#REF!,$C668,#REF!,N$1))&gt;=1,"SIM","")</f>
        <v>#REF!</v>
      </c>
      <c r="O668" s="5"/>
      <c r="P668" s="5" t="e">
        <f>IF((COUNTIFS(#REF!,$C668,#REF!,P$1))&gt;=1,"SIM","")</f>
        <v>#REF!</v>
      </c>
      <c r="Q668" s="5" t="e">
        <f>IF((COUNTIFS(#REF!,$C668,#REF!,Q$1))&gt;=1,"SIM","")</f>
        <v>#REF!</v>
      </c>
      <c r="R668" s="5" t="e">
        <f>IF((COUNTIFS(#REF!,$C668,#REF!,"*CARTA*"))&gt;=1,"SIM","")</f>
        <v>#REF!</v>
      </c>
      <c r="S668" s="5" t="e">
        <f>IF((COUNTIFS(#REF!,$C668,#REF!,"*CARTA NOTIFICAÇÃO/DEVOL*"))&gt;=1,"SIM","")</f>
        <v>#REF!</v>
      </c>
      <c r="T668" s="5" t="e">
        <f>IF((COUNTIFS(#REF!,$C668,#REF!,"*LIGAÇÃO ATIVA DEV PRIN/LOC*"))&gt;=1,"SIM","")</f>
        <v>#REF!</v>
      </c>
    </row>
    <row r="669" spans="1:20">
      <c r="A669" s="24" t="s">
        <v>2154</v>
      </c>
      <c r="B669" s="24" t="s">
        <v>163</v>
      </c>
      <c r="C669" s="24" t="s">
        <v>164</v>
      </c>
      <c r="D669" s="5" t="e">
        <f>IF((COUNTIFS(#REF!,$C669,#REF!,"*163*"))&gt;=1,"SIM","")</f>
        <v>#REF!</v>
      </c>
      <c r="E669" s="5" t="e">
        <f>IF((COUNTIFS(#REF!,$C669,#REF!,E$1))&gt;=1,"SIM","")</f>
        <v>#REF!</v>
      </c>
      <c r="F669" s="5" t="e">
        <f>IF((COUNTIFS(#REF!,$C669,#REF!,F$1))&gt;=1,"SIM","")</f>
        <v>#REF!</v>
      </c>
      <c r="G669" s="5" t="e">
        <f>IF((COUNTIFS(#REF!,$C669,#REF!,"*606*"))&gt;=1,"SIM","")</f>
        <v>#REF!</v>
      </c>
      <c r="H669" s="5" t="e">
        <f>IF((COUNTIFS(#REF!,$C669,#REF!,"*605*"))&gt;=1,"SIM","")</f>
        <v>#REF!</v>
      </c>
      <c r="I669" s="5" t="e">
        <f>IF((COUNTIFS(#REF!,$C669,#REF!,I$1))&gt;=1,"SIM","")</f>
        <v>#REF!</v>
      </c>
      <c r="J669" s="5" t="e">
        <f>IF((COUNTIFS(#REF!,$C669,#REF!,J$1))&gt;=1,"SIM","")</f>
        <v>#REF!</v>
      </c>
      <c r="K669" s="5" t="e">
        <f>IF((COUNTIFS(#REF!,$C669,#REF!,K$1))&gt;=1,"SIM","")</f>
        <v>#REF!</v>
      </c>
      <c r="L669" s="5" t="e">
        <f>IF((COUNTIFS(#REF!,$C669,#REF!,L$1))&gt;=1,"SIM","")</f>
        <v>#REF!</v>
      </c>
      <c r="M669" s="5" t="e">
        <f>IF((COUNTIFS(#REF!,$C669,#REF!,M$1))&gt;=1,"SIM","")</f>
        <v>#REF!</v>
      </c>
      <c r="N669" s="5" t="e">
        <f>IF((COUNTIFS(#REF!,$C669,#REF!,N$1))&gt;=1,"SIM","")</f>
        <v>#REF!</v>
      </c>
      <c r="O669" s="5"/>
      <c r="P669" s="5" t="e">
        <f>IF((COUNTIFS(#REF!,$C669,#REF!,P$1))&gt;=1,"SIM","")</f>
        <v>#REF!</v>
      </c>
      <c r="Q669" s="5" t="e">
        <f>IF((COUNTIFS(#REF!,$C669,#REF!,Q$1))&gt;=1,"SIM","")</f>
        <v>#REF!</v>
      </c>
      <c r="R669" s="5" t="e">
        <f>IF((COUNTIFS(#REF!,$C669,#REF!,"*CARTA*"))&gt;=1,"SIM","")</f>
        <v>#REF!</v>
      </c>
      <c r="S669" s="5" t="e">
        <f>IF((COUNTIFS(#REF!,$C669,#REF!,"*CARTA NOTIFICAÇÃO/DEVOL*"))&gt;=1,"SIM","")</f>
        <v>#REF!</v>
      </c>
      <c r="T669" s="5" t="e">
        <f>IF((COUNTIFS(#REF!,$C669,#REF!,"*LIGAÇÃO ATIVA DEV PRIN/LOC*"))&gt;=1,"SIM","")</f>
        <v>#REF!</v>
      </c>
    </row>
    <row r="670" spans="1:20">
      <c r="A670" s="24" t="s">
        <v>2159</v>
      </c>
      <c r="B670" s="24" t="s">
        <v>1566</v>
      </c>
      <c r="C670" s="24" t="s">
        <v>1567</v>
      </c>
      <c r="D670" s="5" t="e">
        <f>IF((COUNTIFS(#REF!,$C670,#REF!,"*163*"))&gt;=1,"SIM","")</f>
        <v>#REF!</v>
      </c>
      <c r="E670" s="5" t="e">
        <f>IF((COUNTIFS(#REF!,$C670,#REF!,E$1))&gt;=1,"SIM","")</f>
        <v>#REF!</v>
      </c>
      <c r="F670" s="5" t="e">
        <f>IF((COUNTIFS(#REF!,$C670,#REF!,F$1))&gt;=1,"SIM","")</f>
        <v>#REF!</v>
      </c>
      <c r="G670" s="5" t="e">
        <f>IF((COUNTIFS(#REF!,$C670,#REF!,"*606*"))&gt;=1,"SIM","")</f>
        <v>#REF!</v>
      </c>
      <c r="H670" s="5" t="e">
        <f>IF((COUNTIFS(#REF!,$C670,#REF!,"*605*"))&gt;=1,"SIM","")</f>
        <v>#REF!</v>
      </c>
      <c r="I670" s="5" t="e">
        <f>IF((COUNTIFS(#REF!,$C670,#REF!,I$1))&gt;=1,"SIM","")</f>
        <v>#REF!</v>
      </c>
      <c r="J670" s="5" t="e">
        <f>IF((COUNTIFS(#REF!,$C670,#REF!,J$1))&gt;=1,"SIM","")</f>
        <v>#REF!</v>
      </c>
      <c r="K670" s="5" t="e">
        <f>IF((COUNTIFS(#REF!,$C670,#REF!,K$1))&gt;=1,"SIM","")</f>
        <v>#REF!</v>
      </c>
      <c r="L670" s="5" t="e">
        <f>IF((COUNTIFS(#REF!,$C670,#REF!,L$1))&gt;=1,"SIM","")</f>
        <v>#REF!</v>
      </c>
      <c r="M670" s="5" t="e">
        <f>IF((COUNTIFS(#REF!,$C670,#REF!,M$1))&gt;=1,"SIM","")</f>
        <v>#REF!</v>
      </c>
      <c r="N670" s="5" t="e">
        <f>IF((COUNTIFS(#REF!,$C670,#REF!,N$1))&gt;=1,"SIM","")</f>
        <v>#REF!</v>
      </c>
      <c r="O670" s="5"/>
      <c r="P670" s="5" t="e">
        <f>IF((COUNTIFS(#REF!,$C670,#REF!,P$1))&gt;=1,"SIM","")</f>
        <v>#REF!</v>
      </c>
      <c r="Q670" s="5" t="e">
        <f>IF((COUNTIFS(#REF!,$C670,#REF!,Q$1))&gt;=1,"SIM","")</f>
        <v>#REF!</v>
      </c>
      <c r="R670" s="5" t="e">
        <f>IF((COUNTIFS(#REF!,$C670,#REF!,"*CARTA*"))&gt;=1,"SIM","")</f>
        <v>#REF!</v>
      </c>
      <c r="S670" s="5" t="e">
        <f>IF((COUNTIFS(#REF!,$C670,#REF!,"*CARTA NOTIFICAÇÃO/DEVOL*"))&gt;=1,"SIM","")</f>
        <v>#REF!</v>
      </c>
      <c r="T670" s="5" t="e">
        <f>IF((COUNTIFS(#REF!,$C670,#REF!,"*LIGAÇÃO ATIVA DEV PRIN/LOC*"))&gt;=1,"SIM","")</f>
        <v>#REF!</v>
      </c>
    </row>
    <row r="671" spans="1:20">
      <c r="A671" s="24" t="s">
        <v>2158</v>
      </c>
      <c r="B671" s="24" t="s">
        <v>1956</v>
      </c>
      <c r="C671" s="24" t="s">
        <v>1957</v>
      </c>
      <c r="D671" s="5" t="e">
        <f>IF((COUNTIFS(#REF!,$C671,#REF!,"*163*"))&gt;=1,"SIM","")</f>
        <v>#REF!</v>
      </c>
      <c r="E671" s="5" t="e">
        <f>IF((COUNTIFS(#REF!,$C671,#REF!,E$1))&gt;=1,"SIM","")</f>
        <v>#REF!</v>
      </c>
      <c r="F671" s="5" t="e">
        <f>IF((COUNTIFS(#REF!,$C671,#REF!,F$1))&gt;=1,"SIM","")</f>
        <v>#REF!</v>
      </c>
      <c r="G671" s="5" t="e">
        <f>IF((COUNTIFS(#REF!,$C671,#REF!,"*606*"))&gt;=1,"SIM","")</f>
        <v>#REF!</v>
      </c>
      <c r="H671" s="5" t="e">
        <f>IF((COUNTIFS(#REF!,$C671,#REF!,"*605*"))&gt;=1,"SIM","")</f>
        <v>#REF!</v>
      </c>
      <c r="I671" s="5" t="e">
        <f>IF((COUNTIFS(#REF!,$C671,#REF!,I$1))&gt;=1,"SIM","")</f>
        <v>#REF!</v>
      </c>
      <c r="J671" s="5" t="e">
        <f>IF((COUNTIFS(#REF!,$C671,#REF!,J$1))&gt;=1,"SIM","")</f>
        <v>#REF!</v>
      </c>
      <c r="K671" s="5" t="e">
        <f>IF((COUNTIFS(#REF!,$C671,#REF!,K$1))&gt;=1,"SIM","")</f>
        <v>#REF!</v>
      </c>
      <c r="L671" s="5" t="e">
        <f>IF((COUNTIFS(#REF!,$C671,#REF!,L$1))&gt;=1,"SIM","")</f>
        <v>#REF!</v>
      </c>
      <c r="M671" s="5" t="e">
        <f>IF((COUNTIFS(#REF!,$C671,#REF!,M$1))&gt;=1,"SIM","")</f>
        <v>#REF!</v>
      </c>
      <c r="N671" s="5" t="e">
        <f>IF((COUNTIFS(#REF!,$C671,#REF!,N$1))&gt;=1,"SIM","")</f>
        <v>#REF!</v>
      </c>
      <c r="O671" s="5"/>
      <c r="P671" s="5" t="e">
        <f>IF((COUNTIFS(#REF!,$C671,#REF!,P$1))&gt;=1,"SIM","")</f>
        <v>#REF!</v>
      </c>
      <c r="Q671" s="5" t="e">
        <f>IF((COUNTIFS(#REF!,$C671,#REF!,Q$1))&gt;=1,"SIM","")</f>
        <v>#REF!</v>
      </c>
      <c r="R671" s="5" t="e">
        <f>IF((COUNTIFS(#REF!,$C671,#REF!,"*CARTA*"))&gt;=1,"SIM","")</f>
        <v>#REF!</v>
      </c>
      <c r="S671" s="5" t="e">
        <f>IF((COUNTIFS(#REF!,$C671,#REF!,"*CARTA NOTIFICAÇÃO/DEVOL*"))&gt;=1,"SIM","")</f>
        <v>#REF!</v>
      </c>
      <c r="T671" s="5" t="e">
        <f>IF((COUNTIFS(#REF!,$C671,#REF!,"*LIGAÇÃO ATIVA DEV PRIN/LOC*"))&gt;=1,"SIM","")</f>
        <v>#REF!</v>
      </c>
    </row>
    <row r="672" spans="1:20">
      <c r="A672" s="24" t="s">
        <v>2155</v>
      </c>
      <c r="B672" s="24" t="s">
        <v>185</v>
      </c>
      <c r="C672" s="24" t="s">
        <v>186</v>
      </c>
      <c r="D672" s="5" t="e">
        <f>IF((COUNTIFS(#REF!,$C672,#REF!,"*163*"))&gt;=1,"SIM","")</f>
        <v>#REF!</v>
      </c>
      <c r="E672" s="5" t="e">
        <f>IF((COUNTIFS(#REF!,$C672,#REF!,E$1))&gt;=1,"SIM","")</f>
        <v>#REF!</v>
      </c>
      <c r="F672" s="5" t="e">
        <f>IF((COUNTIFS(#REF!,$C672,#REF!,F$1))&gt;=1,"SIM","")</f>
        <v>#REF!</v>
      </c>
      <c r="G672" s="5" t="e">
        <f>IF((COUNTIFS(#REF!,$C672,#REF!,"*606*"))&gt;=1,"SIM","")</f>
        <v>#REF!</v>
      </c>
      <c r="H672" s="5" t="e">
        <f>IF((COUNTIFS(#REF!,$C672,#REF!,"*605*"))&gt;=1,"SIM","")</f>
        <v>#REF!</v>
      </c>
      <c r="I672" s="5" t="e">
        <f>IF((COUNTIFS(#REF!,$C672,#REF!,I$1))&gt;=1,"SIM","")</f>
        <v>#REF!</v>
      </c>
      <c r="J672" s="5" t="e">
        <f>IF((COUNTIFS(#REF!,$C672,#REF!,J$1))&gt;=1,"SIM","")</f>
        <v>#REF!</v>
      </c>
      <c r="K672" s="5" t="e">
        <f>IF((COUNTIFS(#REF!,$C672,#REF!,K$1))&gt;=1,"SIM","")</f>
        <v>#REF!</v>
      </c>
      <c r="L672" s="5" t="e">
        <f>IF((COUNTIFS(#REF!,$C672,#REF!,L$1))&gt;=1,"SIM","")</f>
        <v>#REF!</v>
      </c>
      <c r="M672" s="5" t="e">
        <f>IF((COUNTIFS(#REF!,$C672,#REF!,M$1))&gt;=1,"SIM","")</f>
        <v>#REF!</v>
      </c>
      <c r="N672" s="5" t="e">
        <f>IF((COUNTIFS(#REF!,$C672,#REF!,N$1))&gt;=1,"SIM","")</f>
        <v>#REF!</v>
      </c>
      <c r="O672" s="5"/>
      <c r="P672" s="5" t="e">
        <f>IF((COUNTIFS(#REF!,$C672,#REF!,P$1))&gt;=1,"SIM","")</f>
        <v>#REF!</v>
      </c>
      <c r="Q672" s="5" t="e">
        <f>IF((COUNTIFS(#REF!,$C672,#REF!,Q$1))&gt;=1,"SIM","")</f>
        <v>#REF!</v>
      </c>
      <c r="R672" s="5" t="e">
        <f>IF((COUNTIFS(#REF!,$C672,#REF!,"*CARTA*"))&gt;=1,"SIM","")</f>
        <v>#REF!</v>
      </c>
      <c r="S672" s="5" t="e">
        <f>IF((COUNTIFS(#REF!,$C672,#REF!,"*CARTA NOTIFICAÇÃO/DEVOL*"))&gt;=1,"SIM","")</f>
        <v>#REF!</v>
      </c>
      <c r="T672" s="5" t="e">
        <f>IF((COUNTIFS(#REF!,$C672,#REF!,"*LIGAÇÃO ATIVA DEV PRIN/LOC*"))&gt;=1,"SIM","")</f>
        <v>#REF!</v>
      </c>
    </row>
    <row r="673" spans="1:20">
      <c r="A673" s="24" t="s">
        <v>2153</v>
      </c>
      <c r="B673" s="24" t="s">
        <v>254</v>
      </c>
      <c r="C673" s="24" t="s">
        <v>255</v>
      </c>
      <c r="D673" s="5" t="e">
        <f>IF((COUNTIFS(#REF!,$C673,#REF!,"*163*"))&gt;=1,"SIM","")</f>
        <v>#REF!</v>
      </c>
      <c r="E673" s="5" t="e">
        <f>IF((COUNTIFS(#REF!,$C673,#REF!,E$1))&gt;=1,"SIM","")</f>
        <v>#REF!</v>
      </c>
      <c r="F673" s="5" t="e">
        <f>IF((COUNTIFS(#REF!,$C673,#REF!,F$1))&gt;=1,"SIM","")</f>
        <v>#REF!</v>
      </c>
      <c r="G673" s="5" t="e">
        <f>IF((COUNTIFS(#REF!,$C673,#REF!,"*606*"))&gt;=1,"SIM","")</f>
        <v>#REF!</v>
      </c>
      <c r="H673" s="5" t="e">
        <f>IF((COUNTIFS(#REF!,$C673,#REF!,"*605*"))&gt;=1,"SIM","")</f>
        <v>#REF!</v>
      </c>
      <c r="I673" s="5" t="e">
        <f>IF((COUNTIFS(#REF!,$C673,#REF!,I$1))&gt;=1,"SIM","")</f>
        <v>#REF!</v>
      </c>
      <c r="J673" s="5" t="e">
        <f>IF((COUNTIFS(#REF!,$C673,#REF!,J$1))&gt;=1,"SIM","")</f>
        <v>#REF!</v>
      </c>
      <c r="K673" s="5" t="e">
        <f>IF((COUNTIFS(#REF!,$C673,#REF!,K$1))&gt;=1,"SIM","")</f>
        <v>#REF!</v>
      </c>
      <c r="L673" s="5" t="e">
        <f>IF((COUNTIFS(#REF!,$C673,#REF!,L$1))&gt;=1,"SIM","")</f>
        <v>#REF!</v>
      </c>
      <c r="M673" s="5" t="e">
        <f>IF((COUNTIFS(#REF!,$C673,#REF!,M$1))&gt;=1,"SIM","")</f>
        <v>#REF!</v>
      </c>
      <c r="N673" s="5" t="e">
        <f>IF((COUNTIFS(#REF!,$C673,#REF!,N$1))&gt;=1,"SIM","")</f>
        <v>#REF!</v>
      </c>
      <c r="O673" s="5"/>
      <c r="P673" s="5" t="e">
        <f>IF((COUNTIFS(#REF!,$C673,#REF!,P$1))&gt;=1,"SIM","")</f>
        <v>#REF!</v>
      </c>
      <c r="Q673" s="5" t="e">
        <f>IF((COUNTIFS(#REF!,$C673,#REF!,Q$1))&gt;=1,"SIM","")</f>
        <v>#REF!</v>
      </c>
      <c r="R673" s="5" t="e">
        <f>IF((COUNTIFS(#REF!,$C673,#REF!,"*CARTA*"))&gt;=1,"SIM","")</f>
        <v>#REF!</v>
      </c>
      <c r="S673" s="5" t="e">
        <f>IF((COUNTIFS(#REF!,$C673,#REF!,"*CARTA NOTIFICAÇÃO/DEVOL*"))&gt;=1,"SIM","")</f>
        <v>#REF!</v>
      </c>
      <c r="T673" s="5" t="e">
        <f>IF((COUNTIFS(#REF!,$C673,#REF!,"*LIGAÇÃO ATIVA DEV PRIN/LOC*"))&gt;=1,"SIM","")</f>
        <v>#REF!</v>
      </c>
    </row>
    <row r="674" spans="1:20">
      <c r="A674" s="24" t="s">
        <v>2159</v>
      </c>
      <c r="B674" s="24" t="s">
        <v>843</v>
      </c>
      <c r="C674" s="24" t="s">
        <v>844</v>
      </c>
      <c r="D674" s="5" t="e">
        <f>IF((COUNTIFS(#REF!,$C674,#REF!,"*163*"))&gt;=1,"SIM","")</f>
        <v>#REF!</v>
      </c>
      <c r="E674" s="5" t="e">
        <f>IF((COUNTIFS(#REF!,$C674,#REF!,E$1))&gt;=1,"SIM","")</f>
        <v>#REF!</v>
      </c>
      <c r="F674" s="5" t="e">
        <f>IF((COUNTIFS(#REF!,$C674,#REF!,F$1))&gt;=1,"SIM","")</f>
        <v>#REF!</v>
      </c>
      <c r="G674" s="5" t="e">
        <f>IF((COUNTIFS(#REF!,$C674,#REF!,"*606*"))&gt;=1,"SIM","")</f>
        <v>#REF!</v>
      </c>
      <c r="H674" s="5" t="e">
        <f>IF((COUNTIFS(#REF!,$C674,#REF!,"*605*"))&gt;=1,"SIM","")</f>
        <v>#REF!</v>
      </c>
      <c r="I674" s="5" t="e">
        <f>IF((COUNTIFS(#REF!,$C674,#REF!,I$1))&gt;=1,"SIM","")</f>
        <v>#REF!</v>
      </c>
      <c r="J674" s="5" t="e">
        <f>IF((COUNTIFS(#REF!,$C674,#REF!,J$1))&gt;=1,"SIM","")</f>
        <v>#REF!</v>
      </c>
      <c r="K674" s="5" t="e">
        <f>IF((COUNTIFS(#REF!,$C674,#REF!,K$1))&gt;=1,"SIM","")</f>
        <v>#REF!</v>
      </c>
      <c r="L674" s="5" t="e">
        <f>IF((COUNTIFS(#REF!,$C674,#REF!,L$1))&gt;=1,"SIM","")</f>
        <v>#REF!</v>
      </c>
      <c r="M674" s="5" t="e">
        <f>IF((COUNTIFS(#REF!,$C674,#REF!,M$1))&gt;=1,"SIM","")</f>
        <v>#REF!</v>
      </c>
      <c r="N674" s="5" t="e">
        <f>IF((COUNTIFS(#REF!,$C674,#REF!,N$1))&gt;=1,"SIM","")</f>
        <v>#REF!</v>
      </c>
      <c r="O674" s="5"/>
      <c r="P674" s="5" t="e">
        <f>IF((COUNTIFS(#REF!,$C674,#REF!,P$1))&gt;=1,"SIM","")</f>
        <v>#REF!</v>
      </c>
      <c r="Q674" s="5" t="e">
        <f>IF((COUNTIFS(#REF!,$C674,#REF!,Q$1))&gt;=1,"SIM","")</f>
        <v>#REF!</v>
      </c>
      <c r="R674" s="5" t="e">
        <f>IF((COUNTIFS(#REF!,$C674,#REF!,"*CARTA*"))&gt;=1,"SIM","")</f>
        <v>#REF!</v>
      </c>
      <c r="S674" s="5" t="e">
        <f>IF((COUNTIFS(#REF!,$C674,#REF!,"*CARTA NOTIFICAÇÃO/DEVOL*"))&gt;=1,"SIM","")</f>
        <v>#REF!</v>
      </c>
      <c r="T674" s="5" t="e">
        <f>IF((COUNTIFS(#REF!,$C674,#REF!,"*LIGAÇÃO ATIVA DEV PRIN/LOC*"))&gt;=1,"SIM","")</f>
        <v>#REF!</v>
      </c>
    </row>
    <row r="675" spans="1:20">
      <c r="A675" s="24" t="s">
        <v>2153</v>
      </c>
      <c r="B675" s="24" t="s">
        <v>654</v>
      </c>
      <c r="C675" s="24" t="s">
        <v>655</v>
      </c>
      <c r="D675" s="5" t="e">
        <f>IF((COUNTIFS(#REF!,$C675,#REF!,"*163*"))&gt;=1,"SIM","")</f>
        <v>#REF!</v>
      </c>
      <c r="E675" s="5" t="e">
        <f>IF((COUNTIFS(#REF!,$C675,#REF!,E$1))&gt;=1,"SIM","")</f>
        <v>#REF!</v>
      </c>
      <c r="F675" s="5" t="e">
        <f>IF((COUNTIFS(#REF!,$C675,#REF!,F$1))&gt;=1,"SIM","")</f>
        <v>#REF!</v>
      </c>
      <c r="G675" s="5" t="e">
        <f>IF((COUNTIFS(#REF!,$C675,#REF!,"*606*"))&gt;=1,"SIM","")</f>
        <v>#REF!</v>
      </c>
      <c r="H675" s="5" t="e">
        <f>IF((COUNTIFS(#REF!,$C675,#REF!,"*605*"))&gt;=1,"SIM","")</f>
        <v>#REF!</v>
      </c>
      <c r="I675" s="5" t="e">
        <f>IF((COUNTIFS(#REF!,$C675,#REF!,I$1))&gt;=1,"SIM","")</f>
        <v>#REF!</v>
      </c>
      <c r="J675" s="5" t="e">
        <f>IF((COUNTIFS(#REF!,$C675,#REF!,J$1))&gt;=1,"SIM","")</f>
        <v>#REF!</v>
      </c>
      <c r="K675" s="5" t="e">
        <f>IF((COUNTIFS(#REF!,$C675,#REF!,K$1))&gt;=1,"SIM","")</f>
        <v>#REF!</v>
      </c>
      <c r="L675" s="5" t="e">
        <f>IF((COUNTIFS(#REF!,$C675,#REF!,L$1))&gt;=1,"SIM","")</f>
        <v>#REF!</v>
      </c>
      <c r="M675" s="5" t="e">
        <f>IF((COUNTIFS(#REF!,$C675,#REF!,M$1))&gt;=1,"SIM","")</f>
        <v>#REF!</v>
      </c>
      <c r="N675" s="5" t="e">
        <f>IF((COUNTIFS(#REF!,$C675,#REF!,N$1))&gt;=1,"SIM","")</f>
        <v>#REF!</v>
      </c>
      <c r="O675" s="5"/>
      <c r="P675" s="5" t="e">
        <f>IF((COUNTIFS(#REF!,$C675,#REF!,P$1))&gt;=1,"SIM","")</f>
        <v>#REF!</v>
      </c>
      <c r="Q675" s="5" t="e">
        <f>IF((COUNTIFS(#REF!,$C675,#REF!,Q$1))&gt;=1,"SIM","")</f>
        <v>#REF!</v>
      </c>
      <c r="R675" s="5" t="e">
        <f>IF((COUNTIFS(#REF!,$C675,#REF!,"*CARTA*"))&gt;=1,"SIM","")</f>
        <v>#REF!</v>
      </c>
      <c r="S675" s="5" t="e">
        <f>IF((COUNTIFS(#REF!,$C675,#REF!,"*CARTA NOTIFICAÇÃO/DEVOL*"))&gt;=1,"SIM","")</f>
        <v>#REF!</v>
      </c>
      <c r="T675" s="5" t="e">
        <f>IF((COUNTIFS(#REF!,$C675,#REF!,"*LIGAÇÃO ATIVA DEV PRIN/LOC*"))&gt;=1,"SIM","")</f>
        <v>#REF!</v>
      </c>
    </row>
    <row r="676" spans="1:20">
      <c r="A676" s="24" t="s">
        <v>2157</v>
      </c>
      <c r="B676" s="24" t="s">
        <v>1523</v>
      </c>
      <c r="C676" s="24" t="s">
        <v>1524</v>
      </c>
      <c r="D676" s="5" t="e">
        <f>IF((COUNTIFS(#REF!,$C676,#REF!,"*163*"))&gt;=1,"SIM","")</f>
        <v>#REF!</v>
      </c>
      <c r="E676" s="5" t="e">
        <f>IF((COUNTIFS(#REF!,$C676,#REF!,E$1))&gt;=1,"SIM","")</f>
        <v>#REF!</v>
      </c>
      <c r="F676" s="5" t="e">
        <f>IF((COUNTIFS(#REF!,$C676,#REF!,F$1))&gt;=1,"SIM","")</f>
        <v>#REF!</v>
      </c>
      <c r="G676" s="5" t="e">
        <f>IF((COUNTIFS(#REF!,$C676,#REF!,"*606*"))&gt;=1,"SIM","")</f>
        <v>#REF!</v>
      </c>
      <c r="H676" s="5" t="e">
        <f>IF((COUNTIFS(#REF!,$C676,#REF!,"*605*"))&gt;=1,"SIM","")</f>
        <v>#REF!</v>
      </c>
      <c r="I676" s="5" t="e">
        <f>IF((COUNTIFS(#REF!,$C676,#REF!,I$1))&gt;=1,"SIM","")</f>
        <v>#REF!</v>
      </c>
      <c r="J676" s="5" t="e">
        <f>IF((COUNTIFS(#REF!,$C676,#REF!,J$1))&gt;=1,"SIM","")</f>
        <v>#REF!</v>
      </c>
      <c r="K676" s="5" t="e">
        <f>IF((COUNTIFS(#REF!,$C676,#REF!,K$1))&gt;=1,"SIM","")</f>
        <v>#REF!</v>
      </c>
      <c r="L676" s="5" t="e">
        <f>IF((COUNTIFS(#REF!,$C676,#REF!,L$1))&gt;=1,"SIM","")</f>
        <v>#REF!</v>
      </c>
      <c r="M676" s="5" t="e">
        <f>IF((COUNTIFS(#REF!,$C676,#REF!,M$1))&gt;=1,"SIM","")</f>
        <v>#REF!</v>
      </c>
      <c r="N676" s="5" t="e">
        <f>IF((COUNTIFS(#REF!,$C676,#REF!,N$1))&gt;=1,"SIM","")</f>
        <v>#REF!</v>
      </c>
      <c r="O676" s="5"/>
      <c r="P676" s="5" t="e">
        <f>IF((COUNTIFS(#REF!,$C676,#REF!,P$1))&gt;=1,"SIM","")</f>
        <v>#REF!</v>
      </c>
      <c r="Q676" s="5" t="e">
        <f>IF((COUNTIFS(#REF!,$C676,#REF!,Q$1))&gt;=1,"SIM","")</f>
        <v>#REF!</v>
      </c>
      <c r="R676" s="5" t="e">
        <f>IF((COUNTIFS(#REF!,$C676,#REF!,"*CARTA*"))&gt;=1,"SIM","")</f>
        <v>#REF!</v>
      </c>
      <c r="S676" s="5" t="e">
        <f>IF((COUNTIFS(#REF!,$C676,#REF!,"*CARTA NOTIFICAÇÃO/DEVOL*"))&gt;=1,"SIM","")</f>
        <v>#REF!</v>
      </c>
      <c r="T676" s="5" t="e">
        <f>IF((COUNTIFS(#REF!,$C676,#REF!,"*LIGAÇÃO ATIVA DEV PRIN/LOC*"))&gt;=1,"SIM","")</f>
        <v>#REF!</v>
      </c>
    </row>
    <row r="677" spans="1:20">
      <c r="A677" s="24" t="s">
        <v>2153</v>
      </c>
      <c r="B677" s="24" t="s">
        <v>269</v>
      </c>
      <c r="C677" s="24" t="s">
        <v>270</v>
      </c>
      <c r="D677" s="5" t="e">
        <f>IF((COUNTIFS(#REF!,$C677,#REF!,"*163*"))&gt;=1,"SIM","")</f>
        <v>#REF!</v>
      </c>
      <c r="E677" s="5" t="e">
        <f>IF((COUNTIFS(#REF!,$C677,#REF!,E$1))&gt;=1,"SIM","")</f>
        <v>#REF!</v>
      </c>
      <c r="F677" s="5" t="e">
        <f>IF((COUNTIFS(#REF!,$C677,#REF!,F$1))&gt;=1,"SIM","")</f>
        <v>#REF!</v>
      </c>
      <c r="G677" s="5" t="e">
        <f>IF((COUNTIFS(#REF!,$C677,#REF!,"*606*"))&gt;=1,"SIM","")</f>
        <v>#REF!</v>
      </c>
      <c r="H677" s="5" t="e">
        <f>IF((COUNTIFS(#REF!,$C677,#REF!,"*605*"))&gt;=1,"SIM","")</f>
        <v>#REF!</v>
      </c>
      <c r="I677" s="5" t="e">
        <f>IF((COUNTIFS(#REF!,$C677,#REF!,I$1))&gt;=1,"SIM","")</f>
        <v>#REF!</v>
      </c>
      <c r="J677" s="5" t="e">
        <f>IF((COUNTIFS(#REF!,$C677,#REF!,J$1))&gt;=1,"SIM","")</f>
        <v>#REF!</v>
      </c>
      <c r="K677" s="5" t="e">
        <f>IF((COUNTIFS(#REF!,$C677,#REF!,K$1))&gt;=1,"SIM","")</f>
        <v>#REF!</v>
      </c>
      <c r="L677" s="5" t="e">
        <f>IF((COUNTIFS(#REF!,$C677,#REF!,L$1))&gt;=1,"SIM","")</f>
        <v>#REF!</v>
      </c>
      <c r="M677" s="5" t="e">
        <f>IF((COUNTIFS(#REF!,$C677,#REF!,M$1))&gt;=1,"SIM","")</f>
        <v>#REF!</v>
      </c>
      <c r="N677" s="5" t="e">
        <f>IF((COUNTIFS(#REF!,$C677,#REF!,N$1))&gt;=1,"SIM","")</f>
        <v>#REF!</v>
      </c>
      <c r="O677" s="5"/>
      <c r="P677" s="5" t="e">
        <f>IF((COUNTIFS(#REF!,$C677,#REF!,P$1))&gt;=1,"SIM","")</f>
        <v>#REF!</v>
      </c>
      <c r="Q677" s="5" t="e">
        <f>IF((COUNTIFS(#REF!,$C677,#REF!,Q$1))&gt;=1,"SIM","")</f>
        <v>#REF!</v>
      </c>
      <c r="R677" s="5" t="e">
        <f>IF((COUNTIFS(#REF!,$C677,#REF!,"*CARTA*"))&gt;=1,"SIM","")</f>
        <v>#REF!</v>
      </c>
      <c r="S677" s="5" t="e">
        <f>IF((COUNTIFS(#REF!,$C677,#REF!,"*CARTA NOTIFICAÇÃO/DEVOL*"))&gt;=1,"SIM","")</f>
        <v>#REF!</v>
      </c>
      <c r="T677" s="5" t="e">
        <f>IF((COUNTIFS(#REF!,$C677,#REF!,"*LIGAÇÃO ATIVA DEV PRIN/LOC*"))&gt;=1,"SIM","")</f>
        <v>#REF!</v>
      </c>
    </row>
    <row r="678" spans="1:20">
      <c r="A678" s="24" t="s">
        <v>2159</v>
      </c>
      <c r="B678" s="24" t="s">
        <v>1885</v>
      </c>
      <c r="C678" s="24" t="s">
        <v>1886</v>
      </c>
      <c r="D678" s="5" t="e">
        <f>IF((COUNTIFS(#REF!,$C678,#REF!,"*163*"))&gt;=1,"SIM","")</f>
        <v>#REF!</v>
      </c>
      <c r="E678" s="5" t="e">
        <f>IF((COUNTIFS(#REF!,$C678,#REF!,E$1))&gt;=1,"SIM","")</f>
        <v>#REF!</v>
      </c>
      <c r="F678" s="5" t="e">
        <f>IF((COUNTIFS(#REF!,$C678,#REF!,F$1))&gt;=1,"SIM","")</f>
        <v>#REF!</v>
      </c>
      <c r="G678" s="5" t="e">
        <f>IF((COUNTIFS(#REF!,$C678,#REF!,"*606*"))&gt;=1,"SIM","")</f>
        <v>#REF!</v>
      </c>
      <c r="H678" s="5" t="e">
        <f>IF((COUNTIFS(#REF!,$C678,#REF!,"*605*"))&gt;=1,"SIM","")</f>
        <v>#REF!</v>
      </c>
      <c r="I678" s="5" t="e">
        <f>IF((COUNTIFS(#REF!,$C678,#REF!,I$1))&gt;=1,"SIM","")</f>
        <v>#REF!</v>
      </c>
      <c r="J678" s="5" t="e">
        <f>IF((COUNTIFS(#REF!,$C678,#REF!,J$1))&gt;=1,"SIM","")</f>
        <v>#REF!</v>
      </c>
      <c r="K678" s="5" t="e">
        <f>IF((COUNTIFS(#REF!,$C678,#REF!,K$1))&gt;=1,"SIM","")</f>
        <v>#REF!</v>
      </c>
      <c r="L678" s="5" t="e">
        <f>IF((COUNTIFS(#REF!,$C678,#REF!,L$1))&gt;=1,"SIM","")</f>
        <v>#REF!</v>
      </c>
      <c r="M678" s="5" t="e">
        <f>IF((COUNTIFS(#REF!,$C678,#REF!,M$1))&gt;=1,"SIM","")</f>
        <v>#REF!</v>
      </c>
      <c r="N678" s="5" t="e">
        <f>IF((COUNTIFS(#REF!,$C678,#REF!,N$1))&gt;=1,"SIM","")</f>
        <v>#REF!</v>
      </c>
      <c r="O678" s="5"/>
      <c r="P678" s="5" t="e">
        <f>IF((COUNTIFS(#REF!,$C678,#REF!,P$1))&gt;=1,"SIM","")</f>
        <v>#REF!</v>
      </c>
      <c r="Q678" s="5" t="e">
        <f>IF((COUNTIFS(#REF!,$C678,#REF!,Q$1))&gt;=1,"SIM","")</f>
        <v>#REF!</v>
      </c>
      <c r="R678" s="5" t="e">
        <f>IF((COUNTIFS(#REF!,$C678,#REF!,"*CARTA*"))&gt;=1,"SIM","")</f>
        <v>#REF!</v>
      </c>
      <c r="S678" s="5" t="e">
        <f>IF((COUNTIFS(#REF!,$C678,#REF!,"*CARTA NOTIFICAÇÃO/DEVOL*"))&gt;=1,"SIM","")</f>
        <v>#REF!</v>
      </c>
      <c r="T678" s="5" t="e">
        <f>IF((COUNTIFS(#REF!,$C678,#REF!,"*LIGAÇÃO ATIVA DEV PRIN/LOC*"))&gt;=1,"SIM","")</f>
        <v>#REF!</v>
      </c>
    </row>
    <row r="679" spans="1:20">
      <c r="A679" s="24" t="s">
        <v>2158</v>
      </c>
      <c r="B679" s="24" t="s">
        <v>1817</v>
      </c>
      <c r="C679" s="24" t="s">
        <v>1818</v>
      </c>
      <c r="D679" s="5" t="e">
        <f>IF((COUNTIFS(#REF!,$C679,#REF!,"*163*"))&gt;=1,"SIM","")</f>
        <v>#REF!</v>
      </c>
      <c r="E679" s="5" t="e">
        <f>IF((COUNTIFS(#REF!,$C679,#REF!,E$1))&gt;=1,"SIM","")</f>
        <v>#REF!</v>
      </c>
      <c r="F679" s="5" t="e">
        <f>IF((COUNTIFS(#REF!,$C679,#REF!,F$1))&gt;=1,"SIM","")</f>
        <v>#REF!</v>
      </c>
      <c r="G679" s="5" t="e">
        <f>IF((COUNTIFS(#REF!,$C679,#REF!,"*606*"))&gt;=1,"SIM","")</f>
        <v>#REF!</v>
      </c>
      <c r="H679" s="5" t="e">
        <f>IF((COUNTIFS(#REF!,$C679,#REF!,"*605*"))&gt;=1,"SIM","")</f>
        <v>#REF!</v>
      </c>
      <c r="I679" s="5" t="e">
        <f>IF((COUNTIFS(#REF!,$C679,#REF!,I$1))&gt;=1,"SIM","")</f>
        <v>#REF!</v>
      </c>
      <c r="J679" s="5" t="e">
        <f>IF((COUNTIFS(#REF!,$C679,#REF!,J$1))&gt;=1,"SIM","")</f>
        <v>#REF!</v>
      </c>
      <c r="K679" s="5" t="e">
        <f>IF((COUNTIFS(#REF!,$C679,#REF!,K$1))&gt;=1,"SIM","")</f>
        <v>#REF!</v>
      </c>
      <c r="L679" s="5" t="e">
        <f>IF((COUNTIFS(#REF!,$C679,#REF!,L$1))&gt;=1,"SIM","")</f>
        <v>#REF!</v>
      </c>
      <c r="M679" s="5" t="e">
        <f>IF((COUNTIFS(#REF!,$C679,#REF!,M$1))&gt;=1,"SIM","")</f>
        <v>#REF!</v>
      </c>
      <c r="N679" s="5" t="e">
        <f>IF((COUNTIFS(#REF!,$C679,#REF!,N$1))&gt;=1,"SIM","")</f>
        <v>#REF!</v>
      </c>
      <c r="O679" s="5"/>
      <c r="P679" s="5" t="e">
        <f>IF((COUNTIFS(#REF!,$C679,#REF!,P$1))&gt;=1,"SIM","")</f>
        <v>#REF!</v>
      </c>
      <c r="Q679" s="5" t="e">
        <f>IF((COUNTIFS(#REF!,$C679,#REF!,Q$1))&gt;=1,"SIM","")</f>
        <v>#REF!</v>
      </c>
      <c r="R679" s="5" t="e">
        <f>IF((COUNTIFS(#REF!,$C679,#REF!,"*CARTA*"))&gt;=1,"SIM","")</f>
        <v>#REF!</v>
      </c>
      <c r="S679" s="5" t="e">
        <f>IF((COUNTIFS(#REF!,$C679,#REF!,"*CARTA NOTIFICAÇÃO/DEVOL*"))&gt;=1,"SIM","")</f>
        <v>#REF!</v>
      </c>
      <c r="T679" s="5" t="e">
        <f>IF((COUNTIFS(#REF!,$C679,#REF!,"*LIGAÇÃO ATIVA DEV PRIN/LOC*"))&gt;=1,"SIM","")</f>
        <v>#REF!</v>
      </c>
    </row>
    <row r="680" spans="1:20">
      <c r="A680" s="24" t="s">
        <v>2153</v>
      </c>
      <c r="B680" s="24" t="s">
        <v>980</v>
      </c>
      <c r="C680" s="24" t="s">
        <v>981</v>
      </c>
      <c r="D680" s="5" t="e">
        <f>IF((COUNTIFS(#REF!,$C680,#REF!,"*163*"))&gt;=1,"SIM","")</f>
        <v>#REF!</v>
      </c>
      <c r="E680" s="5" t="e">
        <f>IF((COUNTIFS(#REF!,$C680,#REF!,E$1))&gt;=1,"SIM","")</f>
        <v>#REF!</v>
      </c>
      <c r="F680" s="5" t="e">
        <f>IF((COUNTIFS(#REF!,$C680,#REF!,F$1))&gt;=1,"SIM","")</f>
        <v>#REF!</v>
      </c>
      <c r="G680" s="5" t="e">
        <f>IF((COUNTIFS(#REF!,$C680,#REF!,"*606*"))&gt;=1,"SIM","")</f>
        <v>#REF!</v>
      </c>
      <c r="H680" s="5" t="e">
        <f>IF((COUNTIFS(#REF!,$C680,#REF!,"*605*"))&gt;=1,"SIM","")</f>
        <v>#REF!</v>
      </c>
      <c r="I680" s="5" t="e">
        <f>IF((COUNTIFS(#REF!,$C680,#REF!,I$1))&gt;=1,"SIM","")</f>
        <v>#REF!</v>
      </c>
      <c r="J680" s="5" t="e">
        <f>IF((COUNTIFS(#REF!,$C680,#REF!,J$1))&gt;=1,"SIM","")</f>
        <v>#REF!</v>
      </c>
      <c r="K680" s="5" t="e">
        <f>IF((COUNTIFS(#REF!,$C680,#REF!,K$1))&gt;=1,"SIM","")</f>
        <v>#REF!</v>
      </c>
      <c r="L680" s="5" t="e">
        <f>IF((COUNTIFS(#REF!,$C680,#REF!,L$1))&gt;=1,"SIM","")</f>
        <v>#REF!</v>
      </c>
      <c r="M680" s="5" t="e">
        <f>IF((COUNTIFS(#REF!,$C680,#REF!,M$1))&gt;=1,"SIM","")</f>
        <v>#REF!</v>
      </c>
      <c r="N680" s="5" t="e">
        <f>IF((COUNTIFS(#REF!,$C680,#REF!,N$1))&gt;=1,"SIM","")</f>
        <v>#REF!</v>
      </c>
      <c r="O680" s="5"/>
      <c r="P680" s="5" t="e">
        <f>IF((COUNTIFS(#REF!,$C680,#REF!,P$1))&gt;=1,"SIM","")</f>
        <v>#REF!</v>
      </c>
      <c r="Q680" s="5" t="e">
        <f>IF((COUNTIFS(#REF!,$C680,#REF!,Q$1))&gt;=1,"SIM","")</f>
        <v>#REF!</v>
      </c>
      <c r="R680" s="5" t="e">
        <f>IF((COUNTIFS(#REF!,$C680,#REF!,"*CARTA*"))&gt;=1,"SIM","")</f>
        <v>#REF!</v>
      </c>
      <c r="S680" s="5" t="e">
        <f>IF((COUNTIFS(#REF!,$C680,#REF!,"*CARTA NOTIFICAÇÃO/DEVOL*"))&gt;=1,"SIM","")</f>
        <v>#REF!</v>
      </c>
      <c r="T680" s="5" t="e">
        <f>IF((COUNTIFS(#REF!,$C680,#REF!,"*LIGAÇÃO ATIVA DEV PRIN/LOC*"))&gt;=1,"SIM","")</f>
        <v>#REF!</v>
      </c>
    </row>
    <row r="681" spans="1:20">
      <c r="A681" s="24" t="s">
        <v>2158</v>
      </c>
      <c r="B681" s="24" t="s">
        <v>1057</v>
      </c>
      <c r="C681" s="24" t="s">
        <v>1058</v>
      </c>
      <c r="D681" s="5" t="e">
        <f>IF((COUNTIFS(#REF!,$C681,#REF!,"*163*"))&gt;=1,"SIM","")</f>
        <v>#REF!</v>
      </c>
      <c r="E681" s="5" t="e">
        <f>IF((COUNTIFS(#REF!,$C681,#REF!,E$1))&gt;=1,"SIM","")</f>
        <v>#REF!</v>
      </c>
      <c r="F681" s="5" t="e">
        <f>IF((COUNTIFS(#REF!,$C681,#REF!,F$1))&gt;=1,"SIM","")</f>
        <v>#REF!</v>
      </c>
      <c r="G681" s="5" t="e">
        <f>IF((COUNTIFS(#REF!,$C681,#REF!,"*606*"))&gt;=1,"SIM","")</f>
        <v>#REF!</v>
      </c>
      <c r="H681" s="5" t="e">
        <f>IF((COUNTIFS(#REF!,$C681,#REF!,"*605*"))&gt;=1,"SIM","")</f>
        <v>#REF!</v>
      </c>
      <c r="I681" s="5" t="e">
        <f>IF((COUNTIFS(#REF!,$C681,#REF!,I$1))&gt;=1,"SIM","")</f>
        <v>#REF!</v>
      </c>
      <c r="J681" s="5" t="e">
        <f>IF((COUNTIFS(#REF!,$C681,#REF!,J$1))&gt;=1,"SIM","")</f>
        <v>#REF!</v>
      </c>
      <c r="K681" s="5" t="e">
        <f>IF((COUNTIFS(#REF!,$C681,#REF!,K$1))&gt;=1,"SIM","")</f>
        <v>#REF!</v>
      </c>
      <c r="L681" s="5" t="e">
        <f>IF((COUNTIFS(#REF!,$C681,#REF!,L$1))&gt;=1,"SIM","")</f>
        <v>#REF!</v>
      </c>
      <c r="M681" s="5" t="e">
        <f>IF((COUNTIFS(#REF!,$C681,#REF!,M$1))&gt;=1,"SIM","")</f>
        <v>#REF!</v>
      </c>
      <c r="N681" s="5" t="e">
        <f>IF((COUNTIFS(#REF!,$C681,#REF!,N$1))&gt;=1,"SIM","")</f>
        <v>#REF!</v>
      </c>
      <c r="O681" s="5"/>
      <c r="P681" s="5" t="e">
        <f>IF((COUNTIFS(#REF!,$C681,#REF!,P$1))&gt;=1,"SIM","")</f>
        <v>#REF!</v>
      </c>
      <c r="Q681" s="5" t="e">
        <f>IF((COUNTIFS(#REF!,$C681,#REF!,Q$1))&gt;=1,"SIM","")</f>
        <v>#REF!</v>
      </c>
      <c r="R681" s="5" t="e">
        <f>IF((COUNTIFS(#REF!,$C681,#REF!,"*CARTA*"))&gt;=1,"SIM","")</f>
        <v>#REF!</v>
      </c>
      <c r="S681" s="5" t="e">
        <f>IF((COUNTIFS(#REF!,$C681,#REF!,"*CARTA NOTIFICAÇÃO/DEVOL*"))&gt;=1,"SIM","")</f>
        <v>#REF!</v>
      </c>
      <c r="T681" s="5" t="e">
        <f>IF((COUNTIFS(#REF!,$C681,#REF!,"*LIGAÇÃO ATIVA DEV PRIN/LOC*"))&gt;=1,"SIM","")</f>
        <v>#REF!</v>
      </c>
    </row>
    <row r="682" spans="1:20">
      <c r="A682" s="24" t="s">
        <v>2159</v>
      </c>
      <c r="B682" s="24" t="s">
        <v>1078</v>
      </c>
      <c r="C682" s="24" t="s">
        <v>1079</v>
      </c>
      <c r="D682" s="5" t="e">
        <f>IF((COUNTIFS(#REF!,$C682,#REF!,"*163*"))&gt;=1,"SIM","")</f>
        <v>#REF!</v>
      </c>
      <c r="E682" s="5" t="e">
        <f>IF((COUNTIFS(#REF!,$C682,#REF!,E$1))&gt;=1,"SIM","")</f>
        <v>#REF!</v>
      </c>
      <c r="F682" s="5" t="e">
        <f>IF((COUNTIFS(#REF!,$C682,#REF!,F$1))&gt;=1,"SIM","")</f>
        <v>#REF!</v>
      </c>
      <c r="G682" s="5" t="e">
        <f>IF((COUNTIFS(#REF!,$C682,#REF!,"*606*"))&gt;=1,"SIM","")</f>
        <v>#REF!</v>
      </c>
      <c r="H682" s="5" t="e">
        <f>IF((COUNTIFS(#REF!,$C682,#REF!,"*605*"))&gt;=1,"SIM","")</f>
        <v>#REF!</v>
      </c>
      <c r="I682" s="5" t="e">
        <f>IF((COUNTIFS(#REF!,$C682,#REF!,I$1))&gt;=1,"SIM","")</f>
        <v>#REF!</v>
      </c>
      <c r="J682" s="5" t="e">
        <f>IF((COUNTIFS(#REF!,$C682,#REF!,J$1))&gt;=1,"SIM","")</f>
        <v>#REF!</v>
      </c>
      <c r="K682" s="5" t="e">
        <f>IF((COUNTIFS(#REF!,$C682,#REF!,K$1))&gt;=1,"SIM","")</f>
        <v>#REF!</v>
      </c>
      <c r="L682" s="5" t="e">
        <f>IF((COUNTIFS(#REF!,$C682,#REF!,L$1))&gt;=1,"SIM","")</f>
        <v>#REF!</v>
      </c>
      <c r="M682" s="5" t="e">
        <f>IF((COUNTIFS(#REF!,$C682,#REF!,M$1))&gt;=1,"SIM","")</f>
        <v>#REF!</v>
      </c>
      <c r="N682" s="5" t="e">
        <f>IF((COUNTIFS(#REF!,$C682,#REF!,N$1))&gt;=1,"SIM","")</f>
        <v>#REF!</v>
      </c>
      <c r="O682" s="5"/>
      <c r="P682" s="5" t="e">
        <f>IF((COUNTIFS(#REF!,$C682,#REF!,P$1))&gt;=1,"SIM","")</f>
        <v>#REF!</v>
      </c>
      <c r="Q682" s="5" t="e">
        <f>IF((COUNTIFS(#REF!,$C682,#REF!,Q$1))&gt;=1,"SIM","")</f>
        <v>#REF!</v>
      </c>
      <c r="R682" s="5" t="e">
        <f>IF((COUNTIFS(#REF!,$C682,#REF!,"*CARTA*"))&gt;=1,"SIM","")</f>
        <v>#REF!</v>
      </c>
      <c r="S682" s="5" t="e">
        <f>IF((COUNTIFS(#REF!,$C682,#REF!,"*CARTA NOTIFICAÇÃO/DEVOL*"))&gt;=1,"SIM","")</f>
        <v>#REF!</v>
      </c>
      <c r="T682" s="5" t="e">
        <f>IF((COUNTIFS(#REF!,$C682,#REF!,"*LIGAÇÃO ATIVA DEV PRIN/LOC*"))&gt;=1,"SIM","")</f>
        <v>#REF!</v>
      </c>
    </row>
    <row r="683" spans="1:20">
      <c r="A683" s="24" t="s">
        <v>2159</v>
      </c>
      <c r="B683" s="24" t="s">
        <v>775</v>
      </c>
      <c r="C683" s="24" t="s">
        <v>776</v>
      </c>
      <c r="D683" s="5" t="e">
        <f>IF((COUNTIFS(#REF!,$C683,#REF!,"*163*"))&gt;=1,"SIM","")</f>
        <v>#REF!</v>
      </c>
      <c r="E683" s="5" t="e">
        <f>IF((COUNTIFS(#REF!,$C683,#REF!,E$1))&gt;=1,"SIM","")</f>
        <v>#REF!</v>
      </c>
      <c r="F683" s="5" t="e">
        <f>IF((COUNTIFS(#REF!,$C683,#REF!,F$1))&gt;=1,"SIM","")</f>
        <v>#REF!</v>
      </c>
      <c r="G683" s="5" t="e">
        <f>IF((COUNTIFS(#REF!,$C683,#REF!,"*606*"))&gt;=1,"SIM","")</f>
        <v>#REF!</v>
      </c>
      <c r="H683" s="5" t="e">
        <f>IF((COUNTIFS(#REF!,$C683,#REF!,"*605*"))&gt;=1,"SIM","")</f>
        <v>#REF!</v>
      </c>
      <c r="I683" s="5" t="e">
        <f>IF((COUNTIFS(#REF!,$C683,#REF!,I$1))&gt;=1,"SIM","")</f>
        <v>#REF!</v>
      </c>
      <c r="J683" s="5" t="e">
        <f>IF((COUNTIFS(#REF!,$C683,#REF!,J$1))&gt;=1,"SIM","")</f>
        <v>#REF!</v>
      </c>
      <c r="K683" s="5" t="e">
        <f>IF((COUNTIFS(#REF!,$C683,#REF!,K$1))&gt;=1,"SIM","")</f>
        <v>#REF!</v>
      </c>
      <c r="L683" s="5" t="e">
        <f>IF((COUNTIFS(#REF!,$C683,#REF!,L$1))&gt;=1,"SIM","")</f>
        <v>#REF!</v>
      </c>
      <c r="M683" s="5" t="e">
        <f>IF((COUNTIFS(#REF!,$C683,#REF!,M$1))&gt;=1,"SIM","")</f>
        <v>#REF!</v>
      </c>
      <c r="N683" s="5" t="e">
        <f>IF((COUNTIFS(#REF!,$C683,#REF!,N$1))&gt;=1,"SIM","")</f>
        <v>#REF!</v>
      </c>
      <c r="O683" s="5"/>
      <c r="P683" s="5" t="e">
        <f>IF((COUNTIFS(#REF!,$C683,#REF!,P$1))&gt;=1,"SIM","")</f>
        <v>#REF!</v>
      </c>
      <c r="Q683" s="5" t="e">
        <f>IF((COUNTIFS(#REF!,$C683,#REF!,Q$1))&gt;=1,"SIM","")</f>
        <v>#REF!</v>
      </c>
      <c r="R683" s="5" t="e">
        <f>IF((COUNTIFS(#REF!,$C683,#REF!,"*CARTA*"))&gt;=1,"SIM","")</f>
        <v>#REF!</v>
      </c>
      <c r="S683" s="5" t="e">
        <f>IF((COUNTIFS(#REF!,$C683,#REF!,"*CARTA NOTIFICAÇÃO/DEVOL*"))&gt;=1,"SIM","")</f>
        <v>#REF!</v>
      </c>
      <c r="T683" s="5" t="e">
        <f>IF((COUNTIFS(#REF!,$C683,#REF!,"*LIGAÇÃO ATIVA DEV PRIN/LOC*"))&gt;=1,"SIM","")</f>
        <v>#REF!</v>
      </c>
    </row>
    <row r="684" spans="1:20">
      <c r="A684" s="24" t="s">
        <v>2153</v>
      </c>
      <c r="B684" s="24" t="s">
        <v>886</v>
      </c>
      <c r="C684" s="24" t="s">
        <v>887</v>
      </c>
      <c r="D684" s="5" t="e">
        <f>IF((COUNTIFS(#REF!,$C684,#REF!,"*163*"))&gt;=1,"SIM","")</f>
        <v>#REF!</v>
      </c>
      <c r="E684" s="5" t="e">
        <f>IF((COUNTIFS(#REF!,$C684,#REF!,E$1))&gt;=1,"SIM","")</f>
        <v>#REF!</v>
      </c>
      <c r="F684" s="5" t="e">
        <f>IF((COUNTIFS(#REF!,$C684,#REF!,F$1))&gt;=1,"SIM","")</f>
        <v>#REF!</v>
      </c>
      <c r="G684" s="5" t="e">
        <f>IF((COUNTIFS(#REF!,$C684,#REF!,"*606*"))&gt;=1,"SIM","")</f>
        <v>#REF!</v>
      </c>
      <c r="H684" s="5" t="e">
        <f>IF((COUNTIFS(#REF!,$C684,#REF!,"*605*"))&gt;=1,"SIM","")</f>
        <v>#REF!</v>
      </c>
      <c r="I684" s="5" t="e">
        <f>IF((COUNTIFS(#REF!,$C684,#REF!,I$1))&gt;=1,"SIM","")</f>
        <v>#REF!</v>
      </c>
      <c r="J684" s="5" t="e">
        <f>IF((COUNTIFS(#REF!,$C684,#REF!,J$1))&gt;=1,"SIM","")</f>
        <v>#REF!</v>
      </c>
      <c r="K684" s="5" t="e">
        <f>IF((COUNTIFS(#REF!,$C684,#REF!,K$1))&gt;=1,"SIM","")</f>
        <v>#REF!</v>
      </c>
      <c r="L684" s="5" t="e">
        <f>IF((COUNTIFS(#REF!,$C684,#REF!,L$1))&gt;=1,"SIM","")</f>
        <v>#REF!</v>
      </c>
      <c r="M684" s="5" t="e">
        <f>IF((COUNTIFS(#REF!,$C684,#REF!,M$1))&gt;=1,"SIM","")</f>
        <v>#REF!</v>
      </c>
      <c r="N684" s="5" t="e">
        <f>IF((COUNTIFS(#REF!,$C684,#REF!,N$1))&gt;=1,"SIM","")</f>
        <v>#REF!</v>
      </c>
      <c r="O684" s="5"/>
      <c r="P684" s="5" t="e">
        <f>IF((COUNTIFS(#REF!,$C684,#REF!,P$1))&gt;=1,"SIM","")</f>
        <v>#REF!</v>
      </c>
      <c r="Q684" s="5" t="e">
        <f>IF((COUNTIFS(#REF!,$C684,#REF!,Q$1))&gt;=1,"SIM","")</f>
        <v>#REF!</v>
      </c>
      <c r="R684" s="5" t="e">
        <f>IF((COUNTIFS(#REF!,$C684,#REF!,"*CARTA*"))&gt;=1,"SIM","")</f>
        <v>#REF!</v>
      </c>
      <c r="S684" s="5" t="e">
        <f>IF((COUNTIFS(#REF!,$C684,#REF!,"*CARTA NOTIFICAÇÃO/DEVOL*"))&gt;=1,"SIM","")</f>
        <v>#REF!</v>
      </c>
      <c r="T684" s="5" t="e">
        <f>IF((COUNTIFS(#REF!,$C684,#REF!,"*LIGAÇÃO ATIVA DEV PRIN/LOC*"))&gt;=1,"SIM","")</f>
        <v>#REF!</v>
      </c>
    </row>
    <row r="685" spans="1:20">
      <c r="A685" s="24" t="s">
        <v>2153</v>
      </c>
      <c r="B685" s="24" t="s">
        <v>696</v>
      </c>
      <c r="C685" s="24" t="s">
        <v>697</v>
      </c>
      <c r="D685" s="5" t="e">
        <f>IF((COUNTIFS(#REF!,$C685,#REF!,"*163*"))&gt;=1,"SIM","")</f>
        <v>#REF!</v>
      </c>
      <c r="E685" s="5" t="e">
        <f>IF((COUNTIFS(#REF!,$C685,#REF!,E$1))&gt;=1,"SIM","")</f>
        <v>#REF!</v>
      </c>
      <c r="F685" s="5" t="e">
        <f>IF((COUNTIFS(#REF!,$C685,#REF!,F$1))&gt;=1,"SIM","")</f>
        <v>#REF!</v>
      </c>
      <c r="G685" s="5" t="e">
        <f>IF((COUNTIFS(#REF!,$C685,#REF!,"*606*"))&gt;=1,"SIM","")</f>
        <v>#REF!</v>
      </c>
      <c r="H685" s="5" t="e">
        <f>IF((COUNTIFS(#REF!,$C685,#REF!,"*605*"))&gt;=1,"SIM","")</f>
        <v>#REF!</v>
      </c>
      <c r="I685" s="5" t="e">
        <f>IF((COUNTIFS(#REF!,$C685,#REF!,I$1))&gt;=1,"SIM","")</f>
        <v>#REF!</v>
      </c>
      <c r="J685" s="5" t="e">
        <f>IF((COUNTIFS(#REF!,$C685,#REF!,J$1))&gt;=1,"SIM","")</f>
        <v>#REF!</v>
      </c>
      <c r="K685" s="5" t="e">
        <f>IF((COUNTIFS(#REF!,$C685,#REF!,K$1))&gt;=1,"SIM","")</f>
        <v>#REF!</v>
      </c>
      <c r="L685" s="5" t="e">
        <f>IF((COUNTIFS(#REF!,$C685,#REF!,L$1))&gt;=1,"SIM","")</f>
        <v>#REF!</v>
      </c>
      <c r="M685" s="5" t="e">
        <f>IF((COUNTIFS(#REF!,$C685,#REF!,M$1))&gt;=1,"SIM","")</f>
        <v>#REF!</v>
      </c>
      <c r="N685" s="5" t="e">
        <f>IF((COUNTIFS(#REF!,$C685,#REF!,N$1))&gt;=1,"SIM","")</f>
        <v>#REF!</v>
      </c>
      <c r="O685" s="5"/>
      <c r="P685" s="5" t="e">
        <f>IF((COUNTIFS(#REF!,$C685,#REF!,P$1))&gt;=1,"SIM","")</f>
        <v>#REF!</v>
      </c>
      <c r="Q685" s="5" t="e">
        <f>IF((COUNTIFS(#REF!,$C685,#REF!,Q$1))&gt;=1,"SIM","")</f>
        <v>#REF!</v>
      </c>
      <c r="R685" s="5" t="e">
        <f>IF((COUNTIFS(#REF!,$C685,#REF!,"*CARTA*"))&gt;=1,"SIM","")</f>
        <v>#REF!</v>
      </c>
      <c r="S685" s="5" t="e">
        <f>IF((COUNTIFS(#REF!,$C685,#REF!,"*CARTA NOTIFICAÇÃO/DEVOL*"))&gt;=1,"SIM","")</f>
        <v>#REF!</v>
      </c>
      <c r="T685" s="5" t="e">
        <f>IF((COUNTIFS(#REF!,$C685,#REF!,"*LIGAÇÃO ATIVA DEV PRIN/LOC*"))&gt;=1,"SIM","")</f>
        <v>#REF!</v>
      </c>
    </row>
    <row r="686" spans="1:20">
      <c r="A686" s="24" t="s">
        <v>2159</v>
      </c>
      <c r="B686" s="24" t="s">
        <v>2054</v>
      </c>
      <c r="C686" s="24" t="s">
        <v>2055</v>
      </c>
      <c r="D686" s="5" t="e">
        <f>IF((COUNTIFS(#REF!,$C686,#REF!,"*163*"))&gt;=1,"SIM","")</f>
        <v>#REF!</v>
      </c>
      <c r="E686" s="5" t="e">
        <f>IF((COUNTIFS(#REF!,$C686,#REF!,E$1))&gt;=1,"SIM","")</f>
        <v>#REF!</v>
      </c>
      <c r="F686" s="5" t="e">
        <f>IF((COUNTIFS(#REF!,$C686,#REF!,F$1))&gt;=1,"SIM","")</f>
        <v>#REF!</v>
      </c>
      <c r="G686" s="5" t="e">
        <f>IF((COUNTIFS(#REF!,$C686,#REF!,"*606*"))&gt;=1,"SIM","")</f>
        <v>#REF!</v>
      </c>
      <c r="H686" s="5" t="e">
        <f>IF((COUNTIFS(#REF!,$C686,#REF!,"*605*"))&gt;=1,"SIM","")</f>
        <v>#REF!</v>
      </c>
      <c r="I686" s="5" t="e">
        <f>IF((COUNTIFS(#REF!,$C686,#REF!,I$1))&gt;=1,"SIM","")</f>
        <v>#REF!</v>
      </c>
      <c r="J686" s="5" t="e">
        <f>IF((COUNTIFS(#REF!,$C686,#REF!,J$1))&gt;=1,"SIM","")</f>
        <v>#REF!</v>
      </c>
      <c r="K686" s="5" t="e">
        <f>IF((COUNTIFS(#REF!,$C686,#REF!,K$1))&gt;=1,"SIM","")</f>
        <v>#REF!</v>
      </c>
      <c r="L686" s="5" t="e">
        <f>IF((COUNTIFS(#REF!,$C686,#REF!,L$1))&gt;=1,"SIM","")</f>
        <v>#REF!</v>
      </c>
      <c r="M686" s="5" t="e">
        <f>IF((COUNTIFS(#REF!,$C686,#REF!,M$1))&gt;=1,"SIM","")</f>
        <v>#REF!</v>
      </c>
      <c r="N686" s="5" t="e">
        <f>IF((COUNTIFS(#REF!,$C686,#REF!,N$1))&gt;=1,"SIM","")</f>
        <v>#REF!</v>
      </c>
      <c r="O686" s="5"/>
      <c r="P686" s="5" t="e">
        <f>IF((COUNTIFS(#REF!,$C686,#REF!,P$1))&gt;=1,"SIM","")</f>
        <v>#REF!</v>
      </c>
      <c r="Q686" s="5" t="e">
        <f>IF((COUNTIFS(#REF!,$C686,#REF!,Q$1))&gt;=1,"SIM","")</f>
        <v>#REF!</v>
      </c>
      <c r="R686" s="5" t="e">
        <f>IF((COUNTIFS(#REF!,$C686,#REF!,"*CARTA*"))&gt;=1,"SIM","")</f>
        <v>#REF!</v>
      </c>
      <c r="S686" s="5" t="e">
        <f>IF((COUNTIFS(#REF!,$C686,#REF!,"*CARTA NOTIFICAÇÃO/DEVOL*"))&gt;=1,"SIM","")</f>
        <v>#REF!</v>
      </c>
      <c r="T686" s="5" t="e">
        <f>IF((COUNTIFS(#REF!,$C686,#REF!,"*LIGAÇÃO ATIVA DEV PRIN/LOC*"))&gt;=1,"SIM","")</f>
        <v>#REF!</v>
      </c>
    </row>
    <row r="687" spans="1:20">
      <c r="A687" s="24" t="s">
        <v>2153</v>
      </c>
      <c r="B687" s="24" t="s">
        <v>221</v>
      </c>
      <c r="C687" s="24" t="s">
        <v>222</v>
      </c>
      <c r="D687" s="5" t="e">
        <f>IF((COUNTIFS(#REF!,$C687,#REF!,"*163*"))&gt;=1,"SIM","")</f>
        <v>#REF!</v>
      </c>
      <c r="E687" s="5" t="e">
        <f>IF((COUNTIFS(#REF!,$C687,#REF!,E$1))&gt;=1,"SIM","")</f>
        <v>#REF!</v>
      </c>
      <c r="F687" s="5" t="e">
        <f>IF((COUNTIFS(#REF!,$C687,#REF!,F$1))&gt;=1,"SIM","")</f>
        <v>#REF!</v>
      </c>
      <c r="G687" s="5" t="e">
        <f>IF((COUNTIFS(#REF!,$C687,#REF!,"*606*"))&gt;=1,"SIM","")</f>
        <v>#REF!</v>
      </c>
      <c r="H687" s="5" t="e">
        <f>IF((COUNTIFS(#REF!,$C687,#REF!,"*605*"))&gt;=1,"SIM","")</f>
        <v>#REF!</v>
      </c>
      <c r="I687" s="5" t="e">
        <f>IF((COUNTIFS(#REF!,$C687,#REF!,I$1))&gt;=1,"SIM","")</f>
        <v>#REF!</v>
      </c>
      <c r="J687" s="5" t="e">
        <f>IF((COUNTIFS(#REF!,$C687,#REF!,J$1))&gt;=1,"SIM","")</f>
        <v>#REF!</v>
      </c>
      <c r="K687" s="5" t="e">
        <f>IF((COUNTIFS(#REF!,$C687,#REF!,K$1))&gt;=1,"SIM","")</f>
        <v>#REF!</v>
      </c>
      <c r="L687" s="5" t="e">
        <f>IF((COUNTIFS(#REF!,$C687,#REF!,L$1))&gt;=1,"SIM","")</f>
        <v>#REF!</v>
      </c>
      <c r="M687" s="5" t="e">
        <f>IF((COUNTIFS(#REF!,$C687,#REF!,M$1))&gt;=1,"SIM","")</f>
        <v>#REF!</v>
      </c>
      <c r="N687" s="5" t="e">
        <f>IF((COUNTIFS(#REF!,$C687,#REF!,N$1))&gt;=1,"SIM","")</f>
        <v>#REF!</v>
      </c>
      <c r="O687" s="5"/>
      <c r="P687" s="5" t="e">
        <f>IF((COUNTIFS(#REF!,$C687,#REF!,P$1))&gt;=1,"SIM","")</f>
        <v>#REF!</v>
      </c>
      <c r="Q687" s="5" t="e">
        <f>IF((COUNTIFS(#REF!,$C687,#REF!,Q$1))&gt;=1,"SIM","")</f>
        <v>#REF!</v>
      </c>
      <c r="R687" s="5" t="e">
        <f>IF((COUNTIFS(#REF!,$C687,#REF!,"*CARTA*"))&gt;=1,"SIM","")</f>
        <v>#REF!</v>
      </c>
      <c r="S687" s="5" t="e">
        <f>IF((COUNTIFS(#REF!,$C687,#REF!,"*CARTA NOTIFICAÇÃO/DEVOL*"))&gt;=1,"SIM","")</f>
        <v>#REF!</v>
      </c>
      <c r="T687" s="5" t="e">
        <f>IF((COUNTIFS(#REF!,$C687,#REF!,"*LIGAÇÃO ATIVA DEV PRIN/LOC*"))&gt;=1,"SIM","")</f>
        <v>#REF!</v>
      </c>
    </row>
    <row r="688" spans="1:20">
      <c r="A688" s="24" t="s">
        <v>2153</v>
      </c>
      <c r="B688" s="24" t="s">
        <v>908</v>
      </c>
      <c r="C688" s="24" t="s">
        <v>909</v>
      </c>
      <c r="D688" s="5" t="e">
        <f>IF((COUNTIFS(#REF!,$C688,#REF!,"*163*"))&gt;=1,"SIM","")</f>
        <v>#REF!</v>
      </c>
      <c r="E688" s="5" t="e">
        <f>IF((COUNTIFS(#REF!,$C688,#REF!,E$1))&gt;=1,"SIM","")</f>
        <v>#REF!</v>
      </c>
      <c r="F688" s="5" t="e">
        <f>IF((COUNTIFS(#REF!,$C688,#REF!,F$1))&gt;=1,"SIM","")</f>
        <v>#REF!</v>
      </c>
      <c r="G688" s="5" t="e">
        <f>IF((COUNTIFS(#REF!,$C688,#REF!,"*606*"))&gt;=1,"SIM","")</f>
        <v>#REF!</v>
      </c>
      <c r="H688" s="5" t="e">
        <f>IF((COUNTIFS(#REF!,$C688,#REF!,"*605*"))&gt;=1,"SIM","")</f>
        <v>#REF!</v>
      </c>
      <c r="I688" s="5" t="e">
        <f>IF((COUNTIFS(#REF!,$C688,#REF!,I$1))&gt;=1,"SIM","")</f>
        <v>#REF!</v>
      </c>
      <c r="J688" s="5" t="e">
        <f>IF((COUNTIFS(#REF!,$C688,#REF!,J$1))&gt;=1,"SIM","")</f>
        <v>#REF!</v>
      </c>
      <c r="K688" s="5" t="e">
        <f>IF((COUNTIFS(#REF!,$C688,#REF!,K$1))&gt;=1,"SIM","")</f>
        <v>#REF!</v>
      </c>
      <c r="L688" s="5" t="e">
        <f>IF((COUNTIFS(#REF!,$C688,#REF!,L$1))&gt;=1,"SIM","")</f>
        <v>#REF!</v>
      </c>
      <c r="M688" s="5" t="e">
        <f>IF((COUNTIFS(#REF!,$C688,#REF!,M$1))&gt;=1,"SIM","")</f>
        <v>#REF!</v>
      </c>
      <c r="N688" s="5" t="e">
        <f>IF((COUNTIFS(#REF!,$C688,#REF!,N$1))&gt;=1,"SIM","")</f>
        <v>#REF!</v>
      </c>
      <c r="O688" s="5"/>
      <c r="P688" s="5" t="e">
        <f>IF((COUNTIFS(#REF!,$C688,#REF!,P$1))&gt;=1,"SIM","")</f>
        <v>#REF!</v>
      </c>
      <c r="Q688" s="5" t="e">
        <f>IF((COUNTIFS(#REF!,$C688,#REF!,Q$1))&gt;=1,"SIM","")</f>
        <v>#REF!</v>
      </c>
      <c r="R688" s="5" t="e">
        <f>IF((COUNTIFS(#REF!,$C688,#REF!,"*CARTA*"))&gt;=1,"SIM","")</f>
        <v>#REF!</v>
      </c>
      <c r="S688" s="5" t="e">
        <f>IF((COUNTIFS(#REF!,$C688,#REF!,"*CARTA NOTIFICAÇÃO/DEVOL*"))&gt;=1,"SIM","")</f>
        <v>#REF!</v>
      </c>
      <c r="T688" s="5" t="e">
        <f>IF((COUNTIFS(#REF!,$C688,#REF!,"*LIGAÇÃO ATIVA DEV PRIN/LOC*"))&gt;=1,"SIM","")</f>
        <v>#REF!</v>
      </c>
    </row>
    <row r="689" spans="1:20">
      <c r="A689" s="24" t="s">
        <v>2158</v>
      </c>
      <c r="B689" s="24" t="s">
        <v>1518</v>
      </c>
      <c r="C689" s="24" t="s">
        <v>1519</v>
      </c>
      <c r="D689" s="5" t="e">
        <f>IF((COUNTIFS(#REF!,$C689,#REF!,"*163*"))&gt;=1,"SIM","")</f>
        <v>#REF!</v>
      </c>
      <c r="E689" s="5" t="e">
        <f>IF((COUNTIFS(#REF!,$C689,#REF!,E$1))&gt;=1,"SIM","")</f>
        <v>#REF!</v>
      </c>
      <c r="F689" s="5" t="e">
        <f>IF((COUNTIFS(#REF!,$C689,#REF!,F$1))&gt;=1,"SIM","")</f>
        <v>#REF!</v>
      </c>
      <c r="G689" s="5" t="e">
        <f>IF((COUNTIFS(#REF!,$C689,#REF!,"*606*"))&gt;=1,"SIM","")</f>
        <v>#REF!</v>
      </c>
      <c r="H689" s="5" t="e">
        <f>IF((COUNTIFS(#REF!,$C689,#REF!,"*605*"))&gt;=1,"SIM","")</f>
        <v>#REF!</v>
      </c>
      <c r="I689" s="5" t="e">
        <f>IF((COUNTIFS(#REF!,$C689,#REF!,I$1))&gt;=1,"SIM","")</f>
        <v>#REF!</v>
      </c>
      <c r="J689" s="5" t="e">
        <f>IF((COUNTIFS(#REF!,$C689,#REF!,J$1))&gt;=1,"SIM","")</f>
        <v>#REF!</v>
      </c>
      <c r="K689" s="5" t="e">
        <f>IF((COUNTIFS(#REF!,$C689,#REF!,K$1))&gt;=1,"SIM","")</f>
        <v>#REF!</v>
      </c>
      <c r="L689" s="5" t="e">
        <f>IF((COUNTIFS(#REF!,$C689,#REF!,L$1))&gt;=1,"SIM","")</f>
        <v>#REF!</v>
      </c>
      <c r="M689" s="5" t="e">
        <f>IF((COUNTIFS(#REF!,$C689,#REF!,M$1))&gt;=1,"SIM","")</f>
        <v>#REF!</v>
      </c>
      <c r="N689" s="5" t="e">
        <f>IF((COUNTIFS(#REF!,$C689,#REF!,N$1))&gt;=1,"SIM","")</f>
        <v>#REF!</v>
      </c>
      <c r="O689" s="5"/>
      <c r="P689" s="5" t="e">
        <f>IF((COUNTIFS(#REF!,$C689,#REF!,P$1))&gt;=1,"SIM","")</f>
        <v>#REF!</v>
      </c>
      <c r="Q689" s="5" t="e">
        <f>IF((COUNTIFS(#REF!,$C689,#REF!,Q$1))&gt;=1,"SIM","")</f>
        <v>#REF!</v>
      </c>
      <c r="R689" s="5" t="e">
        <f>IF((COUNTIFS(#REF!,$C689,#REF!,"*CARTA*"))&gt;=1,"SIM","")</f>
        <v>#REF!</v>
      </c>
      <c r="S689" s="5" t="e">
        <f>IF((COUNTIFS(#REF!,$C689,#REF!,"*CARTA NOTIFICAÇÃO/DEVOL*"))&gt;=1,"SIM","")</f>
        <v>#REF!</v>
      </c>
      <c r="T689" s="5" t="e">
        <f>IF((COUNTIFS(#REF!,$C689,#REF!,"*LIGAÇÃO ATIVA DEV PRIN/LOC*"))&gt;=1,"SIM","")</f>
        <v>#REF!</v>
      </c>
    </row>
    <row r="690" spans="1:20">
      <c r="A690" s="24" t="s">
        <v>2153</v>
      </c>
      <c r="B690" s="24" t="s">
        <v>1024</v>
      </c>
      <c r="C690" s="24" t="s">
        <v>1025</v>
      </c>
      <c r="D690" s="5" t="e">
        <f>IF((COUNTIFS(#REF!,$C690,#REF!,"*163*"))&gt;=1,"SIM","")</f>
        <v>#REF!</v>
      </c>
      <c r="E690" s="5" t="e">
        <f>IF((COUNTIFS(#REF!,$C690,#REF!,E$1))&gt;=1,"SIM","")</f>
        <v>#REF!</v>
      </c>
      <c r="F690" s="5" t="e">
        <f>IF((COUNTIFS(#REF!,$C690,#REF!,F$1))&gt;=1,"SIM","")</f>
        <v>#REF!</v>
      </c>
      <c r="G690" s="5" t="e">
        <f>IF((COUNTIFS(#REF!,$C690,#REF!,"*606*"))&gt;=1,"SIM","")</f>
        <v>#REF!</v>
      </c>
      <c r="H690" s="5" t="e">
        <f>IF((COUNTIFS(#REF!,$C690,#REF!,"*605*"))&gt;=1,"SIM","")</f>
        <v>#REF!</v>
      </c>
      <c r="I690" s="5" t="e">
        <f>IF((COUNTIFS(#REF!,$C690,#REF!,I$1))&gt;=1,"SIM","")</f>
        <v>#REF!</v>
      </c>
      <c r="J690" s="5" t="e">
        <f>IF((COUNTIFS(#REF!,$C690,#REF!,J$1))&gt;=1,"SIM","")</f>
        <v>#REF!</v>
      </c>
      <c r="K690" s="5" t="e">
        <f>IF((COUNTIFS(#REF!,$C690,#REF!,K$1))&gt;=1,"SIM","")</f>
        <v>#REF!</v>
      </c>
      <c r="L690" s="5" t="e">
        <f>IF((COUNTIFS(#REF!,$C690,#REF!,L$1))&gt;=1,"SIM","")</f>
        <v>#REF!</v>
      </c>
      <c r="M690" s="5" t="e">
        <f>IF((COUNTIFS(#REF!,$C690,#REF!,M$1))&gt;=1,"SIM","")</f>
        <v>#REF!</v>
      </c>
      <c r="N690" s="5" t="e">
        <f>IF((COUNTIFS(#REF!,$C690,#REF!,N$1))&gt;=1,"SIM","")</f>
        <v>#REF!</v>
      </c>
      <c r="O690" s="5"/>
      <c r="P690" s="5" t="e">
        <f>IF((COUNTIFS(#REF!,$C690,#REF!,P$1))&gt;=1,"SIM","")</f>
        <v>#REF!</v>
      </c>
      <c r="Q690" s="5" t="e">
        <f>IF((COUNTIFS(#REF!,$C690,#REF!,Q$1))&gt;=1,"SIM","")</f>
        <v>#REF!</v>
      </c>
      <c r="R690" s="5" t="e">
        <f>IF((COUNTIFS(#REF!,$C690,#REF!,"*CARTA*"))&gt;=1,"SIM","")</f>
        <v>#REF!</v>
      </c>
      <c r="S690" s="5" t="e">
        <f>IF((COUNTIFS(#REF!,$C690,#REF!,"*CARTA NOTIFICAÇÃO/DEVOL*"))&gt;=1,"SIM","")</f>
        <v>#REF!</v>
      </c>
      <c r="T690" s="5" t="e">
        <f>IF((COUNTIFS(#REF!,$C690,#REF!,"*LIGAÇÃO ATIVA DEV PRIN/LOC*"))&gt;=1,"SIM","")</f>
        <v>#REF!</v>
      </c>
    </row>
    <row r="691" spans="1:20">
      <c r="A691" s="24" t="s">
        <v>2159</v>
      </c>
      <c r="B691" s="24" t="s">
        <v>2045</v>
      </c>
      <c r="C691" s="24" t="s">
        <v>2046</v>
      </c>
      <c r="D691" s="5" t="e">
        <f>IF((COUNTIFS(#REF!,$C691,#REF!,"*163*"))&gt;=1,"SIM","")</f>
        <v>#REF!</v>
      </c>
      <c r="E691" s="5" t="e">
        <f>IF((COUNTIFS(#REF!,$C691,#REF!,E$1))&gt;=1,"SIM","")</f>
        <v>#REF!</v>
      </c>
      <c r="F691" s="5" t="e">
        <f>IF((COUNTIFS(#REF!,$C691,#REF!,F$1))&gt;=1,"SIM","")</f>
        <v>#REF!</v>
      </c>
      <c r="G691" s="5" t="e">
        <f>IF((COUNTIFS(#REF!,$C691,#REF!,"*606*"))&gt;=1,"SIM","")</f>
        <v>#REF!</v>
      </c>
      <c r="H691" s="5" t="e">
        <f>IF((COUNTIFS(#REF!,$C691,#REF!,"*605*"))&gt;=1,"SIM","")</f>
        <v>#REF!</v>
      </c>
      <c r="I691" s="5" t="e">
        <f>IF((COUNTIFS(#REF!,$C691,#REF!,I$1))&gt;=1,"SIM","")</f>
        <v>#REF!</v>
      </c>
      <c r="J691" s="5" t="e">
        <f>IF((COUNTIFS(#REF!,$C691,#REF!,J$1))&gt;=1,"SIM","")</f>
        <v>#REF!</v>
      </c>
      <c r="K691" s="5" t="e">
        <f>IF((COUNTIFS(#REF!,$C691,#REF!,K$1))&gt;=1,"SIM","")</f>
        <v>#REF!</v>
      </c>
      <c r="L691" s="5" t="e">
        <f>IF((COUNTIFS(#REF!,$C691,#REF!,L$1))&gt;=1,"SIM","")</f>
        <v>#REF!</v>
      </c>
      <c r="M691" s="5" t="e">
        <f>IF((COUNTIFS(#REF!,$C691,#REF!,M$1))&gt;=1,"SIM","")</f>
        <v>#REF!</v>
      </c>
      <c r="N691" s="5" t="e">
        <f>IF((COUNTIFS(#REF!,$C691,#REF!,N$1))&gt;=1,"SIM","")</f>
        <v>#REF!</v>
      </c>
      <c r="O691" s="5"/>
      <c r="P691" s="5" t="e">
        <f>IF((COUNTIFS(#REF!,$C691,#REF!,P$1))&gt;=1,"SIM","")</f>
        <v>#REF!</v>
      </c>
      <c r="Q691" s="5" t="e">
        <f>IF((COUNTIFS(#REF!,$C691,#REF!,Q$1))&gt;=1,"SIM","")</f>
        <v>#REF!</v>
      </c>
      <c r="R691" s="5" t="e">
        <f>IF((COUNTIFS(#REF!,$C691,#REF!,"*CARTA*"))&gt;=1,"SIM","")</f>
        <v>#REF!</v>
      </c>
      <c r="S691" s="5" t="e">
        <f>IF((COUNTIFS(#REF!,$C691,#REF!,"*CARTA NOTIFICAÇÃO/DEVOL*"))&gt;=1,"SIM","")</f>
        <v>#REF!</v>
      </c>
      <c r="T691" s="5" t="e">
        <f>IF((COUNTIFS(#REF!,$C691,#REF!,"*LIGAÇÃO ATIVA DEV PRIN/LOC*"))&gt;=1,"SIM","")</f>
        <v>#REF!</v>
      </c>
    </row>
    <row r="692" spans="1:20">
      <c r="A692" s="24" t="s">
        <v>2159</v>
      </c>
      <c r="B692" s="24" t="s">
        <v>816</v>
      </c>
      <c r="C692" s="24" t="s">
        <v>817</v>
      </c>
      <c r="D692" s="5" t="e">
        <f>IF((COUNTIFS(#REF!,$C692,#REF!,"*163*"))&gt;=1,"SIM","")</f>
        <v>#REF!</v>
      </c>
      <c r="E692" s="5" t="e">
        <f>IF((COUNTIFS(#REF!,$C692,#REF!,E$1))&gt;=1,"SIM","")</f>
        <v>#REF!</v>
      </c>
      <c r="F692" s="5" t="e">
        <f>IF((COUNTIFS(#REF!,$C692,#REF!,F$1))&gt;=1,"SIM","")</f>
        <v>#REF!</v>
      </c>
      <c r="G692" s="5" t="e">
        <f>IF((COUNTIFS(#REF!,$C692,#REF!,"*606*"))&gt;=1,"SIM","")</f>
        <v>#REF!</v>
      </c>
      <c r="H692" s="5" t="e">
        <f>IF((COUNTIFS(#REF!,$C692,#REF!,"*605*"))&gt;=1,"SIM","")</f>
        <v>#REF!</v>
      </c>
      <c r="I692" s="5" t="e">
        <f>IF((COUNTIFS(#REF!,$C692,#REF!,I$1))&gt;=1,"SIM","")</f>
        <v>#REF!</v>
      </c>
      <c r="J692" s="5" t="e">
        <f>IF((COUNTIFS(#REF!,$C692,#REF!,J$1))&gt;=1,"SIM","")</f>
        <v>#REF!</v>
      </c>
      <c r="K692" s="5" t="e">
        <f>IF((COUNTIFS(#REF!,$C692,#REF!,K$1))&gt;=1,"SIM","")</f>
        <v>#REF!</v>
      </c>
      <c r="L692" s="5" t="e">
        <f>IF((COUNTIFS(#REF!,$C692,#REF!,L$1))&gt;=1,"SIM","")</f>
        <v>#REF!</v>
      </c>
      <c r="M692" s="5" t="e">
        <f>IF((COUNTIFS(#REF!,$C692,#REF!,M$1))&gt;=1,"SIM","")</f>
        <v>#REF!</v>
      </c>
      <c r="N692" s="5" t="e">
        <f>IF((COUNTIFS(#REF!,$C692,#REF!,N$1))&gt;=1,"SIM","")</f>
        <v>#REF!</v>
      </c>
      <c r="O692" s="5"/>
      <c r="P692" s="5" t="e">
        <f>IF((COUNTIFS(#REF!,$C692,#REF!,P$1))&gt;=1,"SIM","")</f>
        <v>#REF!</v>
      </c>
      <c r="Q692" s="5" t="e">
        <f>IF((COUNTIFS(#REF!,$C692,#REF!,Q$1))&gt;=1,"SIM","")</f>
        <v>#REF!</v>
      </c>
      <c r="R692" s="5" t="e">
        <f>IF((COUNTIFS(#REF!,$C692,#REF!,"*CARTA*"))&gt;=1,"SIM","")</f>
        <v>#REF!</v>
      </c>
      <c r="S692" s="5" t="e">
        <f>IF((COUNTIFS(#REF!,$C692,#REF!,"*CARTA NOTIFICAÇÃO/DEVOL*"))&gt;=1,"SIM","")</f>
        <v>#REF!</v>
      </c>
      <c r="T692" s="5" t="e">
        <f>IF((COUNTIFS(#REF!,$C692,#REF!,"*LIGAÇÃO ATIVA DEV PRIN/LOC*"))&gt;=1,"SIM","")</f>
        <v>#REF!</v>
      </c>
    </row>
    <row r="693" spans="1:20">
      <c r="A693" s="24" t="s">
        <v>2159</v>
      </c>
      <c r="B693" s="24" t="s">
        <v>1294</v>
      </c>
      <c r="C693" s="24" t="s">
        <v>1295</v>
      </c>
      <c r="D693" s="5" t="e">
        <f>IF((COUNTIFS(#REF!,$C693,#REF!,"*163*"))&gt;=1,"SIM","")</f>
        <v>#REF!</v>
      </c>
      <c r="E693" s="5" t="e">
        <f>IF((COUNTIFS(#REF!,$C693,#REF!,E$1))&gt;=1,"SIM","")</f>
        <v>#REF!</v>
      </c>
      <c r="F693" s="5" t="e">
        <f>IF((COUNTIFS(#REF!,$C693,#REF!,F$1))&gt;=1,"SIM","")</f>
        <v>#REF!</v>
      </c>
      <c r="G693" s="5" t="e">
        <f>IF((COUNTIFS(#REF!,$C693,#REF!,"*606*"))&gt;=1,"SIM","")</f>
        <v>#REF!</v>
      </c>
      <c r="H693" s="5" t="e">
        <f>IF((COUNTIFS(#REF!,$C693,#REF!,"*605*"))&gt;=1,"SIM","")</f>
        <v>#REF!</v>
      </c>
      <c r="I693" s="5" t="e">
        <f>IF((COUNTIFS(#REF!,$C693,#REF!,I$1))&gt;=1,"SIM","")</f>
        <v>#REF!</v>
      </c>
      <c r="J693" s="5" t="e">
        <f>IF((COUNTIFS(#REF!,$C693,#REF!,J$1))&gt;=1,"SIM","")</f>
        <v>#REF!</v>
      </c>
      <c r="K693" s="5" t="e">
        <f>IF((COUNTIFS(#REF!,$C693,#REF!,K$1))&gt;=1,"SIM","")</f>
        <v>#REF!</v>
      </c>
      <c r="L693" s="5" t="e">
        <f>IF((COUNTIFS(#REF!,$C693,#REF!,L$1))&gt;=1,"SIM","")</f>
        <v>#REF!</v>
      </c>
      <c r="M693" s="5" t="e">
        <f>IF((COUNTIFS(#REF!,$C693,#REF!,M$1))&gt;=1,"SIM","")</f>
        <v>#REF!</v>
      </c>
      <c r="N693" s="5" t="e">
        <f>IF((COUNTIFS(#REF!,$C693,#REF!,N$1))&gt;=1,"SIM","")</f>
        <v>#REF!</v>
      </c>
      <c r="O693" s="5"/>
      <c r="P693" s="5" t="e">
        <f>IF((COUNTIFS(#REF!,$C693,#REF!,P$1))&gt;=1,"SIM","")</f>
        <v>#REF!</v>
      </c>
      <c r="Q693" s="5" t="e">
        <f>IF((COUNTIFS(#REF!,$C693,#REF!,Q$1))&gt;=1,"SIM","")</f>
        <v>#REF!</v>
      </c>
      <c r="R693" s="5" t="e">
        <f>IF((COUNTIFS(#REF!,$C693,#REF!,"*CARTA*"))&gt;=1,"SIM","")</f>
        <v>#REF!</v>
      </c>
      <c r="S693" s="5" t="e">
        <f>IF((COUNTIFS(#REF!,$C693,#REF!,"*CARTA NOTIFICAÇÃO/DEVOL*"))&gt;=1,"SIM","")</f>
        <v>#REF!</v>
      </c>
      <c r="T693" s="5" t="e">
        <f>IF((COUNTIFS(#REF!,$C693,#REF!,"*LIGAÇÃO ATIVA DEV PRIN/LOC*"))&gt;=1,"SIM","")</f>
        <v>#REF!</v>
      </c>
    </row>
    <row r="694" spans="1:20">
      <c r="A694" s="24" t="s">
        <v>2157</v>
      </c>
      <c r="B694" s="24" t="s">
        <v>1787</v>
      </c>
      <c r="C694" s="24" t="s">
        <v>1994</v>
      </c>
      <c r="D694" s="5" t="e">
        <f>IF((COUNTIFS(#REF!,$C694,#REF!,"*163*"))&gt;=1,"SIM","")</f>
        <v>#REF!</v>
      </c>
      <c r="E694" s="5" t="e">
        <f>IF((COUNTIFS(#REF!,$C694,#REF!,E$1))&gt;=1,"SIM","")</f>
        <v>#REF!</v>
      </c>
      <c r="F694" s="5" t="e">
        <f>IF((COUNTIFS(#REF!,$C694,#REF!,F$1))&gt;=1,"SIM","")</f>
        <v>#REF!</v>
      </c>
      <c r="G694" s="5" t="e">
        <f>IF((COUNTIFS(#REF!,$C694,#REF!,"*606*"))&gt;=1,"SIM","")</f>
        <v>#REF!</v>
      </c>
      <c r="H694" s="5" t="e">
        <f>IF((COUNTIFS(#REF!,$C694,#REF!,"*605*"))&gt;=1,"SIM","")</f>
        <v>#REF!</v>
      </c>
      <c r="I694" s="5" t="e">
        <f>IF((COUNTIFS(#REF!,$C694,#REF!,I$1))&gt;=1,"SIM","")</f>
        <v>#REF!</v>
      </c>
      <c r="J694" s="5" t="e">
        <f>IF((COUNTIFS(#REF!,$C694,#REF!,J$1))&gt;=1,"SIM","")</f>
        <v>#REF!</v>
      </c>
      <c r="K694" s="5" t="e">
        <f>IF((COUNTIFS(#REF!,$C694,#REF!,K$1))&gt;=1,"SIM","")</f>
        <v>#REF!</v>
      </c>
      <c r="L694" s="5" t="e">
        <f>IF((COUNTIFS(#REF!,$C694,#REF!,L$1))&gt;=1,"SIM","")</f>
        <v>#REF!</v>
      </c>
      <c r="M694" s="5" t="e">
        <f>IF((COUNTIFS(#REF!,$C694,#REF!,M$1))&gt;=1,"SIM","")</f>
        <v>#REF!</v>
      </c>
      <c r="N694" s="5" t="e">
        <f>IF((COUNTIFS(#REF!,$C694,#REF!,N$1))&gt;=1,"SIM","")</f>
        <v>#REF!</v>
      </c>
      <c r="O694" s="5"/>
      <c r="P694" s="5" t="e">
        <f>IF((COUNTIFS(#REF!,$C694,#REF!,P$1))&gt;=1,"SIM","")</f>
        <v>#REF!</v>
      </c>
      <c r="Q694" s="5" t="e">
        <f>IF((COUNTIFS(#REF!,$C694,#REF!,Q$1))&gt;=1,"SIM","")</f>
        <v>#REF!</v>
      </c>
      <c r="R694" s="5" t="e">
        <f>IF((COUNTIFS(#REF!,$C694,#REF!,"*CARTA*"))&gt;=1,"SIM","")</f>
        <v>#REF!</v>
      </c>
      <c r="S694" s="5" t="e">
        <f>IF((COUNTIFS(#REF!,$C694,#REF!,"*CARTA NOTIFICAÇÃO/DEVOL*"))&gt;=1,"SIM","")</f>
        <v>#REF!</v>
      </c>
      <c r="T694" s="5" t="e">
        <f>IF((COUNTIFS(#REF!,$C694,#REF!,"*LIGAÇÃO ATIVA DEV PRIN/LOC*"))&gt;=1,"SIM","")</f>
        <v>#REF!</v>
      </c>
    </row>
    <row r="695" spans="1:20">
      <c r="A695" s="24" t="s">
        <v>2158</v>
      </c>
      <c r="B695" s="24" t="s">
        <v>1756</v>
      </c>
      <c r="C695" s="24" t="s">
        <v>1757</v>
      </c>
      <c r="D695" s="5" t="e">
        <f>IF((COUNTIFS(#REF!,$C695,#REF!,"*163*"))&gt;=1,"SIM","")</f>
        <v>#REF!</v>
      </c>
      <c r="E695" s="5" t="e">
        <f>IF((COUNTIFS(#REF!,$C695,#REF!,E$1))&gt;=1,"SIM","")</f>
        <v>#REF!</v>
      </c>
      <c r="F695" s="5" t="e">
        <f>IF((COUNTIFS(#REF!,$C695,#REF!,F$1))&gt;=1,"SIM","")</f>
        <v>#REF!</v>
      </c>
      <c r="G695" s="5" t="e">
        <f>IF((COUNTIFS(#REF!,$C695,#REF!,"*606*"))&gt;=1,"SIM","")</f>
        <v>#REF!</v>
      </c>
      <c r="H695" s="5" t="e">
        <f>IF((COUNTIFS(#REF!,$C695,#REF!,"*605*"))&gt;=1,"SIM","")</f>
        <v>#REF!</v>
      </c>
      <c r="I695" s="5" t="e">
        <f>IF((COUNTIFS(#REF!,$C695,#REF!,I$1))&gt;=1,"SIM","")</f>
        <v>#REF!</v>
      </c>
      <c r="J695" s="5" t="e">
        <f>IF((COUNTIFS(#REF!,$C695,#REF!,J$1))&gt;=1,"SIM","")</f>
        <v>#REF!</v>
      </c>
      <c r="K695" s="5" t="e">
        <f>IF((COUNTIFS(#REF!,$C695,#REF!,K$1))&gt;=1,"SIM","")</f>
        <v>#REF!</v>
      </c>
      <c r="L695" s="5" t="e">
        <f>IF((COUNTIFS(#REF!,$C695,#REF!,L$1))&gt;=1,"SIM","")</f>
        <v>#REF!</v>
      </c>
      <c r="M695" s="5" t="e">
        <f>IF((COUNTIFS(#REF!,$C695,#REF!,M$1))&gt;=1,"SIM","")</f>
        <v>#REF!</v>
      </c>
      <c r="N695" s="5" t="e">
        <f>IF((COUNTIFS(#REF!,$C695,#REF!,N$1))&gt;=1,"SIM","")</f>
        <v>#REF!</v>
      </c>
      <c r="O695" s="5"/>
      <c r="P695" s="5" t="e">
        <f>IF((COUNTIFS(#REF!,$C695,#REF!,P$1))&gt;=1,"SIM","")</f>
        <v>#REF!</v>
      </c>
      <c r="Q695" s="5" t="e">
        <f>IF((COUNTIFS(#REF!,$C695,#REF!,Q$1))&gt;=1,"SIM","")</f>
        <v>#REF!</v>
      </c>
      <c r="R695" s="5" t="e">
        <f>IF((COUNTIFS(#REF!,$C695,#REF!,"*CARTA*"))&gt;=1,"SIM","")</f>
        <v>#REF!</v>
      </c>
      <c r="S695" s="5" t="e">
        <f>IF((COUNTIFS(#REF!,$C695,#REF!,"*CARTA NOTIFICAÇÃO/DEVOL*"))&gt;=1,"SIM","")</f>
        <v>#REF!</v>
      </c>
      <c r="T695" s="5" t="e">
        <f>IF((COUNTIFS(#REF!,$C695,#REF!,"*LIGAÇÃO ATIVA DEV PRIN/LOC*"))&gt;=1,"SIM","")</f>
        <v>#REF!</v>
      </c>
    </row>
    <row r="696" spans="1:20">
      <c r="A696" s="24" t="s">
        <v>2157</v>
      </c>
      <c r="B696" s="24" t="s">
        <v>1391</v>
      </c>
      <c r="C696" s="24" t="s">
        <v>1392</v>
      </c>
      <c r="D696" s="5" t="e">
        <f>IF((COUNTIFS(#REF!,$C696,#REF!,"*163*"))&gt;=1,"SIM","")</f>
        <v>#REF!</v>
      </c>
      <c r="E696" s="5" t="e">
        <f>IF((COUNTIFS(#REF!,$C696,#REF!,E$1))&gt;=1,"SIM","")</f>
        <v>#REF!</v>
      </c>
      <c r="F696" s="5" t="e">
        <f>IF((COUNTIFS(#REF!,$C696,#REF!,F$1))&gt;=1,"SIM","")</f>
        <v>#REF!</v>
      </c>
      <c r="G696" s="5" t="e">
        <f>IF((COUNTIFS(#REF!,$C696,#REF!,"*606*"))&gt;=1,"SIM","")</f>
        <v>#REF!</v>
      </c>
      <c r="H696" s="5" t="e">
        <f>IF((COUNTIFS(#REF!,$C696,#REF!,"*605*"))&gt;=1,"SIM","")</f>
        <v>#REF!</v>
      </c>
      <c r="I696" s="5" t="e">
        <f>IF((COUNTIFS(#REF!,$C696,#REF!,I$1))&gt;=1,"SIM","")</f>
        <v>#REF!</v>
      </c>
      <c r="J696" s="5" t="e">
        <f>IF((COUNTIFS(#REF!,$C696,#REF!,J$1))&gt;=1,"SIM","")</f>
        <v>#REF!</v>
      </c>
      <c r="K696" s="5" t="e">
        <f>IF((COUNTIFS(#REF!,$C696,#REF!,K$1))&gt;=1,"SIM","")</f>
        <v>#REF!</v>
      </c>
      <c r="L696" s="5" t="e">
        <f>IF((COUNTIFS(#REF!,$C696,#REF!,L$1))&gt;=1,"SIM","")</f>
        <v>#REF!</v>
      </c>
      <c r="M696" s="5" t="e">
        <f>IF((COUNTIFS(#REF!,$C696,#REF!,M$1))&gt;=1,"SIM","")</f>
        <v>#REF!</v>
      </c>
      <c r="N696" s="5" t="e">
        <f>IF((COUNTIFS(#REF!,$C696,#REF!,N$1))&gt;=1,"SIM","")</f>
        <v>#REF!</v>
      </c>
      <c r="O696" s="5"/>
      <c r="P696" s="5" t="e">
        <f>IF((COUNTIFS(#REF!,$C696,#REF!,P$1))&gt;=1,"SIM","")</f>
        <v>#REF!</v>
      </c>
      <c r="Q696" s="5" t="e">
        <f>IF((COUNTIFS(#REF!,$C696,#REF!,Q$1))&gt;=1,"SIM","")</f>
        <v>#REF!</v>
      </c>
      <c r="R696" s="5" t="e">
        <f>IF((COUNTIFS(#REF!,$C696,#REF!,"*CARTA*"))&gt;=1,"SIM","")</f>
        <v>#REF!</v>
      </c>
      <c r="S696" s="5" t="e">
        <f>IF((COUNTIFS(#REF!,$C696,#REF!,"*CARTA NOTIFICAÇÃO/DEVOL*"))&gt;=1,"SIM","")</f>
        <v>#REF!</v>
      </c>
      <c r="T696" s="5" t="e">
        <f>IF((COUNTIFS(#REF!,$C696,#REF!,"*LIGAÇÃO ATIVA DEV PRIN/LOC*"))&gt;=1,"SIM","")</f>
        <v>#REF!</v>
      </c>
    </row>
    <row r="697" spans="1:20">
      <c r="A697" s="24" t="s">
        <v>2159</v>
      </c>
      <c r="B697" s="24" t="s">
        <v>1958</v>
      </c>
      <c r="C697" s="24" t="s">
        <v>1959</v>
      </c>
      <c r="D697" s="5" t="e">
        <f>IF((COUNTIFS(#REF!,$C697,#REF!,"*163*"))&gt;=1,"SIM","")</f>
        <v>#REF!</v>
      </c>
      <c r="E697" s="5" t="e">
        <f>IF((COUNTIFS(#REF!,$C697,#REF!,E$1))&gt;=1,"SIM","")</f>
        <v>#REF!</v>
      </c>
      <c r="F697" s="5" t="e">
        <f>IF((COUNTIFS(#REF!,$C697,#REF!,F$1))&gt;=1,"SIM","")</f>
        <v>#REF!</v>
      </c>
      <c r="G697" s="5" t="e">
        <f>IF((COUNTIFS(#REF!,$C697,#REF!,"*606*"))&gt;=1,"SIM","")</f>
        <v>#REF!</v>
      </c>
      <c r="H697" s="5" t="e">
        <f>IF((COUNTIFS(#REF!,$C697,#REF!,"*605*"))&gt;=1,"SIM","")</f>
        <v>#REF!</v>
      </c>
      <c r="I697" s="5" t="e">
        <f>IF((COUNTIFS(#REF!,$C697,#REF!,I$1))&gt;=1,"SIM","")</f>
        <v>#REF!</v>
      </c>
      <c r="J697" s="5" t="e">
        <f>IF((COUNTIFS(#REF!,$C697,#REF!,J$1))&gt;=1,"SIM","")</f>
        <v>#REF!</v>
      </c>
      <c r="K697" s="5" t="e">
        <f>IF((COUNTIFS(#REF!,$C697,#REF!,K$1))&gt;=1,"SIM","")</f>
        <v>#REF!</v>
      </c>
      <c r="L697" s="5" t="e">
        <f>IF((COUNTIFS(#REF!,$C697,#REF!,L$1))&gt;=1,"SIM","")</f>
        <v>#REF!</v>
      </c>
      <c r="M697" s="5" t="e">
        <f>IF((COUNTIFS(#REF!,$C697,#REF!,M$1))&gt;=1,"SIM","")</f>
        <v>#REF!</v>
      </c>
      <c r="N697" s="5" t="e">
        <f>IF((COUNTIFS(#REF!,$C697,#REF!,N$1))&gt;=1,"SIM","")</f>
        <v>#REF!</v>
      </c>
      <c r="O697" s="5"/>
      <c r="P697" s="5" t="e">
        <f>IF((COUNTIFS(#REF!,$C697,#REF!,P$1))&gt;=1,"SIM","")</f>
        <v>#REF!</v>
      </c>
      <c r="Q697" s="5" t="e">
        <f>IF((COUNTIFS(#REF!,$C697,#REF!,Q$1))&gt;=1,"SIM","")</f>
        <v>#REF!</v>
      </c>
      <c r="R697" s="5" t="e">
        <f>IF((COUNTIFS(#REF!,$C697,#REF!,"*CARTA*"))&gt;=1,"SIM","")</f>
        <v>#REF!</v>
      </c>
      <c r="S697" s="5" t="e">
        <f>IF((COUNTIFS(#REF!,$C697,#REF!,"*CARTA NOTIFICAÇÃO/DEVOL*"))&gt;=1,"SIM","")</f>
        <v>#REF!</v>
      </c>
      <c r="T697" s="5" t="e">
        <f>IF((COUNTIFS(#REF!,$C697,#REF!,"*LIGAÇÃO ATIVA DEV PRIN/LOC*"))&gt;=1,"SIM","")</f>
        <v>#REF!</v>
      </c>
    </row>
    <row r="698" spans="1:20">
      <c r="A698" s="24" t="s">
        <v>2157</v>
      </c>
      <c r="B698" s="24" t="s">
        <v>1952</v>
      </c>
      <c r="C698" s="24" t="s">
        <v>1953</v>
      </c>
      <c r="D698" s="5" t="e">
        <f>IF((COUNTIFS(#REF!,$C698,#REF!,"*163*"))&gt;=1,"SIM","")</f>
        <v>#REF!</v>
      </c>
      <c r="E698" s="5" t="e">
        <f>IF((COUNTIFS(#REF!,$C698,#REF!,E$1))&gt;=1,"SIM","")</f>
        <v>#REF!</v>
      </c>
      <c r="F698" s="5" t="e">
        <f>IF((COUNTIFS(#REF!,$C698,#REF!,F$1))&gt;=1,"SIM","")</f>
        <v>#REF!</v>
      </c>
      <c r="G698" s="5" t="e">
        <f>IF((COUNTIFS(#REF!,$C698,#REF!,"*606*"))&gt;=1,"SIM","")</f>
        <v>#REF!</v>
      </c>
      <c r="H698" s="5" t="e">
        <f>IF((COUNTIFS(#REF!,$C698,#REF!,"*605*"))&gt;=1,"SIM","")</f>
        <v>#REF!</v>
      </c>
      <c r="I698" s="5" t="e">
        <f>IF((COUNTIFS(#REF!,$C698,#REF!,I$1))&gt;=1,"SIM","")</f>
        <v>#REF!</v>
      </c>
      <c r="J698" s="5" t="e">
        <f>IF((COUNTIFS(#REF!,$C698,#REF!,J$1))&gt;=1,"SIM","")</f>
        <v>#REF!</v>
      </c>
      <c r="K698" s="5" t="e">
        <f>IF((COUNTIFS(#REF!,$C698,#REF!,K$1))&gt;=1,"SIM","")</f>
        <v>#REF!</v>
      </c>
      <c r="L698" s="5" t="e">
        <f>IF((COUNTIFS(#REF!,$C698,#REF!,L$1))&gt;=1,"SIM","")</f>
        <v>#REF!</v>
      </c>
      <c r="M698" s="5" t="e">
        <f>IF((COUNTIFS(#REF!,$C698,#REF!,M$1))&gt;=1,"SIM","")</f>
        <v>#REF!</v>
      </c>
      <c r="N698" s="5" t="e">
        <f>IF((COUNTIFS(#REF!,$C698,#REF!,N$1))&gt;=1,"SIM","")</f>
        <v>#REF!</v>
      </c>
      <c r="O698" s="5"/>
      <c r="P698" s="5" t="e">
        <f>IF((COUNTIFS(#REF!,$C698,#REF!,P$1))&gt;=1,"SIM","")</f>
        <v>#REF!</v>
      </c>
      <c r="Q698" s="5" t="e">
        <f>IF((COUNTIFS(#REF!,$C698,#REF!,Q$1))&gt;=1,"SIM","")</f>
        <v>#REF!</v>
      </c>
      <c r="R698" s="5" t="e">
        <f>IF((COUNTIFS(#REF!,$C698,#REF!,"*CARTA*"))&gt;=1,"SIM","")</f>
        <v>#REF!</v>
      </c>
      <c r="S698" s="5" t="e">
        <f>IF((COUNTIFS(#REF!,$C698,#REF!,"*CARTA NOTIFICAÇÃO/DEVOL*"))&gt;=1,"SIM","")</f>
        <v>#REF!</v>
      </c>
      <c r="T698" s="5" t="e">
        <f>IF((COUNTIFS(#REF!,$C698,#REF!,"*LIGAÇÃO ATIVA DEV PRIN/LOC*"))&gt;=1,"SIM","")</f>
        <v>#REF!</v>
      </c>
    </row>
    <row r="699" spans="1:20">
      <c r="A699" s="24" t="s">
        <v>2157</v>
      </c>
      <c r="B699" s="24" t="s">
        <v>849</v>
      </c>
      <c r="C699" s="24" t="s">
        <v>850</v>
      </c>
      <c r="D699" s="5" t="e">
        <f>IF((COUNTIFS(#REF!,$C699,#REF!,"*163*"))&gt;=1,"SIM","")</f>
        <v>#REF!</v>
      </c>
      <c r="E699" s="5" t="e">
        <f>IF((COUNTIFS(#REF!,$C699,#REF!,E$1))&gt;=1,"SIM","")</f>
        <v>#REF!</v>
      </c>
      <c r="F699" s="5" t="e">
        <f>IF((COUNTIFS(#REF!,$C699,#REF!,F$1))&gt;=1,"SIM","")</f>
        <v>#REF!</v>
      </c>
      <c r="G699" s="5" t="e">
        <f>IF((COUNTIFS(#REF!,$C699,#REF!,"*606*"))&gt;=1,"SIM","")</f>
        <v>#REF!</v>
      </c>
      <c r="H699" s="5" t="e">
        <f>IF((COUNTIFS(#REF!,$C699,#REF!,"*605*"))&gt;=1,"SIM","")</f>
        <v>#REF!</v>
      </c>
      <c r="I699" s="5" t="e">
        <f>IF((COUNTIFS(#REF!,$C699,#REF!,I$1))&gt;=1,"SIM","")</f>
        <v>#REF!</v>
      </c>
      <c r="J699" s="5" t="e">
        <f>IF((COUNTIFS(#REF!,$C699,#REF!,J$1))&gt;=1,"SIM","")</f>
        <v>#REF!</v>
      </c>
      <c r="K699" s="5" t="e">
        <f>IF((COUNTIFS(#REF!,$C699,#REF!,K$1))&gt;=1,"SIM","")</f>
        <v>#REF!</v>
      </c>
      <c r="L699" s="5" t="e">
        <f>IF((COUNTIFS(#REF!,$C699,#REF!,L$1))&gt;=1,"SIM","")</f>
        <v>#REF!</v>
      </c>
      <c r="M699" s="5" t="e">
        <f>IF((COUNTIFS(#REF!,$C699,#REF!,M$1))&gt;=1,"SIM","")</f>
        <v>#REF!</v>
      </c>
      <c r="N699" s="5" t="e">
        <f>IF((COUNTIFS(#REF!,$C699,#REF!,N$1))&gt;=1,"SIM","")</f>
        <v>#REF!</v>
      </c>
      <c r="O699" s="5"/>
      <c r="P699" s="5" t="e">
        <f>IF((COUNTIFS(#REF!,$C699,#REF!,P$1))&gt;=1,"SIM","")</f>
        <v>#REF!</v>
      </c>
      <c r="Q699" s="5" t="e">
        <f>IF((COUNTIFS(#REF!,$C699,#REF!,Q$1))&gt;=1,"SIM","")</f>
        <v>#REF!</v>
      </c>
      <c r="R699" s="5" t="e">
        <f>IF((COUNTIFS(#REF!,$C699,#REF!,"*CARTA*"))&gt;=1,"SIM","")</f>
        <v>#REF!</v>
      </c>
      <c r="S699" s="5" t="e">
        <f>IF((COUNTIFS(#REF!,$C699,#REF!,"*CARTA NOTIFICAÇÃO/DEVOL*"))&gt;=1,"SIM","")</f>
        <v>#REF!</v>
      </c>
      <c r="T699" s="5" t="e">
        <f>IF((COUNTIFS(#REF!,$C699,#REF!,"*LIGAÇÃO ATIVA DEV PRIN/LOC*"))&gt;=1,"SIM","")</f>
        <v>#REF!</v>
      </c>
    </row>
    <row r="700" spans="1:20">
      <c r="A700" s="24" t="s">
        <v>2155</v>
      </c>
      <c r="B700" s="24" t="s">
        <v>36</v>
      </c>
      <c r="C700" s="24" t="s">
        <v>37</v>
      </c>
      <c r="D700" s="5" t="e">
        <f>IF((COUNTIFS(#REF!,$C700,#REF!,"*163*"))&gt;=1,"SIM","")</f>
        <v>#REF!</v>
      </c>
      <c r="E700" s="5" t="e">
        <f>IF((COUNTIFS(#REF!,$C700,#REF!,E$1))&gt;=1,"SIM","")</f>
        <v>#REF!</v>
      </c>
      <c r="F700" s="5" t="e">
        <f>IF((COUNTIFS(#REF!,$C700,#REF!,F$1))&gt;=1,"SIM","")</f>
        <v>#REF!</v>
      </c>
      <c r="G700" s="5" t="e">
        <f>IF((COUNTIFS(#REF!,$C700,#REF!,"*606*"))&gt;=1,"SIM","")</f>
        <v>#REF!</v>
      </c>
      <c r="H700" s="5" t="e">
        <f>IF((COUNTIFS(#REF!,$C700,#REF!,"*605*"))&gt;=1,"SIM","")</f>
        <v>#REF!</v>
      </c>
      <c r="I700" s="5" t="e">
        <f>IF((COUNTIFS(#REF!,$C700,#REF!,I$1))&gt;=1,"SIM","")</f>
        <v>#REF!</v>
      </c>
      <c r="J700" s="5" t="e">
        <f>IF((COUNTIFS(#REF!,$C700,#REF!,J$1))&gt;=1,"SIM","")</f>
        <v>#REF!</v>
      </c>
      <c r="K700" s="5" t="e">
        <f>IF((COUNTIFS(#REF!,$C700,#REF!,K$1))&gt;=1,"SIM","")</f>
        <v>#REF!</v>
      </c>
      <c r="L700" s="5" t="e">
        <f>IF((COUNTIFS(#REF!,$C700,#REF!,L$1))&gt;=1,"SIM","")</f>
        <v>#REF!</v>
      </c>
      <c r="M700" s="5" t="e">
        <f>IF((COUNTIFS(#REF!,$C700,#REF!,M$1))&gt;=1,"SIM","")</f>
        <v>#REF!</v>
      </c>
      <c r="N700" s="5" t="e">
        <f>IF((COUNTIFS(#REF!,$C700,#REF!,N$1))&gt;=1,"SIM","")</f>
        <v>#REF!</v>
      </c>
      <c r="O700" s="5"/>
      <c r="P700" s="5" t="e">
        <f>IF((COUNTIFS(#REF!,$C700,#REF!,P$1))&gt;=1,"SIM","")</f>
        <v>#REF!</v>
      </c>
      <c r="Q700" s="5" t="e">
        <f>IF((COUNTIFS(#REF!,$C700,#REF!,Q$1))&gt;=1,"SIM","")</f>
        <v>#REF!</v>
      </c>
      <c r="R700" s="5" t="e">
        <f>IF((COUNTIFS(#REF!,$C700,#REF!,"*CARTA*"))&gt;=1,"SIM","")</f>
        <v>#REF!</v>
      </c>
      <c r="S700" s="5" t="e">
        <f>IF((COUNTIFS(#REF!,$C700,#REF!,"*CARTA NOTIFICAÇÃO/DEVOL*"))&gt;=1,"SIM","")</f>
        <v>#REF!</v>
      </c>
      <c r="T700" s="5" t="e">
        <f>IF((COUNTIFS(#REF!,$C700,#REF!,"*LIGAÇÃO ATIVA DEV PRIN/LOC*"))&gt;=1,"SIM","")</f>
        <v>#REF!</v>
      </c>
    </row>
    <row r="701" spans="1:20">
      <c r="A701" s="24" t="s">
        <v>2153</v>
      </c>
      <c r="B701" s="24" t="s">
        <v>36</v>
      </c>
      <c r="C701" s="24" t="s">
        <v>37</v>
      </c>
      <c r="D701" s="5" t="e">
        <f>IF((COUNTIFS(#REF!,$C701,#REF!,"*163*"))&gt;=1,"SIM","")</f>
        <v>#REF!</v>
      </c>
      <c r="E701" s="5" t="e">
        <f>IF((COUNTIFS(#REF!,$C701,#REF!,E$1))&gt;=1,"SIM","")</f>
        <v>#REF!</v>
      </c>
      <c r="F701" s="5" t="e">
        <f>IF((COUNTIFS(#REF!,$C701,#REF!,F$1))&gt;=1,"SIM","")</f>
        <v>#REF!</v>
      </c>
      <c r="G701" s="5" t="e">
        <f>IF((COUNTIFS(#REF!,$C701,#REF!,"*606*"))&gt;=1,"SIM","")</f>
        <v>#REF!</v>
      </c>
      <c r="H701" s="5" t="e">
        <f>IF((COUNTIFS(#REF!,$C701,#REF!,"*605*"))&gt;=1,"SIM","")</f>
        <v>#REF!</v>
      </c>
      <c r="I701" s="5" t="e">
        <f>IF((COUNTIFS(#REF!,$C701,#REF!,I$1))&gt;=1,"SIM","")</f>
        <v>#REF!</v>
      </c>
      <c r="J701" s="5" t="e">
        <f>IF((COUNTIFS(#REF!,$C701,#REF!,J$1))&gt;=1,"SIM","")</f>
        <v>#REF!</v>
      </c>
      <c r="K701" s="5" t="e">
        <f>IF((COUNTIFS(#REF!,$C701,#REF!,K$1))&gt;=1,"SIM","")</f>
        <v>#REF!</v>
      </c>
      <c r="L701" s="5" t="e">
        <f>IF((COUNTIFS(#REF!,$C701,#REF!,L$1))&gt;=1,"SIM","")</f>
        <v>#REF!</v>
      </c>
      <c r="M701" s="5" t="e">
        <f>IF((COUNTIFS(#REF!,$C701,#REF!,M$1))&gt;=1,"SIM","")</f>
        <v>#REF!</v>
      </c>
      <c r="N701" s="5" t="e">
        <f>IF((COUNTIFS(#REF!,$C701,#REF!,N$1))&gt;=1,"SIM","")</f>
        <v>#REF!</v>
      </c>
      <c r="O701" s="5"/>
      <c r="P701" s="5" t="e">
        <f>IF((COUNTIFS(#REF!,$C701,#REF!,P$1))&gt;=1,"SIM","")</f>
        <v>#REF!</v>
      </c>
      <c r="Q701" s="5" t="e">
        <f>IF((COUNTIFS(#REF!,$C701,#REF!,Q$1))&gt;=1,"SIM","")</f>
        <v>#REF!</v>
      </c>
      <c r="R701" s="5" t="e">
        <f>IF((COUNTIFS(#REF!,$C701,#REF!,"*CARTA*"))&gt;=1,"SIM","")</f>
        <v>#REF!</v>
      </c>
      <c r="S701" s="5" t="e">
        <f>IF((COUNTIFS(#REF!,$C701,#REF!,"*CARTA NOTIFICAÇÃO/DEVOL*"))&gt;=1,"SIM","")</f>
        <v>#REF!</v>
      </c>
      <c r="T701" s="5" t="e">
        <f>IF((COUNTIFS(#REF!,$C701,#REF!,"*LIGAÇÃO ATIVA DEV PRIN/LOC*"))&gt;=1,"SIM","")</f>
        <v>#REF!</v>
      </c>
    </row>
    <row r="702" spans="1:20">
      <c r="A702" s="24" t="s">
        <v>2159</v>
      </c>
      <c r="B702" s="24" t="s">
        <v>2097</v>
      </c>
      <c r="C702" s="24" t="s">
        <v>2098</v>
      </c>
      <c r="D702" s="5" t="e">
        <f>IF((COUNTIFS(#REF!,$C702,#REF!,"*163*"))&gt;=1,"SIM","")</f>
        <v>#REF!</v>
      </c>
      <c r="E702" s="5" t="e">
        <f>IF((COUNTIFS(#REF!,$C702,#REF!,E$1))&gt;=1,"SIM","")</f>
        <v>#REF!</v>
      </c>
      <c r="F702" s="5" t="e">
        <f>IF((COUNTIFS(#REF!,$C702,#REF!,F$1))&gt;=1,"SIM","")</f>
        <v>#REF!</v>
      </c>
      <c r="G702" s="5" t="e">
        <f>IF((COUNTIFS(#REF!,$C702,#REF!,"*606*"))&gt;=1,"SIM","")</f>
        <v>#REF!</v>
      </c>
      <c r="H702" s="5" t="e">
        <f>IF((COUNTIFS(#REF!,$C702,#REF!,"*605*"))&gt;=1,"SIM","")</f>
        <v>#REF!</v>
      </c>
      <c r="I702" s="5" t="e">
        <f>IF((COUNTIFS(#REF!,$C702,#REF!,I$1))&gt;=1,"SIM","")</f>
        <v>#REF!</v>
      </c>
      <c r="J702" s="5" t="e">
        <f>IF((COUNTIFS(#REF!,$C702,#REF!,J$1))&gt;=1,"SIM","")</f>
        <v>#REF!</v>
      </c>
      <c r="K702" s="5" t="e">
        <f>IF((COUNTIFS(#REF!,$C702,#REF!,K$1))&gt;=1,"SIM","")</f>
        <v>#REF!</v>
      </c>
      <c r="L702" s="5" t="e">
        <f>IF((COUNTIFS(#REF!,$C702,#REF!,L$1))&gt;=1,"SIM","")</f>
        <v>#REF!</v>
      </c>
      <c r="M702" s="5" t="e">
        <f>IF((COUNTIFS(#REF!,$C702,#REF!,M$1))&gt;=1,"SIM","")</f>
        <v>#REF!</v>
      </c>
      <c r="N702" s="5" t="e">
        <f>IF((COUNTIFS(#REF!,$C702,#REF!,N$1))&gt;=1,"SIM","")</f>
        <v>#REF!</v>
      </c>
      <c r="O702" s="5"/>
      <c r="P702" s="5" t="e">
        <f>IF((COUNTIFS(#REF!,$C702,#REF!,P$1))&gt;=1,"SIM","")</f>
        <v>#REF!</v>
      </c>
      <c r="Q702" s="5" t="e">
        <f>IF((COUNTIFS(#REF!,$C702,#REF!,Q$1))&gt;=1,"SIM","")</f>
        <v>#REF!</v>
      </c>
      <c r="R702" s="5" t="e">
        <f>IF((COUNTIFS(#REF!,$C702,#REF!,"*CARTA*"))&gt;=1,"SIM","")</f>
        <v>#REF!</v>
      </c>
      <c r="S702" s="5" t="e">
        <f>IF((COUNTIFS(#REF!,$C702,#REF!,"*CARTA NOTIFICAÇÃO/DEVOL*"))&gt;=1,"SIM","")</f>
        <v>#REF!</v>
      </c>
      <c r="T702" s="5" t="e">
        <f>IF((COUNTIFS(#REF!,$C702,#REF!,"*LIGAÇÃO ATIVA DEV PRIN/LOC*"))&gt;=1,"SIM","")</f>
        <v>#REF!</v>
      </c>
    </row>
    <row r="703" spans="1:20">
      <c r="A703" s="24" t="s">
        <v>2153</v>
      </c>
      <c r="B703" s="24" t="s">
        <v>636</v>
      </c>
      <c r="C703" s="24" t="s">
        <v>637</v>
      </c>
      <c r="D703" s="5" t="e">
        <f>IF((COUNTIFS(#REF!,$C703,#REF!,"*163*"))&gt;=1,"SIM","")</f>
        <v>#REF!</v>
      </c>
      <c r="E703" s="5" t="e">
        <f>IF((COUNTIFS(#REF!,$C703,#REF!,E$1))&gt;=1,"SIM","")</f>
        <v>#REF!</v>
      </c>
      <c r="F703" s="5" t="e">
        <f>IF((COUNTIFS(#REF!,$C703,#REF!,F$1))&gt;=1,"SIM","")</f>
        <v>#REF!</v>
      </c>
      <c r="G703" s="5" t="e">
        <f>IF((COUNTIFS(#REF!,$C703,#REF!,"*606*"))&gt;=1,"SIM","")</f>
        <v>#REF!</v>
      </c>
      <c r="H703" s="5" t="e">
        <f>IF((COUNTIFS(#REF!,$C703,#REF!,"*605*"))&gt;=1,"SIM","")</f>
        <v>#REF!</v>
      </c>
      <c r="I703" s="5" t="e">
        <f>IF((COUNTIFS(#REF!,$C703,#REF!,I$1))&gt;=1,"SIM","")</f>
        <v>#REF!</v>
      </c>
      <c r="J703" s="5" t="e">
        <f>IF((COUNTIFS(#REF!,$C703,#REF!,J$1))&gt;=1,"SIM","")</f>
        <v>#REF!</v>
      </c>
      <c r="K703" s="5" t="e">
        <f>IF((COUNTIFS(#REF!,$C703,#REF!,K$1))&gt;=1,"SIM","")</f>
        <v>#REF!</v>
      </c>
      <c r="L703" s="5" t="e">
        <f>IF((COUNTIFS(#REF!,$C703,#REF!,L$1))&gt;=1,"SIM","")</f>
        <v>#REF!</v>
      </c>
      <c r="M703" s="5" t="e">
        <f>IF((COUNTIFS(#REF!,$C703,#REF!,M$1))&gt;=1,"SIM","")</f>
        <v>#REF!</v>
      </c>
      <c r="N703" s="5" t="e">
        <f>IF((COUNTIFS(#REF!,$C703,#REF!,N$1))&gt;=1,"SIM","")</f>
        <v>#REF!</v>
      </c>
      <c r="O703" s="5"/>
      <c r="P703" s="5" t="e">
        <f>IF((COUNTIFS(#REF!,$C703,#REF!,P$1))&gt;=1,"SIM","")</f>
        <v>#REF!</v>
      </c>
      <c r="Q703" s="5" t="e">
        <f>IF((COUNTIFS(#REF!,$C703,#REF!,Q$1))&gt;=1,"SIM","")</f>
        <v>#REF!</v>
      </c>
      <c r="R703" s="5" t="e">
        <f>IF((COUNTIFS(#REF!,$C703,#REF!,"*CARTA*"))&gt;=1,"SIM","")</f>
        <v>#REF!</v>
      </c>
      <c r="S703" s="5" t="e">
        <f>IF((COUNTIFS(#REF!,$C703,#REF!,"*CARTA NOTIFICAÇÃO/DEVOL*"))&gt;=1,"SIM","")</f>
        <v>#REF!</v>
      </c>
      <c r="T703" s="5" t="e">
        <f>IF((COUNTIFS(#REF!,$C703,#REF!,"*LIGAÇÃO ATIVA DEV PRIN/LOC*"))&gt;=1,"SIM","")</f>
        <v>#REF!</v>
      </c>
    </row>
    <row r="704" spans="1:20">
      <c r="A704" s="24" t="s">
        <v>2153</v>
      </c>
      <c r="B704" s="24" t="s">
        <v>1170</v>
      </c>
      <c r="C704" s="24" t="s">
        <v>1171</v>
      </c>
      <c r="D704" s="5" t="e">
        <f>IF((COUNTIFS(#REF!,$C704,#REF!,"*163*"))&gt;=1,"SIM","")</f>
        <v>#REF!</v>
      </c>
      <c r="E704" s="5" t="e">
        <f>IF((COUNTIFS(#REF!,$C704,#REF!,E$1))&gt;=1,"SIM","")</f>
        <v>#REF!</v>
      </c>
      <c r="F704" s="5" t="e">
        <f>IF((COUNTIFS(#REF!,$C704,#REF!,F$1))&gt;=1,"SIM","")</f>
        <v>#REF!</v>
      </c>
      <c r="G704" s="5" t="e">
        <f>IF((COUNTIFS(#REF!,$C704,#REF!,"*606*"))&gt;=1,"SIM","")</f>
        <v>#REF!</v>
      </c>
      <c r="H704" s="5" t="e">
        <f>IF((COUNTIFS(#REF!,$C704,#REF!,"*605*"))&gt;=1,"SIM","")</f>
        <v>#REF!</v>
      </c>
      <c r="I704" s="5" t="e">
        <f>IF((COUNTIFS(#REF!,$C704,#REF!,I$1))&gt;=1,"SIM","")</f>
        <v>#REF!</v>
      </c>
      <c r="J704" s="5" t="e">
        <f>IF((COUNTIFS(#REF!,$C704,#REF!,J$1))&gt;=1,"SIM","")</f>
        <v>#REF!</v>
      </c>
      <c r="K704" s="5" t="e">
        <f>IF((COUNTIFS(#REF!,$C704,#REF!,K$1))&gt;=1,"SIM","")</f>
        <v>#REF!</v>
      </c>
      <c r="L704" s="5" t="e">
        <f>IF((COUNTIFS(#REF!,$C704,#REF!,L$1))&gt;=1,"SIM","")</f>
        <v>#REF!</v>
      </c>
      <c r="M704" s="5" t="e">
        <f>IF((COUNTIFS(#REF!,$C704,#REF!,M$1))&gt;=1,"SIM","")</f>
        <v>#REF!</v>
      </c>
      <c r="N704" s="5" t="e">
        <f>IF((COUNTIFS(#REF!,$C704,#REF!,N$1))&gt;=1,"SIM","")</f>
        <v>#REF!</v>
      </c>
      <c r="O704" s="5"/>
      <c r="P704" s="5" t="e">
        <f>IF((COUNTIFS(#REF!,$C704,#REF!,P$1))&gt;=1,"SIM","")</f>
        <v>#REF!</v>
      </c>
      <c r="Q704" s="5" t="e">
        <f>IF((COUNTIFS(#REF!,$C704,#REF!,Q$1))&gt;=1,"SIM","")</f>
        <v>#REF!</v>
      </c>
      <c r="R704" s="5" t="e">
        <f>IF((COUNTIFS(#REF!,$C704,#REF!,"*CARTA*"))&gt;=1,"SIM","")</f>
        <v>#REF!</v>
      </c>
      <c r="S704" s="5" t="e">
        <f>IF((COUNTIFS(#REF!,$C704,#REF!,"*CARTA NOTIFICAÇÃO/DEVOL*"))&gt;=1,"SIM","")</f>
        <v>#REF!</v>
      </c>
      <c r="T704" s="5" t="e">
        <f>IF((COUNTIFS(#REF!,$C704,#REF!,"*LIGAÇÃO ATIVA DEV PRIN/LOC*"))&gt;=1,"SIM","")</f>
        <v>#REF!</v>
      </c>
    </row>
    <row r="705" spans="1:20">
      <c r="A705" s="24" t="s">
        <v>2159</v>
      </c>
      <c r="B705" s="24" t="s">
        <v>1182</v>
      </c>
      <c r="C705" s="24" t="s">
        <v>1183</v>
      </c>
      <c r="D705" s="5" t="e">
        <f>IF((COUNTIFS(#REF!,$C705,#REF!,"*163*"))&gt;=1,"SIM","")</f>
        <v>#REF!</v>
      </c>
      <c r="E705" s="5" t="e">
        <f>IF((COUNTIFS(#REF!,$C705,#REF!,E$1))&gt;=1,"SIM","")</f>
        <v>#REF!</v>
      </c>
      <c r="F705" s="5" t="e">
        <f>IF((COUNTIFS(#REF!,$C705,#REF!,F$1))&gt;=1,"SIM","")</f>
        <v>#REF!</v>
      </c>
      <c r="G705" s="5" t="e">
        <f>IF((COUNTIFS(#REF!,$C705,#REF!,"*606*"))&gt;=1,"SIM","")</f>
        <v>#REF!</v>
      </c>
      <c r="H705" s="5" t="e">
        <f>IF((COUNTIFS(#REF!,$C705,#REF!,"*605*"))&gt;=1,"SIM","")</f>
        <v>#REF!</v>
      </c>
      <c r="I705" s="5" t="e">
        <f>IF((COUNTIFS(#REF!,$C705,#REF!,I$1))&gt;=1,"SIM","")</f>
        <v>#REF!</v>
      </c>
      <c r="J705" s="5" t="e">
        <f>IF((COUNTIFS(#REF!,$C705,#REF!,J$1))&gt;=1,"SIM","")</f>
        <v>#REF!</v>
      </c>
      <c r="K705" s="5" t="e">
        <f>IF((COUNTIFS(#REF!,$C705,#REF!,K$1))&gt;=1,"SIM","")</f>
        <v>#REF!</v>
      </c>
      <c r="L705" s="5" t="e">
        <f>IF((COUNTIFS(#REF!,$C705,#REF!,L$1))&gt;=1,"SIM","")</f>
        <v>#REF!</v>
      </c>
      <c r="M705" s="5" t="e">
        <f>IF((COUNTIFS(#REF!,$C705,#REF!,M$1))&gt;=1,"SIM","")</f>
        <v>#REF!</v>
      </c>
      <c r="N705" s="5" t="e">
        <f>IF((COUNTIFS(#REF!,$C705,#REF!,N$1))&gt;=1,"SIM","")</f>
        <v>#REF!</v>
      </c>
      <c r="O705" s="5"/>
      <c r="P705" s="5" t="e">
        <f>IF((COUNTIFS(#REF!,$C705,#REF!,P$1))&gt;=1,"SIM","")</f>
        <v>#REF!</v>
      </c>
      <c r="Q705" s="5" t="e">
        <f>IF((COUNTIFS(#REF!,$C705,#REF!,Q$1))&gt;=1,"SIM","")</f>
        <v>#REF!</v>
      </c>
      <c r="R705" s="5" t="e">
        <f>IF((COUNTIFS(#REF!,$C705,#REF!,"*CARTA*"))&gt;=1,"SIM","")</f>
        <v>#REF!</v>
      </c>
      <c r="S705" s="5" t="e">
        <f>IF((COUNTIFS(#REF!,$C705,#REF!,"*CARTA NOTIFICAÇÃO/DEVOL*"))&gt;=1,"SIM","")</f>
        <v>#REF!</v>
      </c>
      <c r="T705" s="5" t="e">
        <f>IF((COUNTIFS(#REF!,$C705,#REF!,"*LIGAÇÃO ATIVA DEV PRIN/LOC*"))&gt;=1,"SIM","")</f>
        <v>#REF!</v>
      </c>
    </row>
    <row r="706" spans="1:20">
      <c r="A706" s="24" t="s">
        <v>2159</v>
      </c>
      <c r="B706" s="24" t="s">
        <v>539</v>
      </c>
      <c r="C706" s="24" t="s">
        <v>2168</v>
      </c>
      <c r="D706" s="5" t="e">
        <f>IF((COUNTIFS(#REF!,$C706,#REF!,"*163*"))&gt;=1,"SIM","")</f>
        <v>#REF!</v>
      </c>
      <c r="E706" s="5" t="e">
        <f>IF((COUNTIFS(#REF!,$C706,#REF!,E$1))&gt;=1,"SIM","")</f>
        <v>#REF!</v>
      </c>
      <c r="F706" s="5" t="e">
        <f>IF((COUNTIFS(#REF!,$C706,#REF!,F$1))&gt;=1,"SIM","")</f>
        <v>#REF!</v>
      </c>
      <c r="G706" s="5" t="e">
        <f>IF((COUNTIFS(#REF!,$C706,#REF!,"*606*"))&gt;=1,"SIM","")</f>
        <v>#REF!</v>
      </c>
      <c r="H706" s="5" t="e">
        <f>IF((COUNTIFS(#REF!,$C706,#REF!,"*605*"))&gt;=1,"SIM","")</f>
        <v>#REF!</v>
      </c>
      <c r="I706" s="5" t="e">
        <f>IF((COUNTIFS(#REF!,$C706,#REF!,I$1))&gt;=1,"SIM","")</f>
        <v>#REF!</v>
      </c>
      <c r="J706" s="5" t="e">
        <f>IF((COUNTIFS(#REF!,$C706,#REF!,J$1))&gt;=1,"SIM","")</f>
        <v>#REF!</v>
      </c>
      <c r="K706" s="5" t="e">
        <f>IF((COUNTIFS(#REF!,$C706,#REF!,K$1))&gt;=1,"SIM","")</f>
        <v>#REF!</v>
      </c>
      <c r="L706" s="5" t="e">
        <f>IF((COUNTIFS(#REF!,$C706,#REF!,L$1))&gt;=1,"SIM","")</f>
        <v>#REF!</v>
      </c>
      <c r="M706" s="5" t="e">
        <f>IF((COUNTIFS(#REF!,$C706,#REF!,M$1))&gt;=1,"SIM","")</f>
        <v>#REF!</v>
      </c>
      <c r="N706" s="5" t="e">
        <f>IF((COUNTIFS(#REF!,$C706,#REF!,N$1))&gt;=1,"SIM","")</f>
        <v>#REF!</v>
      </c>
      <c r="O706" s="5"/>
      <c r="P706" s="5" t="e">
        <f>IF((COUNTIFS(#REF!,$C706,#REF!,P$1))&gt;=1,"SIM","")</f>
        <v>#REF!</v>
      </c>
      <c r="Q706" s="5" t="e">
        <f>IF((COUNTIFS(#REF!,$C706,#REF!,Q$1))&gt;=1,"SIM","")</f>
        <v>#REF!</v>
      </c>
      <c r="R706" s="5" t="e">
        <f>IF((COUNTIFS(#REF!,$C706,#REF!,"*CARTA*"))&gt;=1,"SIM","")</f>
        <v>#REF!</v>
      </c>
      <c r="S706" s="5" t="e">
        <f>IF((COUNTIFS(#REF!,$C706,#REF!,"*CARTA NOTIFICAÇÃO/DEVOL*"))&gt;=1,"SIM","")</f>
        <v>#REF!</v>
      </c>
      <c r="T706" s="5" t="e">
        <f>IF((COUNTIFS(#REF!,$C706,#REF!,"*LIGAÇÃO ATIVA DEV PRIN/LOC*"))&gt;=1,"SIM","")</f>
        <v>#REF!</v>
      </c>
    </row>
    <row r="707" spans="1:20">
      <c r="A707" s="24" t="s">
        <v>2158</v>
      </c>
      <c r="B707" s="24" t="s">
        <v>539</v>
      </c>
      <c r="C707" s="24" t="s">
        <v>2168</v>
      </c>
      <c r="D707" s="5" t="e">
        <f>IF((COUNTIFS(#REF!,$C707,#REF!,"*163*"))&gt;=1,"SIM","")</f>
        <v>#REF!</v>
      </c>
      <c r="E707" s="5" t="e">
        <f>IF((COUNTIFS(#REF!,$C707,#REF!,E$1))&gt;=1,"SIM","")</f>
        <v>#REF!</v>
      </c>
      <c r="F707" s="5" t="e">
        <f>IF((COUNTIFS(#REF!,$C707,#REF!,F$1))&gt;=1,"SIM","")</f>
        <v>#REF!</v>
      </c>
      <c r="G707" s="5" t="e">
        <f>IF((COUNTIFS(#REF!,$C707,#REF!,"*606*"))&gt;=1,"SIM","")</f>
        <v>#REF!</v>
      </c>
      <c r="H707" s="5" t="e">
        <f>IF((COUNTIFS(#REF!,$C707,#REF!,"*605*"))&gt;=1,"SIM","")</f>
        <v>#REF!</v>
      </c>
      <c r="I707" s="5" t="e">
        <f>IF((COUNTIFS(#REF!,$C707,#REF!,I$1))&gt;=1,"SIM","")</f>
        <v>#REF!</v>
      </c>
      <c r="J707" s="5" t="e">
        <f>IF((COUNTIFS(#REF!,$C707,#REF!,J$1))&gt;=1,"SIM","")</f>
        <v>#REF!</v>
      </c>
      <c r="K707" s="5" t="e">
        <f>IF((COUNTIFS(#REF!,$C707,#REF!,K$1))&gt;=1,"SIM","")</f>
        <v>#REF!</v>
      </c>
      <c r="L707" s="5" t="e">
        <f>IF((COUNTIFS(#REF!,$C707,#REF!,L$1))&gt;=1,"SIM","")</f>
        <v>#REF!</v>
      </c>
      <c r="M707" s="5" t="e">
        <f>IF((COUNTIFS(#REF!,$C707,#REF!,M$1))&gt;=1,"SIM","")</f>
        <v>#REF!</v>
      </c>
      <c r="N707" s="5" t="e">
        <f>IF((COUNTIFS(#REF!,$C707,#REF!,N$1))&gt;=1,"SIM","")</f>
        <v>#REF!</v>
      </c>
      <c r="O707" s="5"/>
      <c r="P707" s="5" t="e">
        <f>IF((COUNTIFS(#REF!,$C707,#REF!,P$1))&gt;=1,"SIM","")</f>
        <v>#REF!</v>
      </c>
      <c r="Q707" s="5" t="e">
        <f>IF((COUNTIFS(#REF!,$C707,#REF!,Q$1))&gt;=1,"SIM","")</f>
        <v>#REF!</v>
      </c>
      <c r="R707" s="5" t="e">
        <f>IF((COUNTIFS(#REF!,$C707,#REF!,"*CARTA*"))&gt;=1,"SIM","")</f>
        <v>#REF!</v>
      </c>
      <c r="S707" s="5" t="e">
        <f>IF((COUNTIFS(#REF!,$C707,#REF!,"*CARTA NOTIFICAÇÃO/DEVOL*"))&gt;=1,"SIM","")</f>
        <v>#REF!</v>
      </c>
      <c r="T707" s="5" t="e">
        <f>IF((COUNTIFS(#REF!,$C707,#REF!,"*LIGAÇÃO ATIVA DEV PRIN/LOC*"))&gt;=1,"SIM","")</f>
        <v>#REF!</v>
      </c>
    </row>
    <row r="708" spans="1:20">
      <c r="A708" s="24" t="s">
        <v>2153</v>
      </c>
      <c r="B708" s="24" t="s">
        <v>539</v>
      </c>
      <c r="C708" s="24" t="s">
        <v>2168</v>
      </c>
      <c r="D708" s="5" t="e">
        <f>IF((COUNTIFS(#REF!,$C708,#REF!,"*163*"))&gt;=1,"SIM","")</f>
        <v>#REF!</v>
      </c>
      <c r="E708" s="5" t="e">
        <f>IF((COUNTIFS(#REF!,$C708,#REF!,E$1))&gt;=1,"SIM","")</f>
        <v>#REF!</v>
      </c>
      <c r="F708" s="5" t="e">
        <f>IF((COUNTIFS(#REF!,$C708,#REF!,F$1))&gt;=1,"SIM","")</f>
        <v>#REF!</v>
      </c>
      <c r="G708" s="5" t="e">
        <f>IF((COUNTIFS(#REF!,$C708,#REF!,"*606*"))&gt;=1,"SIM","")</f>
        <v>#REF!</v>
      </c>
      <c r="H708" s="5" t="e">
        <f>IF((COUNTIFS(#REF!,$C708,#REF!,"*605*"))&gt;=1,"SIM","")</f>
        <v>#REF!</v>
      </c>
      <c r="I708" s="5" t="e">
        <f>IF((COUNTIFS(#REF!,$C708,#REF!,I$1))&gt;=1,"SIM","")</f>
        <v>#REF!</v>
      </c>
      <c r="J708" s="5" t="e">
        <f>IF((COUNTIFS(#REF!,$C708,#REF!,J$1))&gt;=1,"SIM","")</f>
        <v>#REF!</v>
      </c>
      <c r="K708" s="5" t="e">
        <f>IF((COUNTIFS(#REF!,$C708,#REF!,K$1))&gt;=1,"SIM","")</f>
        <v>#REF!</v>
      </c>
      <c r="L708" s="5" t="e">
        <f>IF((COUNTIFS(#REF!,$C708,#REF!,L$1))&gt;=1,"SIM","")</f>
        <v>#REF!</v>
      </c>
      <c r="M708" s="5" t="e">
        <f>IF((COUNTIFS(#REF!,$C708,#REF!,M$1))&gt;=1,"SIM","")</f>
        <v>#REF!</v>
      </c>
      <c r="N708" s="5" t="e">
        <f>IF((COUNTIFS(#REF!,$C708,#REF!,N$1))&gt;=1,"SIM","")</f>
        <v>#REF!</v>
      </c>
      <c r="O708" s="5"/>
      <c r="P708" s="5" t="e">
        <f>IF((COUNTIFS(#REF!,$C708,#REF!,P$1))&gt;=1,"SIM","")</f>
        <v>#REF!</v>
      </c>
      <c r="Q708" s="5" t="e">
        <f>IF((COUNTIFS(#REF!,$C708,#REF!,Q$1))&gt;=1,"SIM","")</f>
        <v>#REF!</v>
      </c>
      <c r="R708" s="5" t="e">
        <f>IF((COUNTIFS(#REF!,$C708,#REF!,"*CARTA*"))&gt;=1,"SIM","")</f>
        <v>#REF!</v>
      </c>
      <c r="S708" s="5" t="e">
        <f>IF((COUNTIFS(#REF!,$C708,#REF!,"*CARTA NOTIFICAÇÃO/DEVOL*"))&gt;=1,"SIM","")</f>
        <v>#REF!</v>
      </c>
      <c r="T708" s="5" t="e">
        <f>IF((COUNTIFS(#REF!,$C708,#REF!,"*LIGAÇÃO ATIVA DEV PRIN/LOC*"))&gt;=1,"SIM","")</f>
        <v>#REF!</v>
      </c>
    </row>
    <row r="709" spans="1:20">
      <c r="A709" s="24" t="s">
        <v>2153</v>
      </c>
      <c r="B709" s="24" t="s">
        <v>672</v>
      </c>
      <c r="C709" s="24" t="s">
        <v>673</v>
      </c>
      <c r="D709" s="5" t="e">
        <f>IF((COUNTIFS(#REF!,$C709,#REF!,"*163*"))&gt;=1,"SIM","")</f>
        <v>#REF!</v>
      </c>
      <c r="E709" s="5" t="e">
        <f>IF((COUNTIFS(#REF!,$C709,#REF!,E$1))&gt;=1,"SIM","")</f>
        <v>#REF!</v>
      </c>
      <c r="F709" s="5" t="e">
        <f>IF((COUNTIFS(#REF!,$C709,#REF!,F$1))&gt;=1,"SIM","")</f>
        <v>#REF!</v>
      </c>
      <c r="G709" s="5" t="e">
        <f>IF((COUNTIFS(#REF!,$C709,#REF!,"*606*"))&gt;=1,"SIM","")</f>
        <v>#REF!</v>
      </c>
      <c r="H709" s="5" t="e">
        <f>IF((COUNTIFS(#REF!,$C709,#REF!,"*605*"))&gt;=1,"SIM","")</f>
        <v>#REF!</v>
      </c>
      <c r="I709" s="5" t="e">
        <f>IF((COUNTIFS(#REF!,$C709,#REF!,I$1))&gt;=1,"SIM","")</f>
        <v>#REF!</v>
      </c>
      <c r="J709" s="5" t="e">
        <f>IF((COUNTIFS(#REF!,$C709,#REF!,J$1))&gt;=1,"SIM","")</f>
        <v>#REF!</v>
      </c>
      <c r="K709" s="5" t="e">
        <f>IF((COUNTIFS(#REF!,$C709,#REF!,K$1))&gt;=1,"SIM","")</f>
        <v>#REF!</v>
      </c>
      <c r="L709" s="5" t="e">
        <f>IF((COUNTIFS(#REF!,$C709,#REF!,L$1))&gt;=1,"SIM","")</f>
        <v>#REF!</v>
      </c>
      <c r="M709" s="5" t="e">
        <f>IF((COUNTIFS(#REF!,$C709,#REF!,M$1))&gt;=1,"SIM","")</f>
        <v>#REF!</v>
      </c>
      <c r="N709" s="5" t="e">
        <f>IF((COUNTIFS(#REF!,$C709,#REF!,N$1))&gt;=1,"SIM","")</f>
        <v>#REF!</v>
      </c>
      <c r="O709" s="5"/>
      <c r="P709" s="5" t="e">
        <f>IF((COUNTIFS(#REF!,$C709,#REF!,P$1))&gt;=1,"SIM","")</f>
        <v>#REF!</v>
      </c>
      <c r="Q709" s="5" t="e">
        <f>IF((COUNTIFS(#REF!,$C709,#REF!,Q$1))&gt;=1,"SIM","")</f>
        <v>#REF!</v>
      </c>
      <c r="R709" s="5" t="e">
        <f>IF((COUNTIFS(#REF!,$C709,#REF!,"*CARTA*"))&gt;=1,"SIM","")</f>
        <v>#REF!</v>
      </c>
      <c r="S709" s="5" t="e">
        <f>IF((COUNTIFS(#REF!,$C709,#REF!,"*CARTA NOTIFICAÇÃO/DEVOL*"))&gt;=1,"SIM","")</f>
        <v>#REF!</v>
      </c>
      <c r="T709" s="5" t="e">
        <f>IF((COUNTIFS(#REF!,$C709,#REF!,"*LIGAÇÃO ATIVA DEV PRIN/LOC*"))&gt;=1,"SIM","")</f>
        <v>#REF!</v>
      </c>
    </row>
    <row r="710" spans="1:20">
      <c r="A710" s="24" t="s">
        <v>2155</v>
      </c>
      <c r="B710" s="24" t="s">
        <v>140</v>
      </c>
      <c r="C710" s="24" t="s">
        <v>133</v>
      </c>
      <c r="D710" s="5" t="e">
        <f>IF((COUNTIFS(#REF!,$C710,#REF!,"*163*"))&gt;=1,"SIM","")</f>
        <v>#REF!</v>
      </c>
      <c r="E710" s="5" t="e">
        <f>IF((COUNTIFS(#REF!,$C710,#REF!,E$1))&gt;=1,"SIM","")</f>
        <v>#REF!</v>
      </c>
      <c r="F710" s="5" t="e">
        <f>IF((COUNTIFS(#REF!,$C710,#REF!,F$1))&gt;=1,"SIM","")</f>
        <v>#REF!</v>
      </c>
      <c r="G710" s="5" t="e">
        <f>IF((COUNTIFS(#REF!,$C710,#REF!,"*606*"))&gt;=1,"SIM","")</f>
        <v>#REF!</v>
      </c>
      <c r="H710" s="5" t="e">
        <f>IF((COUNTIFS(#REF!,$C710,#REF!,"*605*"))&gt;=1,"SIM","")</f>
        <v>#REF!</v>
      </c>
      <c r="I710" s="5" t="e">
        <f>IF((COUNTIFS(#REF!,$C710,#REF!,I$1))&gt;=1,"SIM","")</f>
        <v>#REF!</v>
      </c>
      <c r="J710" s="5" t="e">
        <f>IF((COUNTIFS(#REF!,$C710,#REF!,J$1))&gt;=1,"SIM","")</f>
        <v>#REF!</v>
      </c>
      <c r="K710" s="5" t="e">
        <f>IF((COUNTIFS(#REF!,$C710,#REF!,K$1))&gt;=1,"SIM","")</f>
        <v>#REF!</v>
      </c>
      <c r="L710" s="5" t="e">
        <f>IF((COUNTIFS(#REF!,$C710,#REF!,L$1))&gt;=1,"SIM","")</f>
        <v>#REF!</v>
      </c>
      <c r="M710" s="5" t="e">
        <f>IF((COUNTIFS(#REF!,$C710,#REF!,M$1))&gt;=1,"SIM","")</f>
        <v>#REF!</v>
      </c>
      <c r="N710" s="5" t="e">
        <f>IF((COUNTIFS(#REF!,$C710,#REF!,N$1))&gt;=1,"SIM","")</f>
        <v>#REF!</v>
      </c>
      <c r="O710" s="5"/>
      <c r="P710" s="5" t="e">
        <f>IF((COUNTIFS(#REF!,$C710,#REF!,P$1))&gt;=1,"SIM","")</f>
        <v>#REF!</v>
      </c>
      <c r="Q710" s="5" t="e">
        <f>IF((COUNTIFS(#REF!,$C710,#REF!,Q$1))&gt;=1,"SIM","")</f>
        <v>#REF!</v>
      </c>
      <c r="R710" s="5" t="e">
        <f>IF((COUNTIFS(#REF!,$C710,#REF!,"*CARTA*"))&gt;=1,"SIM","")</f>
        <v>#REF!</v>
      </c>
      <c r="S710" s="5" t="e">
        <f>IF((COUNTIFS(#REF!,$C710,#REF!,"*CARTA NOTIFICAÇÃO/DEVOL*"))&gt;=1,"SIM","")</f>
        <v>#REF!</v>
      </c>
      <c r="T710" s="5" t="e">
        <f>IF((COUNTIFS(#REF!,$C710,#REF!,"*LIGAÇÃO ATIVA DEV PRIN/LOC*"))&gt;=1,"SIM","")</f>
        <v>#REF!</v>
      </c>
    </row>
    <row r="711" spans="1:20">
      <c r="A711" s="24" t="s">
        <v>2153</v>
      </c>
      <c r="B711" s="24" t="s">
        <v>930</v>
      </c>
      <c r="C711" s="24" t="s">
        <v>931</v>
      </c>
      <c r="D711" s="5" t="e">
        <f>IF((COUNTIFS(#REF!,$C711,#REF!,"*163*"))&gt;=1,"SIM","")</f>
        <v>#REF!</v>
      </c>
      <c r="E711" s="5" t="e">
        <f>IF((COUNTIFS(#REF!,$C711,#REF!,E$1))&gt;=1,"SIM","")</f>
        <v>#REF!</v>
      </c>
      <c r="F711" s="5" t="e">
        <f>IF((COUNTIFS(#REF!,$C711,#REF!,F$1))&gt;=1,"SIM","")</f>
        <v>#REF!</v>
      </c>
      <c r="G711" s="5" t="e">
        <f>IF((COUNTIFS(#REF!,$C711,#REF!,"*606*"))&gt;=1,"SIM","")</f>
        <v>#REF!</v>
      </c>
      <c r="H711" s="5" t="e">
        <f>IF((COUNTIFS(#REF!,$C711,#REF!,"*605*"))&gt;=1,"SIM","")</f>
        <v>#REF!</v>
      </c>
      <c r="I711" s="5" t="e">
        <f>IF((COUNTIFS(#REF!,$C711,#REF!,I$1))&gt;=1,"SIM","")</f>
        <v>#REF!</v>
      </c>
      <c r="J711" s="5" t="e">
        <f>IF((COUNTIFS(#REF!,$C711,#REF!,J$1))&gt;=1,"SIM","")</f>
        <v>#REF!</v>
      </c>
      <c r="K711" s="5" t="e">
        <f>IF((COUNTIFS(#REF!,$C711,#REF!,K$1))&gt;=1,"SIM","")</f>
        <v>#REF!</v>
      </c>
      <c r="L711" s="5" t="e">
        <f>IF((COUNTIFS(#REF!,$C711,#REF!,L$1))&gt;=1,"SIM","")</f>
        <v>#REF!</v>
      </c>
      <c r="M711" s="5" t="e">
        <f>IF((COUNTIFS(#REF!,$C711,#REF!,M$1))&gt;=1,"SIM","")</f>
        <v>#REF!</v>
      </c>
      <c r="N711" s="5" t="e">
        <f>IF((COUNTIFS(#REF!,$C711,#REF!,N$1))&gt;=1,"SIM","")</f>
        <v>#REF!</v>
      </c>
      <c r="O711" s="5"/>
      <c r="P711" s="5" t="e">
        <f>IF((COUNTIFS(#REF!,$C711,#REF!,P$1))&gt;=1,"SIM","")</f>
        <v>#REF!</v>
      </c>
      <c r="Q711" s="5" t="e">
        <f>IF((COUNTIFS(#REF!,$C711,#REF!,Q$1))&gt;=1,"SIM","")</f>
        <v>#REF!</v>
      </c>
      <c r="R711" s="5" t="e">
        <f>IF((COUNTIFS(#REF!,$C711,#REF!,"*CARTA*"))&gt;=1,"SIM","")</f>
        <v>#REF!</v>
      </c>
      <c r="S711" s="5" t="e">
        <f>IF((COUNTIFS(#REF!,$C711,#REF!,"*CARTA NOTIFICAÇÃO/DEVOL*"))&gt;=1,"SIM","")</f>
        <v>#REF!</v>
      </c>
      <c r="T711" s="5" t="e">
        <f>IF((COUNTIFS(#REF!,$C711,#REF!,"*LIGAÇÃO ATIVA DEV PRIN/LOC*"))&gt;=1,"SIM","")</f>
        <v>#REF!</v>
      </c>
    </row>
    <row r="712" spans="1:20">
      <c r="A712" s="24" t="s">
        <v>2153</v>
      </c>
      <c r="B712" s="24" t="s">
        <v>205</v>
      </c>
      <c r="C712" s="24" t="s">
        <v>206</v>
      </c>
      <c r="D712" s="5" t="e">
        <f>IF((COUNTIFS(#REF!,$C712,#REF!,"*163*"))&gt;=1,"SIM","")</f>
        <v>#REF!</v>
      </c>
      <c r="E712" s="5" t="e">
        <f>IF((COUNTIFS(#REF!,$C712,#REF!,E$1))&gt;=1,"SIM","")</f>
        <v>#REF!</v>
      </c>
      <c r="F712" s="5" t="e">
        <f>IF((COUNTIFS(#REF!,$C712,#REF!,F$1))&gt;=1,"SIM","")</f>
        <v>#REF!</v>
      </c>
      <c r="G712" s="5" t="e">
        <f>IF((COUNTIFS(#REF!,$C712,#REF!,"*606*"))&gt;=1,"SIM","")</f>
        <v>#REF!</v>
      </c>
      <c r="H712" s="5" t="e">
        <f>IF((COUNTIFS(#REF!,$C712,#REF!,"*605*"))&gt;=1,"SIM","")</f>
        <v>#REF!</v>
      </c>
      <c r="I712" s="5" t="e">
        <f>IF((COUNTIFS(#REF!,$C712,#REF!,I$1))&gt;=1,"SIM","")</f>
        <v>#REF!</v>
      </c>
      <c r="J712" s="5" t="e">
        <f>IF((COUNTIFS(#REF!,$C712,#REF!,J$1))&gt;=1,"SIM","")</f>
        <v>#REF!</v>
      </c>
      <c r="K712" s="5" t="e">
        <f>IF((COUNTIFS(#REF!,$C712,#REF!,K$1))&gt;=1,"SIM","")</f>
        <v>#REF!</v>
      </c>
      <c r="L712" s="5" t="e">
        <f>IF((COUNTIFS(#REF!,$C712,#REF!,L$1))&gt;=1,"SIM","")</f>
        <v>#REF!</v>
      </c>
      <c r="M712" s="5" t="e">
        <f>IF((COUNTIFS(#REF!,$C712,#REF!,M$1))&gt;=1,"SIM","")</f>
        <v>#REF!</v>
      </c>
      <c r="N712" s="5" t="e">
        <f>IF((COUNTIFS(#REF!,$C712,#REF!,N$1))&gt;=1,"SIM","")</f>
        <v>#REF!</v>
      </c>
      <c r="O712" s="5"/>
      <c r="P712" s="5" t="e">
        <f>IF((COUNTIFS(#REF!,$C712,#REF!,P$1))&gt;=1,"SIM","")</f>
        <v>#REF!</v>
      </c>
      <c r="Q712" s="5" t="e">
        <f>IF((COUNTIFS(#REF!,$C712,#REF!,Q$1))&gt;=1,"SIM","")</f>
        <v>#REF!</v>
      </c>
      <c r="R712" s="5" t="e">
        <f>IF((COUNTIFS(#REF!,$C712,#REF!,"*CARTA*"))&gt;=1,"SIM","")</f>
        <v>#REF!</v>
      </c>
      <c r="S712" s="5" t="e">
        <f>IF((COUNTIFS(#REF!,$C712,#REF!,"*CARTA NOTIFICAÇÃO/DEVOL*"))&gt;=1,"SIM","")</f>
        <v>#REF!</v>
      </c>
      <c r="T712" s="5" t="e">
        <f>IF((COUNTIFS(#REF!,$C712,#REF!,"*LIGAÇÃO ATIVA DEV PRIN/LOC*"))&gt;=1,"SIM","")</f>
        <v>#REF!</v>
      </c>
    </row>
    <row r="713" spans="1:20">
      <c r="A713" s="24" t="s">
        <v>2153</v>
      </c>
      <c r="B713" s="24" t="s">
        <v>305</v>
      </c>
      <c r="C713" s="24" t="s">
        <v>306</v>
      </c>
      <c r="D713" s="5" t="e">
        <f>IF((COUNTIFS(#REF!,$C713,#REF!,"*163*"))&gt;=1,"SIM","")</f>
        <v>#REF!</v>
      </c>
      <c r="E713" s="5" t="e">
        <f>IF((COUNTIFS(#REF!,$C713,#REF!,E$1))&gt;=1,"SIM","")</f>
        <v>#REF!</v>
      </c>
      <c r="F713" s="5" t="e">
        <f>IF((COUNTIFS(#REF!,$C713,#REF!,F$1))&gt;=1,"SIM","")</f>
        <v>#REF!</v>
      </c>
      <c r="G713" s="5" t="e">
        <f>IF((COUNTIFS(#REF!,$C713,#REF!,"*606*"))&gt;=1,"SIM","")</f>
        <v>#REF!</v>
      </c>
      <c r="H713" s="5" t="e">
        <f>IF((COUNTIFS(#REF!,$C713,#REF!,"*605*"))&gt;=1,"SIM","")</f>
        <v>#REF!</v>
      </c>
      <c r="I713" s="5" t="e">
        <f>IF((COUNTIFS(#REF!,$C713,#REF!,I$1))&gt;=1,"SIM","")</f>
        <v>#REF!</v>
      </c>
      <c r="J713" s="5" t="e">
        <f>IF((COUNTIFS(#REF!,$C713,#REF!,J$1))&gt;=1,"SIM","")</f>
        <v>#REF!</v>
      </c>
      <c r="K713" s="5" t="e">
        <f>IF((COUNTIFS(#REF!,$C713,#REF!,K$1))&gt;=1,"SIM","")</f>
        <v>#REF!</v>
      </c>
      <c r="L713" s="5" t="e">
        <f>IF((COUNTIFS(#REF!,$C713,#REF!,L$1))&gt;=1,"SIM","")</f>
        <v>#REF!</v>
      </c>
      <c r="M713" s="5" t="e">
        <f>IF((COUNTIFS(#REF!,$C713,#REF!,M$1))&gt;=1,"SIM","")</f>
        <v>#REF!</v>
      </c>
      <c r="N713" s="5" t="e">
        <f>IF((COUNTIFS(#REF!,$C713,#REF!,N$1))&gt;=1,"SIM","")</f>
        <v>#REF!</v>
      </c>
      <c r="O713" s="5"/>
      <c r="P713" s="5" t="e">
        <f>IF((COUNTIFS(#REF!,$C713,#REF!,P$1))&gt;=1,"SIM","")</f>
        <v>#REF!</v>
      </c>
      <c r="Q713" s="5" t="e">
        <f>IF((COUNTIFS(#REF!,$C713,#REF!,Q$1))&gt;=1,"SIM","")</f>
        <v>#REF!</v>
      </c>
      <c r="R713" s="5" t="e">
        <f>IF((COUNTIFS(#REF!,$C713,#REF!,"*CARTA*"))&gt;=1,"SIM","")</f>
        <v>#REF!</v>
      </c>
      <c r="S713" s="5" t="e">
        <f>IF((COUNTIFS(#REF!,$C713,#REF!,"*CARTA NOTIFICAÇÃO/DEVOL*"))&gt;=1,"SIM","")</f>
        <v>#REF!</v>
      </c>
      <c r="T713" s="5" t="e">
        <f>IF((COUNTIFS(#REF!,$C713,#REF!,"*LIGAÇÃO ATIVA DEV PRIN/LOC*"))&gt;=1,"SIM","")</f>
        <v>#REF!</v>
      </c>
    </row>
    <row r="714" spans="1:20">
      <c r="A714" s="24" t="s">
        <v>2158</v>
      </c>
      <c r="B714" s="24" t="s">
        <v>1995</v>
      </c>
      <c r="C714" s="24" t="s">
        <v>1996</v>
      </c>
      <c r="D714" s="5" t="e">
        <f>IF((COUNTIFS(#REF!,$C714,#REF!,"*163*"))&gt;=1,"SIM","")</f>
        <v>#REF!</v>
      </c>
      <c r="E714" s="5" t="e">
        <f>IF((COUNTIFS(#REF!,$C714,#REF!,E$1))&gt;=1,"SIM","")</f>
        <v>#REF!</v>
      </c>
      <c r="F714" s="5" t="e">
        <f>IF((COUNTIFS(#REF!,$C714,#REF!,F$1))&gt;=1,"SIM","")</f>
        <v>#REF!</v>
      </c>
      <c r="G714" s="5" t="e">
        <f>IF((COUNTIFS(#REF!,$C714,#REF!,"*606*"))&gt;=1,"SIM","")</f>
        <v>#REF!</v>
      </c>
      <c r="H714" s="5" t="e">
        <f>IF((COUNTIFS(#REF!,$C714,#REF!,"*605*"))&gt;=1,"SIM","")</f>
        <v>#REF!</v>
      </c>
      <c r="I714" s="5" t="e">
        <f>IF((COUNTIFS(#REF!,$C714,#REF!,I$1))&gt;=1,"SIM","")</f>
        <v>#REF!</v>
      </c>
      <c r="J714" s="5" t="e">
        <f>IF((COUNTIFS(#REF!,$C714,#REF!,J$1))&gt;=1,"SIM","")</f>
        <v>#REF!</v>
      </c>
      <c r="K714" s="5" t="e">
        <f>IF((COUNTIFS(#REF!,$C714,#REF!,K$1))&gt;=1,"SIM","")</f>
        <v>#REF!</v>
      </c>
      <c r="L714" s="5" t="e">
        <f>IF((COUNTIFS(#REF!,$C714,#REF!,L$1))&gt;=1,"SIM","")</f>
        <v>#REF!</v>
      </c>
      <c r="M714" s="5" t="e">
        <f>IF((COUNTIFS(#REF!,$C714,#REF!,M$1))&gt;=1,"SIM","")</f>
        <v>#REF!</v>
      </c>
      <c r="N714" s="5" t="e">
        <f>IF((COUNTIFS(#REF!,$C714,#REF!,N$1))&gt;=1,"SIM","")</f>
        <v>#REF!</v>
      </c>
      <c r="O714" s="5"/>
      <c r="P714" s="5" t="e">
        <f>IF((COUNTIFS(#REF!,$C714,#REF!,P$1))&gt;=1,"SIM","")</f>
        <v>#REF!</v>
      </c>
      <c r="Q714" s="5" t="e">
        <f>IF((COUNTIFS(#REF!,$C714,#REF!,Q$1))&gt;=1,"SIM","")</f>
        <v>#REF!</v>
      </c>
      <c r="R714" s="5" t="e">
        <f>IF((COUNTIFS(#REF!,$C714,#REF!,"*CARTA*"))&gt;=1,"SIM","")</f>
        <v>#REF!</v>
      </c>
      <c r="S714" s="5" t="e">
        <f>IF((COUNTIFS(#REF!,$C714,#REF!,"*CARTA NOTIFICAÇÃO/DEVOL*"))&gt;=1,"SIM","")</f>
        <v>#REF!</v>
      </c>
      <c r="T714" s="5" t="e">
        <f>IF((COUNTIFS(#REF!,$C714,#REF!,"*LIGAÇÃO ATIVA DEV PRIN/LOC*"))&gt;=1,"SIM","")</f>
        <v>#REF!</v>
      </c>
    </row>
    <row r="715" spans="1:20">
      <c r="A715" s="24" t="s">
        <v>2153</v>
      </c>
      <c r="B715" s="24" t="s">
        <v>1138</v>
      </c>
      <c r="C715" s="24" t="s">
        <v>1139</v>
      </c>
      <c r="D715" s="5" t="e">
        <f>IF((COUNTIFS(#REF!,$C715,#REF!,"*163*"))&gt;=1,"SIM","")</f>
        <v>#REF!</v>
      </c>
      <c r="E715" s="5" t="e">
        <f>IF((COUNTIFS(#REF!,$C715,#REF!,E$1))&gt;=1,"SIM","")</f>
        <v>#REF!</v>
      </c>
      <c r="F715" s="5" t="e">
        <f>IF((COUNTIFS(#REF!,$C715,#REF!,F$1))&gt;=1,"SIM","")</f>
        <v>#REF!</v>
      </c>
      <c r="G715" s="5" t="e">
        <f>IF((COUNTIFS(#REF!,$C715,#REF!,"*606*"))&gt;=1,"SIM","")</f>
        <v>#REF!</v>
      </c>
      <c r="H715" s="5" t="e">
        <f>IF((COUNTIFS(#REF!,$C715,#REF!,"*605*"))&gt;=1,"SIM","")</f>
        <v>#REF!</v>
      </c>
      <c r="I715" s="5" t="e">
        <f>IF((COUNTIFS(#REF!,$C715,#REF!,I$1))&gt;=1,"SIM","")</f>
        <v>#REF!</v>
      </c>
      <c r="J715" s="5" t="e">
        <f>IF((COUNTIFS(#REF!,$C715,#REF!,J$1))&gt;=1,"SIM","")</f>
        <v>#REF!</v>
      </c>
      <c r="K715" s="5" t="e">
        <f>IF((COUNTIFS(#REF!,$C715,#REF!,K$1))&gt;=1,"SIM","")</f>
        <v>#REF!</v>
      </c>
      <c r="L715" s="5" t="e">
        <f>IF((COUNTIFS(#REF!,$C715,#REF!,L$1))&gt;=1,"SIM","")</f>
        <v>#REF!</v>
      </c>
      <c r="M715" s="5" t="e">
        <f>IF((COUNTIFS(#REF!,$C715,#REF!,M$1))&gt;=1,"SIM","")</f>
        <v>#REF!</v>
      </c>
      <c r="N715" s="5" t="e">
        <f>IF((COUNTIFS(#REF!,$C715,#REF!,N$1))&gt;=1,"SIM","")</f>
        <v>#REF!</v>
      </c>
      <c r="O715" s="5"/>
      <c r="P715" s="5" t="e">
        <f>IF((COUNTIFS(#REF!,$C715,#REF!,P$1))&gt;=1,"SIM","")</f>
        <v>#REF!</v>
      </c>
      <c r="Q715" s="5" t="e">
        <f>IF((COUNTIFS(#REF!,$C715,#REF!,Q$1))&gt;=1,"SIM","")</f>
        <v>#REF!</v>
      </c>
      <c r="R715" s="5" t="e">
        <f>IF((COUNTIFS(#REF!,$C715,#REF!,"*CARTA*"))&gt;=1,"SIM","")</f>
        <v>#REF!</v>
      </c>
      <c r="S715" s="5" t="e">
        <f>IF((COUNTIFS(#REF!,$C715,#REF!,"*CARTA NOTIFICAÇÃO/DEVOL*"))&gt;=1,"SIM","")</f>
        <v>#REF!</v>
      </c>
      <c r="T715" s="5" t="e">
        <f>IF((COUNTIFS(#REF!,$C715,#REF!,"*LIGAÇÃO ATIVA DEV PRIN/LOC*"))&gt;=1,"SIM","")</f>
        <v>#REF!</v>
      </c>
    </row>
    <row r="716" spans="1:20">
      <c r="A716" s="24" t="s">
        <v>2157</v>
      </c>
      <c r="B716" s="24" t="s">
        <v>1210</v>
      </c>
      <c r="C716" s="24" t="s">
        <v>1211</v>
      </c>
      <c r="D716" s="5" t="e">
        <f>IF((COUNTIFS(#REF!,$C716,#REF!,"*163*"))&gt;=1,"SIM","")</f>
        <v>#REF!</v>
      </c>
      <c r="E716" s="5" t="e">
        <f>IF((COUNTIFS(#REF!,$C716,#REF!,E$1))&gt;=1,"SIM","")</f>
        <v>#REF!</v>
      </c>
      <c r="F716" s="5" t="e">
        <f>IF((COUNTIFS(#REF!,$C716,#REF!,F$1))&gt;=1,"SIM","")</f>
        <v>#REF!</v>
      </c>
      <c r="G716" s="5" t="e">
        <f>IF((COUNTIFS(#REF!,$C716,#REF!,"*606*"))&gt;=1,"SIM","")</f>
        <v>#REF!</v>
      </c>
      <c r="H716" s="5" t="e">
        <f>IF((COUNTIFS(#REF!,$C716,#REF!,"*605*"))&gt;=1,"SIM","")</f>
        <v>#REF!</v>
      </c>
      <c r="I716" s="5" t="e">
        <f>IF((COUNTIFS(#REF!,$C716,#REF!,I$1))&gt;=1,"SIM","")</f>
        <v>#REF!</v>
      </c>
      <c r="J716" s="5" t="e">
        <f>IF((COUNTIFS(#REF!,$C716,#REF!,J$1))&gt;=1,"SIM","")</f>
        <v>#REF!</v>
      </c>
      <c r="K716" s="5" t="e">
        <f>IF((COUNTIFS(#REF!,$C716,#REF!,K$1))&gt;=1,"SIM","")</f>
        <v>#REF!</v>
      </c>
      <c r="L716" s="5" t="e">
        <f>IF((COUNTIFS(#REF!,$C716,#REF!,L$1))&gt;=1,"SIM","")</f>
        <v>#REF!</v>
      </c>
      <c r="M716" s="5" t="e">
        <f>IF((COUNTIFS(#REF!,$C716,#REF!,M$1))&gt;=1,"SIM","")</f>
        <v>#REF!</v>
      </c>
      <c r="N716" s="5" t="e">
        <f>IF((COUNTIFS(#REF!,$C716,#REF!,N$1))&gt;=1,"SIM","")</f>
        <v>#REF!</v>
      </c>
      <c r="O716" s="5"/>
      <c r="P716" s="5" t="e">
        <f>IF((COUNTIFS(#REF!,$C716,#REF!,P$1))&gt;=1,"SIM","")</f>
        <v>#REF!</v>
      </c>
      <c r="Q716" s="5" t="e">
        <f>IF((COUNTIFS(#REF!,$C716,#REF!,Q$1))&gt;=1,"SIM","")</f>
        <v>#REF!</v>
      </c>
      <c r="R716" s="5" t="e">
        <f>IF((COUNTIFS(#REF!,$C716,#REF!,"*CARTA*"))&gt;=1,"SIM","")</f>
        <v>#REF!</v>
      </c>
      <c r="S716" s="5" t="e">
        <f>IF((COUNTIFS(#REF!,$C716,#REF!,"*CARTA NOTIFICAÇÃO/DEVOL*"))&gt;=1,"SIM","")</f>
        <v>#REF!</v>
      </c>
      <c r="T716" s="5" t="e">
        <f>IF((COUNTIFS(#REF!,$C716,#REF!,"*LIGAÇÃO ATIVA DEV PRIN/LOC*"))&gt;=1,"SIM","")</f>
        <v>#REF!</v>
      </c>
    </row>
    <row r="717" spans="1:20">
      <c r="A717" s="24" t="s">
        <v>2158</v>
      </c>
      <c r="B717" s="24" t="s">
        <v>1352</v>
      </c>
      <c r="C717" s="24" t="s">
        <v>1353</v>
      </c>
      <c r="D717" s="5" t="e">
        <f>IF((COUNTIFS(#REF!,$C717,#REF!,"*163*"))&gt;=1,"SIM","")</f>
        <v>#REF!</v>
      </c>
      <c r="E717" s="5" t="e">
        <f>IF((COUNTIFS(#REF!,$C717,#REF!,E$1))&gt;=1,"SIM","")</f>
        <v>#REF!</v>
      </c>
      <c r="F717" s="5" t="e">
        <f>IF((COUNTIFS(#REF!,$C717,#REF!,F$1))&gt;=1,"SIM","")</f>
        <v>#REF!</v>
      </c>
      <c r="G717" s="5" t="e">
        <f>IF((COUNTIFS(#REF!,$C717,#REF!,"*606*"))&gt;=1,"SIM","")</f>
        <v>#REF!</v>
      </c>
      <c r="H717" s="5" t="e">
        <f>IF((COUNTIFS(#REF!,$C717,#REF!,"*605*"))&gt;=1,"SIM","")</f>
        <v>#REF!</v>
      </c>
      <c r="I717" s="5" t="e">
        <f>IF((COUNTIFS(#REF!,$C717,#REF!,I$1))&gt;=1,"SIM","")</f>
        <v>#REF!</v>
      </c>
      <c r="J717" s="5" t="e">
        <f>IF((COUNTIFS(#REF!,$C717,#REF!,J$1))&gt;=1,"SIM","")</f>
        <v>#REF!</v>
      </c>
      <c r="K717" s="5" t="e">
        <f>IF((COUNTIFS(#REF!,$C717,#REF!,K$1))&gt;=1,"SIM","")</f>
        <v>#REF!</v>
      </c>
      <c r="L717" s="5" t="e">
        <f>IF((COUNTIFS(#REF!,$C717,#REF!,L$1))&gt;=1,"SIM","")</f>
        <v>#REF!</v>
      </c>
      <c r="M717" s="5" t="e">
        <f>IF((COUNTIFS(#REF!,$C717,#REF!,M$1))&gt;=1,"SIM","")</f>
        <v>#REF!</v>
      </c>
      <c r="N717" s="5" t="e">
        <f>IF((COUNTIFS(#REF!,$C717,#REF!,N$1))&gt;=1,"SIM","")</f>
        <v>#REF!</v>
      </c>
      <c r="O717" s="5"/>
      <c r="P717" s="5" t="e">
        <f>IF((COUNTIFS(#REF!,$C717,#REF!,P$1))&gt;=1,"SIM","")</f>
        <v>#REF!</v>
      </c>
      <c r="Q717" s="5" t="e">
        <f>IF((COUNTIFS(#REF!,$C717,#REF!,Q$1))&gt;=1,"SIM","")</f>
        <v>#REF!</v>
      </c>
      <c r="R717" s="5" t="e">
        <f>IF((COUNTIFS(#REF!,$C717,#REF!,"*CARTA*"))&gt;=1,"SIM","")</f>
        <v>#REF!</v>
      </c>
      <c r="S717" s="5" t="e">
        <f>IF((COUNTIFS(#REF!,$C717,#REF!,"*CARTA NOTIFICAÇÃO/DEVOL*"))&gt;=1,"SIM","")</f>
        <v>#REF!</v>
      </c>
      <c r="T717" s="5" t="e">
        <f>IF((COUNTIFS(#REF!,$C717,#REF!,"*LIGAÇÃO ATIVA DEV PRIN/LOC*"))&gt;=1,"SIM","")</f>
        <v>#REF!</v>
      </c>
    </row>
    <row r="718" spans="1:20">
      <c r="A718" s="24" t="s">
        <v>2153</v>
      </c>
      <c r="B718" s="24" t="s">
        <v>1198</v>
      </c>
      <c r="C718" s="24" t="s">
        <v>1199</v>
      </c>
      <c r="D718" s="5" t="e">
        <f>IF((COUNTIFS(#REF!,$C718,#REF!,"*163*"))&gt;=1,"SIM","")</f>
        <v>#REF!</v>
      </c>
      <c r="E718" s="5" t="e">
        <f>IF((COUNTIFS(#REF!,$C718,#REF!,E$1))&gt;=1,"SIM","")</f>
        <v>#REF!</v>
      </c>
      <c r="F718" s="5" t="e">
        <f>IF((COUNTIFS(#REF!,$C718,#REF!,F$1))&gt;=1,"SIM","")</f>
        <v>#REF!</v>
      </c>
      <c r="G718" s="5" t="e">
        <f>IF((COUNTIFS(#REF!,$C718,#REF!,"*606*"))&gt;=1,"SIM","")</f>
        <v>#REF!</v>
      </c>
      <c r="H718" s="5" t="e">
        <f>IF((COUNTIFS(#REF!,$C718,#REF!,"*605*"))&gt;=1,"SIM","")</f>
        <v>#REF!</v>
      </c>
      <c r="I718" s="5" t="e">
        <f>IF((COUNTIFS(#REF!,$C718,#REF!,I$1))&gt;=1,"SIM","")</f>
        <v>#REF!</v>
      </c>
      <c r="J718" s="5" t="e">
        <f>IF((COUNTIFS(#REF!,$C718,#REF!,J$1))&gt;=1,"SIM","")</f>
        <v>#REF!</v>
      </c>
      <c r="K718" s="5" t="e">
        <f>IF((COUNTIFS(#REF!,$C718,#REF!,K$1))&gt;=1,"SIM","")</f>
        <v>#REF!</v>
      </c>
      <c r="L718" s="5" t="e">
        <f>IF((COUNTIFS(#REF!,$C718,#REF!,L$1))&gt;=1,"SIM","")</f>
        <v>#REF!</v>
      </c>
      <c r="M718" s="5" t="e">
        <f>IF((COUNTIFS(#REF!,$C718,#REF!,M$1))&gt;=1,"SIM","")</f>
        <v>#REF!</v>
      </c>
      <c r="N718" s="5" t="e">
        <f>IF((COUNTIFS(#REF!,$C718,#REF!,N$1))&gt;=1,"SIM","")</f>
        <v>#REF!</v>
      </c>
      <c r="O718" s="5"/>
      <c r="P718" s="5" t="e">
        <f>IF((COUNTIFS(#REF!,$C718,#REF!,P$1))&gt;=1,"SIM","")</f>
        <v>#REF!</v>
      </c>
      <c r="Q718" s="5" t="e">
        <f>IF((COUNTIFS(#REF!,$C718,#REF!,Q$1))&gt;=1,"SIM","")</f>
        <v>#REF!</v>
      </c>
      <c r="R718" s="5" t="e">
        <f>IF((COUNTIFS(#REF!,$C718,#REF!,"*CARTA*"))&gt;=1,"SIM","")</f>
        <v>#REF!</v>
      </c>
      <c r="S718" s="5" t="e">
        <f>IF((COUNTIFS(#REF!,$C718,#REF!,"*CARTA NOTIFICAÇÃO/DEVOL*"))&gt;=1,"SIM","")</f>
        <v>#REF!</v>
      </c>
      <c r="T718" s="5" t="e">
        <f>IF((COUNTIFS(#REF!,$C718,#REF!,"*LIGAÇÃO ATIVA DEV PRIN/LOC*"))&gt;=1,"SIM","")</f>
        <v>#REF!</v>
      </c>
    </row>
    <row r="719" spans="1:20">
      <c r="A719" s="24" t="s">
        <v>2153</v>
      </c>
      <c r="B719" s="24" t="s">
        <v>500</v>
      </c>
      <c r="C719" s="24" t="s">
        <v>501</v>
      </c>
      <c r="D719" s="5" t="e">
        <f>IF((COUNTIFS(#REF!,$C719,#REF!,"*163*"))&gt;=1,"SIM","")</f>
        <v>#REF!</v>
      </c>
      <c r="E719" s="5" t="e">
        <f>IF((COUNTIFS(#REF!,$C719,#REF!,E$1))&gt;=1,"SIM","")</f>
        <v>#REF!</v>
      </c>
      <c r="F719" s="5" t="e">
        <f>IF((COUNTIFS(#REF!,$C719,#REF!,F$1))&gt;=1,"SIM","")</f>
        <v>#REF!</v>
      </c>
      <c r="G719" s="5" t="e">
        <f>IF((COUNTIFS(#REF!,$C719,#REF!,"*606*"))&gt;=1,"SIM","")</f>
        <v>#REF!</v>
      </c>
      <c r="H719" s="5" t="e">
        <f>IF((COUNTIFS(#REF!,$C719,#REF!,"*605*"))&gt;=1,"SIM","")</f>
        <v>#REF!</v>
      </c>
      <c r="I719" s="5" t="e">
        <f>IF((COUNTIFS(#REF!,$C719,#REF!,I$1))&gt;=1,"SIM","")</f>
        <v>#REF!</v>
      </c>
      <c r="J719" s="5" t="e">
        <f>IF((COUNTIFS(#REF!,$C719,#REF!,J$1))&gt;=1,"SIM","")</f>
        <v>#REF!</v>
      </c>
      <c r="K719" s="5" t="e">
        <f>IF((COUNTIFS(#REF!,$C719,#REF!,K$1))&gt;=1,"SIM","")</f>
        <v>#REF!</v>
      </c>
      <c r="L719" s="5" t="e">
        <f>IF((COUNTIFS(#REF!,$C719,#REF!,L$1))&gt;=1,"SIM","")</f>
        <v>#REF!</v>
      </c>
      <c r="M719" s="5" t="e">
        <f>IF((COUNTIFS(#REF!,$C719,#REF!,M$1))&gt;=1,"SIM","")</f>
        <v>#REF!</v>
      </c>
      <c r="N719" s="5" t="e">
        <f>IF((COUNTIFS(#REF!,$C719,#REF!,N$1))&gt;=1,"SIM","")</f>
        <v>#REF!</v>
      </c>
      <c r="O719" s="5"/>
      <c r="P719" s="5" t="e">
        <f>IF((COUNTIFS(#REF!,$C719,#REF!,P$1))&gt;=1,"SIM","")</f>
        <v>#REF!</v>
      </c>
      <c r="Q719" s="5" t="e">
        <f>IF((COUNTIFS(#REF!,$C719,#REF!,Q$1))&gt;=1,"SIM","")</f>
        <v>#REF!</v>
      </c>
      <c r="R719" s="5" t="e">
        <f>IF((COUNTIFS(#REF!,$C719,#REF!,"*CARTA*"))&gt;=1,"SIM","")</f>
        <v>#REF!</v>
      </c>
      <c r="S719" s="5" t="e">
        <f>IF((COUNTIFS(#REF!,$C719,#REF!,"*CARTA NOTIFICAÇÃO/DEVOL*"))&gt;=1,"SIM","")</f>
        <v>#REF!</v>
      </c>
      <c r="T719" s="5" t="e">
        <f>IF((COUNTIFS(#REF!,$C719,#REF!,"*LIGAÇÃO ATIVA DEV PRIN/LOC*"))&gt;=1,"SIM","")</f>
        <v>#REF!</v>
      </c>
    </row>
    <row r="720" spans="1:20">
      <c r="A720" s="24" t="s">
        <v>2157</v>
      </c>
      <c r="B720" s="24" t="s">
        <v>1871</v>
      </c>
      <c r="C720" s="24" t="s">
        <v>1872</v>
      </c>
      <c r="D720" s="5" t="e">
        <f>IF((COUNTIFS(#REF!,$C720,#REF!,"*163*"))&gt;=1,"SIM","")</f>
        <v>#REF!</v>
      </c>
      <c r="E720" s="5" t="e">
        <f>IF((COUNTIFS(#REF!,$C720,#REF!,E$1))&gt;=1,"SIM","")</f>
        <v>#REF!</v>
      </c>
      <c r="F720" s="5" t="e">
        <f>IF((COUNTIFS(#REF!,$C720,#REF!,F$1))&gt;=1,"SIM","")</f>
        <v>#REF!</v>
      </c>
      <c r="G720" s="5" t="e">
        <f>IF((COUNTIFS(#REF!,$C720,#REF!,"*606*"))&gt;=1,"SIM","")</f>
        <v>#REF!</v>
      </c>
      <c r="H720" s="5" t="e">
        <f>IF((COUNTIFS(#REF!,$C720,#REF!,"*605*"))&gt;=1,"SIM","")</f>
        <v>#REF!</v>
      </c>
      <c r="I720" s="5" t="e">
        <f>IF((COUNTIFS(#REF!,$C720,#REF!,I$1))&gt;=1,"SIM","")</f>
        <v>#REF!</v>
      </c>
      <c r="J720" s="5" t="e">
        <f>IF((COUNTIFS(#REF!,$C720,#REF!,J$1))&gt;=1,"SIM","")</f>
        <v>#REF!</v>
      </c>
      <c r="K720" s="5" t="e">
        <f>IF((COUNTIFS(#REF!,$C720,#REF!,K$1))&gt;=1,"SIM","")</f>
        <v>#REF!</v>
      </c>
      <c r="L720" s="5" t="e">
        <f>IF((COUNTIFS(#REF!,$C720,#REF!,L$1))&gt;=1,"SIM","")</f>
        <v>#REF!</v>
      </c>
      <c r="M720" s="5" t="e">
        <f>IF((COUNTIFS(#REF!,$C720,#REF!,M$1))&gt;=1,"SIM","")</f>
        <v>#REF!</v>
      </c>
      <c r="N720" s="5" t="e">
        <f>IF((COUNTIFS(#REF!,$C720,#REF!,N$1))&gt;=1,"SIM","")</f>
        <v>#REF!</v>
      </c>
      <c r="O720" s="5"/>
      <c r="P720" s="5" t="e">
        <f>IF((COUNTIFS(#REF!,$C720,#REF!,P$1))&gt;=1,"SIM","")</f>
        <v>#REF!</v>
      </c>
      <c r="Q720" s="5" t="e">
        <f>IF((COUNTIFS(#REF!,$C720,#REF!,Q$1))&gt;=1,"SIM","")</f>
        <v>#REF!</v>
      </c>
      <c r="R720" s="5" t="e">
        <f>IF((COUNTIFS(#REF!,$C720,#REF!,"*CARTA*"))&gt;=1,"SIM","")</f>
        <v>#REF!</v>
      </c>
      <c r="S720" s="5" t="e">
        <f>IF((COUNTIFS(#REF!,$C720,#REF!,"*CARTA NOTIFICAÇÃO/DEVOL*"))&gt;=1,"SIM","")</f>
        <v>#REF!</v>
      </c>
      <c r="T720" s="5" t="e">
        <f>IF((COUNTIFS(#REF!,$C720,#REF!,"*LIGAÇÃO ATIVA DEV PRIN/LOC*"))&gt;=1,"SIM","")</f>
        <v>#REF!</v>
      </c>
    </row>
    <row r="721" spans="1:20">
      <c r="A721" s="24" t="s">
        <v>2159</v>
      </c>
      <c r="B721" s="24" t="s">
        <v>2341</v>
      </c>
      <c r="C721" s="24" t="s">
        <v>2342</v>
      </c>
      <c r="D721" s="5" t="e">
        <f>IF((COUNTIFS(#REF!,$C721,#REF!,"*163*"))&gt;=1,"SIM","")</f>
        <v>#REF!</v>
      </c>
      <c r="E721" s="5" t="e">
        <f>IF((COUNTIFS(#REF!,$C721,#REF!,E$1))&gt;=1,"SIM","")</f>
        <v>#REF!</v>
      </c>
      <c r="F721" s="5" t="e">
        <f>IF((COUNTIFS(#REF!,$C721,#REF!,F$1))&gt;=1,"SIM","")</f>
        <v>#REF!</v>
      </c>
      <c r="G721" s="5" t="e">
        <f>IF((COUNTIFS(#REF!,$C721,#REF!,"*606*"))&gt;=1,"SIM","")</f>
        <v>#REF!</v>
      </c>
      <c r="H721" s="5" t="e">
        <f>IF((COUNTIFS(#REF!,$C721,#REF!,"*605*"))&gt;=1,"SIM","")</f>
        <v>#REF!</v>
      </c>
      <c r="I721" s="5" t="e">
        <f>IF((COUNTIFS(#REF!,$C721,#REF!,I$1))&gt;=1,"SIM","")</f>
        <v>#REF!</v>
      </c>
      <c r="J721" s="5" t="e">
        <f>IF((COUNTIFS(#REF!,$C721,#REF!,J$1))&gt;=1,"SIM","")</f>
        <v>#REF!</v>
      </c>
      <c r="K721" s="5" t="e">
        <f>IF((COUNTIFS(#REF!,$C721,#REF!,K$1))&gt;=1,"SIM","")</f>
        <v>#REF!</v>
      </c>
      <c r="L721" s="5" t="e">
        <f>IF((COUNTIFS(#REF!,$C721,#REF!,L$1))&gt;=1,"SIM","")</f>
        <v>#REF!</v>
      </c>
      <c r="M721" s="5" t="e">
        <f>IF((COUNTIFS(#REF!,$C721,#REF!,M$1))&gt;=1,"SIM","")</f>
        <v>#REF!</v>
      </c>
      <c r="N721" s="5" t="e">
        <f>IF((COUNTIFS(#REF!,$C721,#REF!,N$1))&gt;=1,"SIM","")</f>
        <v>#REF!</v>
      </c>
      <c r="O721" s="5"/>
      <c r="P721" s="5" t="e">
        <f>IF((COUNTIFS(#REF!,$C721,#REF!,P$1))&gt;=1,"SIM","")</f>
        <v>#REF!</v>
      </c>
      <c r="Q721" s="5" t="e">
        <f>IF((COUNTIFS(#REF!,$C721,#REF!,Q$1))&gt;=1,"SIM","")</f>
        <v>#REF!</v>
      </c>
      <c r="R721" s="5" t="e">
        <f>IF((COUNTIFS(#REF!,$C721,#REF!,"*CARTA*"))&gt;=1,"SIM","")</f>
        <v>#REF!</v>
      </c>
      <c r="S721" s="5" t="e">
        <f>IF((COUNTIFS(#REF!,$C721,#REF!,"*CARTA NOTIFICAÇÃO/DEVOL*"))&gt;=1,"SIM","")</f>
        <v>#REF!</v>
      </c>
      <c r="T721" s="5" t="e">
        <f>IF((COUNTIFS(#REF!,$C721,#REF!,"*LIGAÇÃO ATIVA DEV PRIN/LOC*"))&gt;=1,"SIM","")</f>
        <v>#REF!</v>
      </c>
    </row>
    <row r="722" spans="1:20">
      <c r="A722" s="24" t="s">
        <v>2153</v>
      </c>
      <c r="B722" s="24" t="s">
        <v>1161</v>
      </c>
      <c r="C722" s="24" t="s">
        <v>1162</v>
      </c>
      <c r="D722" s="5" t="e">
        <f>IF((COUNTIFS(#REF!,$C722,#REF!,"*163*"))&gt;=1,"SIM","")</f>
        <v>#REF!</v>
      </c>
      <c r="E722" s="5" t="e">
        <f>IF((COUNTIFS(#REF!,$C722,#REF!,E$1))&gt;=1,"SIM","")</f>
        <v>#REF!</v>
      </c>
      <c r="F722" s="5" t="e">
        <f>IF((COUNTIFS(#REF!,$C722,#REF!,F$1))&gt;=1,"SIM","")</f>
        <v>#REF!</v>
      </c>
      <c r="G722" s="5" t="e">
        <f>IF((COUNTIFS(#REF!,$C722,#REF!,"*606*"))&gt;=1,"SIM","")</f>
        <v>#REF!</v>
      </c>
      <c r="H722" s="5" t="e">
        <f>IF((COUNTIFS(#REF!,$C722,#REF!,"*605*"))&gt;=1,"SIM","")</f>
        <v>#REF!</v>
      </c>
      <c r="I722" s="5" t="e">
        <f>IF((COUNTIFS(#REF!,$C722,#REF!,I$1))&gt;=1,"SIM","")</f>
        <v>#REF!</v>
      </c>
      <c r="J722" s="5" t="e">
        <f>IF((COUNTIFS(#REF!,$C722,#REF!,J$1))&gt;=1,"SIM","")</f>
        <v>#REF!</v>
      </c>
      <c r="K722" s="5" t="e">
        <f>IF((COUNTIFS(#REF!,$C722,#REF!,K$1))&gt;=1,"SIM","")</f>
        <v>#REF!</v>
      </c>
      <c r="L722" s="5" t="e">
        <f>IF((COUNTIFS(#REF!,$C722,#REF!,L$1))&gt;=1,"SIM","")</f>
        <v>#REF!</v>
      </c>
      <c r="M722" s="5" t="e">
        <f>IF((COUNTIFS(#REF!,$C722,#REF!,M$1))&gt;=1,"SIM","")</f>
        <v>#REF!</v>
      </c>
      <c r="N722" s="5" t="e">
        <f>IF((COUNTIFS(#REF!,$C722,#REF!,N$1))&gt;=1,"SIM","")</f>
        <v>#REF!</v>
      </c>
      <c r="O722" s="5"/>
      <c r="P722" s="5" t="e">
        <f>IF((COUNTIFS(#REF!,$C722,#REF!,P$1))&gt;=1,"SIM","")</f>
        <v>#REF!</v>
      </c>
      <c r="Q722" s="5" t="e">
        <f>IF((COUNTIFS(#REF!,$C722,#REF!,Q$1))&gt;=1,"SIM","")</f>
        <v>#REF!</v>
      </c>
      <c r="R722" s="5" t="e">
        <f>IF((COUNTIFS(#REF!,$C722,#REF!,"*CARTA*"))&gt;=1,"SIM","")</f>
        <v>#REF!</v>
      </c>
      <c r="S722" s="5" t="e">
        <f>IF((COUNTIFS(#REF!,$C722,#REF!,"*CARTA NOTIFICAÇÃO/DEVOL*"))&gt;=1,"SIM","")</f>
        <v>#REF!</v>
      </c>
      <c r="T722" s="5" t="e">
        <f>IF((COUNTIFS(#REF!,$C722,#REF!,"*LIGAÇÃO ATIVA DEV PRIN/LOC*"))&gt;=1,"SIM","")</f>
        <v>#REF!</v>
      </c>
    </row>
    <row r="723" spans="1:20">
      <c r="A723" s="24" t="s">
        <v>2153</v>
      </c>
      <c r="B723" s="24" t="s">
        <v>1204</v>
      </c>
      <c r="C723" s="24" t="s">
        <v>1205</v>
      </c>
      <c r="D723" s="5" t="e">
        <f>IF((COUNTIFS(#REF!,$C723,#REF!,"*163*"))&gt;=1,"SIM","")</f>
        <v>#REF!</v>
      </c>
      <c r="E723" s="5" t="e">
        <f>IF((COUNTIFS(#REF!,$C723,#REF!,E$1))&gt;=1,"SIM","")</f>
        <v>#REF!</v>
      </c>
      <c r="F723" s="5" t="e">
        <f>IF((COUNTIFS(#REF!,$C723,#REF!,F$1))&gt;=1,"SIM","")</f>
        <v>#REF!</v>
      </c>
      <c r="G723" s="5" t="e">
        <f>IF((COUNTIFS(#REF!,$C723,#REF!,"*606*"))&gt;=1,"SIM","")</f>
        <v>#REF!</v>
      </c>
      <c r="H723" s="5" t="e">
        <f>IF((COUNTIFS(#REF!,$C723,#REF!,"*605*"))&gt;=1,"SIM","")</f>
        <v>#REF!</v>
      </c>
      <c r="I723" s="5" t="e">
        <f>IF((COUNTIFS(#REF!,$C723,#REF!,I$1))&gt;=1,"SIM","")</f>
        <v>#REF!</v>
      </c>
      <c r="J723" s="5" t="e">
        <f>IF((COUNTIFS(#REF!,$C723,#REF!,J$1))&gt;=1,"SIM","")</f>
        <v>#REF!</v>
      </c>
      <c r="K723" s="5" t="e">
        <f>IF((COUNTIFS(#REF!,$C723,#REF!,K$1))&gt;=1,"SIM","")</f>
        <v>#REF!</v>
      </c>
      <c r="L723" s="5" t="e">
        <f>IF((COUNTIFS(#REF!,$C723,#REF!,L$1))&gt;=1,"SIM","")</f>
        <v>#REF!</v>
      </c>
      <c r="M723" s="5" t="e">
        <f>IF((COUNTIFS(#REF!,$C723,#REF!,M$1))&gt;=1,"SIM","")</f>
        <v>#REF!</v>
      </c>
      <c r="N723" s="5" t="e">
        <f>IF((COUNTIFS(#REF!,$C723,#REF!,N$1))&gt;=1,"SIM","")</f>
        <v>#REF!</v>
      </c>
      <c r="O723" s="5"/>
      <c r="P723" s="5" t="e">
        <f>IF((COUNTIFS(#REF!,$C723,#REF!,P$1))&gt;=1,"SIM","")</f>
        <v>#REF!</v>
      </c>
      <c r="Q723" s="5" t="e">
        <f>IF((COUNTIFS(#REF!,$C723,#REF!,Q$1))&gt;=1,"SIM","")</f>
        <v>#REF!</v>
      </c>
      <c r="R723" s="5" t="e">
        <f>IF((COUNTIFS(#REF!,$C723,#REF!,"*CARTA*"))&gt;=1,"SIM","")</f>
        <v>#REF!</v>
      </c>
      <c r="S723" s="5" t="e">
        <f>IF((COUNTIFS(#REF!,$C723,#REF!,"*CARTA NOTIFICAÇÃO/DEVOL*"))&gt;=1,"SIM","")</f>
        <v>#REF!</v>
      </c>
      <c r="T723" s="5" t="e">
        <f>IF((COUNTIFS(#REF!,$C723,#REF!,"*LIGAÇÃO ATIVA DEV PRIN/LOC*"))&gt;=1,"SIM","")</f>
        <v>#REF!</v>
      </c>
    </row>
    <row r="724" spans="1:20">
      <c r="A724" s="24" t="s">
        <v>2157</v>
      </c>
      <c r="B724" s="24" t="s">
        <v>986</v>
      </c>
      <c r="C724" s="24" t="s">
        <v>987</v>
      </c>
      <c r="D724" s="5" t="e">
        <f>IF((COUNTIFS(#REF!,$C724,#REF!,"*163*"))&gt;=1,"SIM","")</f>
        <v>#REF!</v>
      </c>
      <c r="E724" s="5" t="e">
        <f>IF((COUNTIFS(#REF!,$C724,#REF!,E$1))&gt;=1,"SIM","")</f>
        <v>#REF!</v>
      </c>
      <c r="F724" s="5" t="e">
        <f>IF((COUNTIFS(#REF!,$C724,#REF!,F$1))&gt;=1,"SIM","")</f>
        <v>#REF!</v>
      </c>
      <c r="G724" s="5" t="e">
        <f>IF((COUNTIFS(#REF!,$C724,#REF!,"*606*"))&gt;=1,"SIM","")</f>
        <v>#REF!</v>
      </c>
      <c r="H724" s="5" t="e">
        <f>IF((COUNTIFS(#REF!,$C724,#REF!,"*605*"))&gt;=1,"SIM","")</f>
        <v>#REF!</v>
      </c>
      <c r="I724" s="5" t="e">
        <f>IF((COUNTIFS(#REF!,$C724,#REF!,I$1))&gt;=1,"SIM","")</f>
        <v>#REF!</v>
      </c>
      <c r="J724" s="5" t="e">
        <f>IF((COUNTIFS(#REF!,$C724,#REF!,J$1))&gt;=1,"SIM","")</f>
        <v>#REF!</v>
      </c>
      <c r="K724" s="5" t="e">
        <f>IF((COUNTIFS(#REF!,$C724,#REF!,K$1))&gt;=1,"SIM","")</f>
        <v>#REF!</v>
      </c>
      <c r="L724" s="5" t="e">
        <f>IF((COUNTIFS(#REF!,$C724,#REF!,L$1))&gt;=1,"SIM","")</f>
        <v>#REF!</v>
      </c>
      <c r="M724" s="5" t="e">
        <f>IF((COUNTIFS(#REF!,$C724,#REF!,M$1))&gt;=1,"SIM","")</f>
        <v>#REF!</v>
      </c>
      <c r="N724" s="5" t="e">
        <f>IF((COUNTIFS(#REF!,$C724,#REF!,N$1))&gt;=1,"SIM","")</f>
        <v>#REF!</v>
      </c>
      <c r="O724" s="5"/>
      <c r="P724" s="5" t="e">
        <f>IF((COUNTIFS(#REF!,$C724,#REF!,P$1))&gt;=1,"SIM","")</f>
        <v>#REF!</v>
      </c>
      <c r="Q724" s="5" t="e">
        <f>IF((COUNTIFS(#REF!,$C724,#REF!,Q$1))&gt;=1,"SIM","")</f>
        <v>#REF!</v>
      </c>
      <c r="R724" s="5" t="e">
        <f>IF((COUNTIFS(#REF!,$C724,#REF!,"*CARTA*"))&gt;=1,"SIM","")</f>
        <v>#REF!</v>
      </c>
      <c r="S724" s="5" t="e">
        <f>IF((COUNTIFS(#REF!,$C724,#REF!,"*CARTA NOTIFICAÇÃO/DEVOL*"))&gt;=1,"SIM","")</f>
        <v>#REF!</v>
      </c>
      <c r="T724" s="5" t="e">
        <f>IF((COUNTIFS(#REF!,$C724,#REF!,"*LIGAÇÃO ATIVA DEV PRIN/LOC*"))&gt;=1,"SIM","")</f>
        <v>#REF!</v>
      </c>
    </row>
    <row r="725" spans="1:20">
      <c r="A725" s="24" t="s">
        <v>2153</v>
      </c>
      <c r="B725" s="24" t="s">
        <v>540</v>
      </c>
      <c r="C725" s="24" t="s">
        <v>165</v>
      </c>
      <c r="D725" s="5" t="e">
        <f>IF((COUNTIFS(#REF!,$C725,#REF!,"*163*"))&gt;=1,"SIM","")</f>
        <v>#REF!</v>
      </c>
      <c r="E725" s="5" t="e">
        <f>IF((COUNTIFS(#REF!,$C725,#REF!,E$1))&gt;=1,"SIM","")</f>
        <v>#REF!</v>
      </c>
      <c r="F725" s="5" t="e">
        <f>IF((COUNTIFS(#REF!,$C725,#REF!,F$1))&gt;=1,"SIM","")</f>
        <v>#REF!</v>
      </c>
      <c r="G725" s="5" t="e">
        <f>IF((COUNTIFS(#REF!,$C725,#REF!,"*606*"))&gt;=1,"SIM","")</f>
        <v>#REF!</v>
      </c>
      <c r="H725" s="5" t="e">
        <f>IF((COUNTIFS(#REF!,$C725,#REF!,"*605*"))&gt;=1,"SIM","")</f>
        <v>#REF!</v>
      </c>
      <c r="I725" s="5" t="e">
        <f>IF((COUNTIFS(#REF!,$C725,#REF!,I$1))&gt;=1,"SIM","")</f>
        <v>#REF!</v>
      </c>
      <c r="J725" s="5" t="e">
        <f>IF((COUNTIFS(#REF!,$C725,#REF!,J$1))&gt;=1,"SIM","")</f>
        <v>#REF!</v>
      </c>
      <c r="K725" s="5" t="e">
        <f>IF((COUNTIFS(#REF!,$C725,#REF!,K$1))&gt;=1,"SIM","")</f>
        <v>#REF!</v>
      </c>
      <c r="L725" s="5" t="e">
        <f>IF((COUNTIFS(#REF!,$C725,#REF!,L$1))&gt;=1,"SIM","")</f>
        <v>#REF!</v>
      </c>
      <c r="M725" s="5" t="e">
        <f>IF((COUNTIFS(#REF!,$C725,#REF!,M$1))&gt;=1,"SIM","")</f>
        <v>#REF!</v>
      </c>
      <c r="N725" s="5" t="e">
        <f>IF((COUNTIFS(#REF!,$C725,#REF!,N$1))&gt;=1,"SIM","")</f>
        <v>#REF!</v>
      </c>
      <c r="O725" s="5"/>
      <c r="P725" s="5" t="e">
        <f>IF((COUNTIFS(#REF!,$C725,#REF!,P$1))&gt;=1,"SIM","")</f>
        <v>#REF!</v>
      </c>
      <c r="Q725" s="5" t="e">
        <f>IF((COUNTIFS(#REF!,$C725,#REF!,Q$1))&gt;=1,"SIM","")</f>
        <v>#REF!</v>
      </c>
      <c r="R725" s="5" t="e">
        <f>IF((COUNTIFS(#REF!,$C725,#REF!,"*CARTA*"))&gt;=1,"SIM","")</f>
        <v>#REF!</v>
      </c>
      <c r="S725" s="5" t="e">
        <f>IF((COUNTIFS(#REF!,$C725,#REF!,"*CARTA NOTIFICAÇÃO/DEVOL*"))&gt;=1,"SIM","")</f>
        <v>#REF!</v>
      </c>
      <c r="T725" s="5" t="e">
        <f>IF((COUNTIFS(#REF!,$C725,#REF!,"*LIGAÇÃO ATIVA DEV PRIN/LOC*"))&gt;=1,"SIM","")</f>
        <v>#REF!</v>
      </c>
    </row>
    <row r="726" spans="1:20">
      <c r="A726" s="24" t="s">
        <v>2154</v>
      </c>
      <c r="B726" s="24" t="s">
        <v>137</v>
      </c>
      <c r="C726" s="24" t="s">
        <v>138</v>
      </c>
      <c r="D726" s="5" t="e">
        <f>IF((COUNTIFS(#REF!,$C726,#REF!,"*163*"))&gt;=1,"SIM","")</f>
        <v>#REF!</v>
      </c>
      <c r="E726" s="5" t="e">
        <f>IF((COUNTIFS(#REF!,$C726,#REF!,E$1))&gt;=1,"SIM","")</f>
        <v>#REF!</v>
      </c>
      <c r="F726" s="5" t="e">
        <f>IF((COUNTIFS(#REF!,$C726,#REF!,F$1))&gt;=1,"SIM","")</f>
        <v>#REF!</v>
      </c>
      <c r="G726" s="5" t="e">
        <f>IF((COUNTIFS(#REF!,$C726,#REF!,"*606*"))&gt;=1,"SIM","")</f>
        <v>#REF!</v>
      </c>
      <c r="H726" s="5" t="e">
        <f>IF((COUNTIFS(#REF!,$C726,#REF!,"*605*"))&gt;=1,"SIM","")</f>
        <v>#REF!</v>
      </c>
      <c r="I726" s="5" t="e">
        <f>IF((COUNTIFS(#REF!,$C726,#REF!,I$1))&gt;=1,"SIM","")</f>
        <v>#REF!</v>
      </c>
      <c r="J726" s="5" t="e">
        <f>IF((COUNTIFS(#REF!,$C726,#REF!,J$1))&gt;=1,"SIM","")</f>
        <v>#REF!</v>
      </c>
      <c r="K726" s="5" t="e">
        <f>IF((COUNTIFS(#REF!,$C726,#REF!,K$1))&gt;=1,"SIM","")</f>
        <v>#REF!</v>
      </c>
      <c r="L726" s="5" t="e">
        <f>IF((COUNTIFS(#REF!,$C726,#REF!,L$1))&gt;=1,"SIM","")</f>
        <v>#REF!</v>
      </c>
      <c r="M726" s="5" t="e">
        <f>IF((COUNTIFS(#REF!,$C726,#REF!,M$1))&gt;=1,"SIM","")</f>
        <v>#REF!</v>
      </c>
      <c r="N726" s="5" t="e">
        <f>IF((COUNTIFS(#REF!,$C726,#REF!,N$1))&gt;=1,"SIM","")</f>
        <v>#REF!</v>
      </c>
      <c r="O726" s="5"/>
      <c r="P726" s="5" t="e">
        <f>IF((COUNTIFS(#REF!,$C726,#REF!,P$1))&gt;=1,"SIM","")</f>
        <v>#REF!</v>
      </c>
      <c r="Q726" s="5" t="e">
        <f>IF((COUNTIFS(#REF!,$C726,#REF!,Q$1))&gt;=1,"SIM","")</f>
        <v>#REF!</v>
      </c>
      <c r="R726" s="5" t="e">
        <f>IF((COUNTIFS(#REF!,$C726,#REF!,"*CARTA*"))&gt;=1,"SIM","")</f>
        <v>#REF!</v>
      </c>
      <c r="S726" s="5" t="e">
        <f>IF((COUNTIFS(#REF!,$C726,#REF!,"*CARTA NOTIFICAÇÃO/DEVOL*"))&gt;=1,"SIM","")</f>
        <v>#REF!</v>
      </c>
      <c r="T726" s="5" t="e">
        <f>IF((COUNTIFS(#REF!,$C726,#REF!,"*LIGAÇÃO ATIVA DEV PRIN/LOC*"))&gt;=1,"SIM","")</f>
        <v>#REF!</v>
      </c>
    </row>
    <row r="727" spans="1:20">
      <c r="A727" s="24" t="s">
        <v>2153</v>
      </c>
      <c r="B727" s="24" t="s">
        <v>566</v>
      </c>
      <c r="C727" s="24" t="s">
        <v>567</v>
      </c>
      <c r="D727" s="5" t="e">
        <f>IF((COUNTIFS(#REF!,$C727,#REF!,"*163*"))&gt;=1,"SIM","")</f>
        <v>#REF!</v>
      </c>
      <c r="E727" s="5" t="e">
        <f>IF((COUNTIFS(#REF!,$C727,#REF!,E$1))&gt;=1,"SIM","")</f>
        <v>#REF!</v>
      </c>
      <c r="F727" s="5" t="e">
        <f>IF((COUNTIFS(#REF!,$C727,#REF!,F$1))&gt;=1,"SIM","")</f>
        <v>#REF!</v>
      </c>
      <c r="G727" s="5" t="e">
        <f>IF((COUNTIFS(#REF!,$C727,#REF!,"*606*"))&gt;=1,"SIM","")</f>
        <v>#REF!</v>
      </c>
      <c r="H727" s="5" t="e">
        <f>IF((COUNTIFS(#REF!,$C727,#REF!,"*605*"))&gt;=1,"SIM","")</f>
        <v>#REF!</v>
      </c>
      <c r="I727" s="5" t="e">
        <f>IF((COUNTIFS(#REF!,$C727,#REF!,I$1))&gt;=1,"SIM","")</f>
        <v>#REF!</v>
      </c>
      <c r="J727" s="5" t="e">
        <f>IF((COUNTIFS(#REF!,$C727,#REF!,J$1))&gt;=1,"SIM","")</f>
        <v>#REF!</v>
      </c>
      <c r="K727" s="5" t="e">
        <f>IF((COUNTIFS(#REF!,$C727,#REF!,K$1))&gt;=1,"SIM","")</f>
        <v>#REF!</v>
      </c>
      <c r="L727" s="5" t="e">
        <f>IF((COUNTIFS(#REF!,$C727,#REF!,L$1))&gt;=1,"SIM","")</f>
        <v>#REF!</v>
      </c>
      <c r="M727" s="5" t="e">
        <f>IF((COUNTIFS(#REF!,$C727,#REF!,M$1))&gt;=1,"SIM","")</f>
        <v>#REF!</v>
      </c>
      <c r="N727" s="5" t="e">
        <f>IF((COUNTIFS(#REF!,$C727,#REF!,N$1))&gt;=1,"SIM","")</f>
        <v>#REF!</v>
      </c>
      <c r="O727" s="5"/>
      <c r="P727" s="5" t="e">
        <f>IF((COUNTIFS(#REF!,$C727,#REF!,P$1))&gt;=1,"SIM","")</f>
        <v>#REF!</v>
      </c>
      <c r="Q727" s="5" t="e">
        <f>IF((COUNTIFS(#REF!,$C727,#REF!,Q$1))&gt;=1,"SIM","")</f>
        <v>#REF!</v>
      </c>
      <c r="R727" s="5" t="e">
        <f>IF((COUNTIFS(#REF!,$C727,#REF!,"*CARTA*"))&gt;=1,"SIM","")</f>
        <v>#REF!</v>
      </c>
      <c r="S727" s="5" t="e">
        <f>IF((COUNTIFS(#REF!,$C727,#REF!,"*CARTA NOTIFICAÇÃO/DEVOL*"))&gt;=1,"SIM","")</f>
        <v>#REF!</v>
      </c>
      <c r="T727" s="5" t="e">
        <f>IF((COUNTIFS(#REF!,$C727,#REF!,"*LIGAÇÃO ATIVA DEV PRIN/LOC*"))&gt;=1,"SIM","")</f>
        <v>#REF!</v>
      </c>
    </row>
    <row r="728" spans="1:20">
      <c r="A728" s="24" t="s">
        <v>2153</v>
      </c>
      <c r="B728" s="24" t="s">
        <v>756</v>
      </c>
      <c r="C728" s="24" t="s">
        <v>757</v>
      </c>
      <c r="D728" s="5" t="e">
        <f>IF((COUNTIFS(#REF!,$C728,#REF!,"*163*"))&gt;=1,"SIM","")</f>
        <v>#REF!</v>
      </c>
      <c r="E728" s="5" t="e">
        <f>IF((COUNTIFS(#REF!,$C728,#REF!,E$1))&gt;=1,"SIM","")</f>
        <v>#REF!</v>
      </c>
      <c r="F728" s="5" t="e">
        <f>IF((COUNTIFS(#REF!,$C728,#REF!,F$1))&gt;=1,"SIM","")</f>
        <v>#REF!</v>
      </c>
      <c r="G728" s="5" t="e">
        <f>IF((COUNTIFS(#REF!,$C728,#REF!,"*606*"))&gt;=1,"SIM","")</f>
        <v>#REF!</v>
      </c>
      <c r="H728" s="5" t="e">
        <f>IF((COUNTIFS(#REF!,$C728,#REF!,"*605*"))&gt;=1,"SIM","")</f>
        <v>#REF!</v>
      </c>
      <c r="I728" s="5" t="e">
        <f>IF((COUNTIFS(#REF!,$C728,#REF!,I$1))&gt;=1,"SIM","")</f>
        <v>#REF!</v>
      </c>
      <c r="J728" s="5" t="e">
        <f>IF((COUNTIFS(#REF!,$C728,#REF!,J$1))&gt;=1,"SIM","")</f>
        <v>#REF!</v>
      </c>
      <c r="K728" s="5" t="e">
        <f>IF((COUNTIFS(#REF!,$C728,#REF!,K$1))&gt;=1,"SIM","")</f>
        <v>#REF!</v>
      </c>
      <c r="L728" s="5" t="e">
        <f>IF((COUNTIFS(#REF!,$C728,#REF!,L$1))&gt;=1,"SIM","")</f>
        <v>#REF!</v>
      </c>
      <c r="M728" s="5" t="e">
        <f>IF((COUNTIFS(#REF!,$C728,#REF!,M$1))&gt;=1,"SIM","")</f>
        <v>#REF!</v>
      </c>
      <c r="N728" s="5" t="e">
        <f>IF((COUNTIFS(#REF!,$C728,#REF!,N$1))&gt;=1,"SIM","")</f>
        <v>#REF!</v>
      </c>
      <c r="O728" s="5"/>
      <c r="P728" s="5" t="e">
        <f>IF((COUNTIFS(#REF!,$C728,#REF!,P$1))&gt;=1,"SIM","")</f>
        <v>#REF!</v>
      </c>
      <c r="Q728" s="5" t="e">
        <f>IF((COUNTIFS(#REF!,$C728,#REF!,Q$1))&gt;=1,"SIM","")</f>
        <v>#REF!</v>
      </c>
      <c r="R728" s="5" t="e">
        <f>IF((COUNTIFS(#REF!,$C728,#REF!,"*CARTA*"))&gt;=1,"SIM","")</f>
        <v>#REF!</v>
      </c>
      <c r="S728" s="5" t="e">
        <f>IF((COUNTIFS(#REF!,$C728,#REF!,"*CARTA NOTIFICAÇÃO/DEVOL*"))&gt;=1,"SIM","")</f>
        <v>#REF!</v>
      </c>
      <c r="T728" s="5" t="e">
        <f>IF((COUNTIFS(#REF!,$C728,#REF!,"*LIGAÇÃO ATIVA DEV PRIN/LOC*"))&gt;=1,"SIM","")</f>
        <v>#REF!</v>
      </c>
    </row>
    <row r="729" spans="1:20">
      <c r="A729" s="24" t="s">
        <v>2158</v>
      </c>
      <c r="B729" s="24" t="s">
        <v>1744</v>
      </c>
      <c r="C729" s="24" t="s">
        <v>1745</v>
      </c>
      <c r="D729" s="5" t="e">
        <f>IF((COUNTIFS(#REF!,$C729,#REF!,"*163*"))&gt;=1,"SIM","")</f>
        <v>#REF!</v>
      </c>
      <c r="E729" s="5" t="e">
        <f>IF((COUNTIFS(#REF!,$C729,#REF!,E$1))&gt;=1,"SIM","")</f>
        <v>#REF!</v>
      </c>
      <c r="F729" s="5" t="e">
        <f>IF((COUNTIFS(#REF!,$C729,#REF!,F$1))&gt;=1,"SIM","")</f>
        <v>#REF!</v>
      </c>
      <c r="G729" s="5" t="e">
        <f>IF((COUNTIFS(#REF!,$C729,#REF!,"*606*"))&gt;=1,"SIM","")</f>
        <v>#REF!</v>
      </c>
      <c r="H729" s="5" t="e">
        <f>IF((COUNTIFS(#REF!,$C729,#REF!,"*605*"))&gt;=1,"SIM","")</f>
        <v>#REF!</v>
      </c>
      <c r="I729" s="5" t="e">
        <f>IF((COUNTIFS(#REF!,$C729,#REF!,I$1))&gt;=1,"SIM","")</f>
        <v>#REF!</v>
      </c>
      <c r="J729" s="5" t="e">
        <f>IF((COUNTIFS(#REF!,$C729,#REF!,J$1))&gt;=1,"SIM","")</f>
        <v>#REF!</v>
      </c>
      <c r="K729" s="5" t="e">
        <f>IF((COUNTIFS(#REF!,$C729,#REF!,K$1))&gt;=1,"SIM","")</f>
        <v>#REF!</v>
      </c>
      <c r="L729" s="5" t="e">
        <f>IF((COUNTIFS(#REF!,$C729,#REF!,L$1))&gt;=1,"SIM","")</f>
        <v>#REF!</v>
      </c>
      <c r="M729" s="5" t="e">
        <f>IF((COUNTIFS(#REF!,$C729,#REF!,M$1))&gt;=1,"SIM","")</f>
        <v>#REF!</v>
      </c>
      <c r="N729" s="5" t="e">
        <f>IF((COUNTIFS(#REF!,$C729,#REF!,N$1))&gt;=1,"SIM","")</f>
        <v>#REF!</v>
      </c>
      <c r="O729" s="5"/>
      <c r="P729" s="5" t="e">
        <f>IF((COUNTIFS(#REF!,$C729,#REF!,P$1))&gt;=1,"SIM","")</f>
        <v>#REF!</v>
      </c>
      <c r="Q729" s="5" t="e">
        <f>IF((COUNTIFS(#REF!,$C729,#REF!,Q$1))&gt;=1,"SIM","")</f>
        <v>#REF!</v>
      </c>
      <c r="R729" s="5" t="e">
        <f>IF((COUNTIFS(#REF!,$C729,#REF!,"*CARTA*"))&gt;=1,"SIM","")</f>
        <v>#REF!</v>
      </c>
      <c r="S729" s="5" t="e">
        <f>IF((COUNTIFS(#REF!,$C729,#REF!,"*CARTA NOTIFICAÇÃO/DEVOL*"))&gt;=1,"SIM","")</f>
        <v>#REF!</v>
      </c>
      <c r="T729" s="5" t="e">
        <f>IF((COUNTIFS(#REF!,$C729,#REF!,"*LIGAÇÃO ATIVA DEV PRIN/LOC*"))&gt;=1,"SIM","")</f>
        <v>#REF!</v>
      </c>
    </row>
    <row r="730" spans="1:20">
      <c r="A730" s="24" t="s">
        <v>2159</v>
      </c>
      <c r="B730" s="24" t="s">
        <v>1238</v>
      </c>
      <c r="C730" s="24" t="s">
        <v>2333</v>
      </c>
      <c r="D730" s="5" t="e">
        <f>IF((COUNTIFS(#REF!,$C730,#REF!,"*163*"))&gt;=1,"SIM","")</f>
        <v>#REF!</v>
      </c>
      <c r="E730" s="5" t="e">
        <f>IF((COUNTIFS(#REF!,$C730,#REF!,E$1))&gt;=1,"SIM","")</f>
        <v>#REF!</v>
      </c>
      <c r="F730" s="5" t="e">
        <f>IF((COUNTIFS(#REF!,$C730,#REF!,F$1))&gt;=1,"SIM","")</f>
        <v>#REF!</v>
      </c>
      <c r="G730" s="5" t="e">
        <f>IF((COUNTIFS(#REF!,$C730,#REF!,"*606*"))&gt;=1,"SIM","")</f>
        <v>#REF!</v>
      </c>
      <c r="H730" s="5" t="e">
        <f>IF((COUNTIFS(#REF!,$C730,#REF!,"*605*"))&gt;=1,"SIM","")</f>
        <v>#REF!</v>
      </c>
      <c r="I730" s="5" t="e">
        <f>IF((COUNTIFS(#REF!,$C730,#REF!,I$1))&gt;=1,"SIM","")</f>
        <v>#REF!</v>
      </c>
      <c r="J730" s="5" t="e">
        <f>IF((COUNTIFS(#REF!,$C730,#REF!,J$1))&gt;=1,"SIM","")</f>
        <v>#REF!</v>
      </c>
      <c r="K730" s="5" t="e">
        <f>IF((COUNTIFS(#REF!,$C730,#REF!,K$1))&gt;=1,"SIM","")</f>
        <v>#REF!</v>
      </c>
      <c r="L730" s="5" t="e">
        <f>IF((COUNTIFS(#REF!,$C730,#REF!,L$1))&gt;=1,"SIM","")</f>
        <v>#REF!</v>
      </c>
      <c r="M730" s="5" t="e">
        <f>IF((COUNTIFS(#REF!,$C730,#REF!,M$1))&gt;=1,"SIM","")</f>
        <v>#REF!</v>
      </c>
      <c r="N730" s="5" t="e">
        <f>IF((COUNTIFS(#REF!,$C730,#REF!,N$1))&gt;=1,"SIM","")</f>
        <v>#REF!</v>
      </c>
      <c r="O730" s="5"/>
      <c r="P730" s="5" t="e">
        <f>IF((COUNTIFS(#REF!,$C730,#REF!,P$1))&gt;=1,"SIM","")</f>
        <v>#REF!</v>
      </c>
      <c r="Q730" s="5" t="e">
        <f>IF((COUNTIFS(#REF!,$C730,#REF!,Q$1))&gt;=1,"SIM","")</f>
        <v>#REF!</v>
      </c>
      <c r="R730" s="5" t="e">
        <f>IF((COUNTIFS(#REF!,$C730,#REF!,"*CARTA*"))&gt;=1,"SIM","")</f>
        <v>#REF!</v>
      </c>
      <c r="S730" s="5" t="e">
        <f>IF((COUNTIFS(#REF!,$C730,#REF!,"*CARTA NOTIFICAÇÃO/DEVOL*"))&gt;=1,"SIM","")</f>
        <v>#REF!</v>
      </c>
      <c r="T730" s="5" t="e">
        <f>IF((COUNTIFS(#REF!,$C730,#REF!,"*LIGAÇÃO ATIVA DEV PRIN/LOC*"))&gt;=1,"SIM","")</f>
        <v>#REF!</v>
      </c>
    </row>
    <row r="731" spans="1:20">
      <c r="A731" s="24" t="s">
        <v>2159</v>
      </c>
      <c r="B731" s="24" t="s">
        <v>1260</v>
      </c>
      <c r="C731" s="24" t="s">
        <v>1239</v>
      </c>
      <c r="D731" s="5" t="e">
        <f>IF((COUNTIFS(#REF!,$C731,#REF!,"*163*"))&gt;=1,"SIM","")</f>
        <v>#REF!</v>
      </c>
      <c r="E731" s="5" t="e">
        <f>IF((COUNTIFS(#REF!,$C731,#REF!,E$1))&gt;=1,"SIM","")</f>
        <v>#REF!</v>
      </c>
      <c r="F731" s="5" t="e">
        <f>IF((COUNTIFS(#REF!,$C731,#REF!,F$1))&gt;=1,"SIM","")</f>
        <v>#REF!</v>
      </c>
      <c r="G731" s="5" t="e">
        <f>IF((COUNTIFS(#REF!,$C731,#REF!,"*606*"))&gt;=1,"SIM","")</f>
        <v>#REF!</v>
      </c>
      <c r="H731" s="5" t="e">
        <f>IF((COUNTIFS(#REF!,$C731,#REF!,"*605*"))&gt;=1,"SIM","")</f>
        <v>#REF!</v>
      </c>
      <c r="I731" s="5" t="e">
        <f>IF((COUNTIFS(#REF!,$C731,#REF!,I$1))&gt;=1,"SIM","")</f>
        <v>#REF!</v>
      </c>
      <c r="J731" s="5" t="e">
        <f>IF((COUNTIFS(#REF!,$C731,#REF!,J$1))&gt;=1,"SIM","")</f>
        <v>#REF!</v>
      </c>
      <c r="K731" s="5" t="e">
        <f>IF((COUNTIFS(#REF!,$C731,#REF!,K$1))&gt;=1,"SIM","")</f>
        <v>#REF!</v>
      </c>
      <c r="L731" s="5" t="e">
        <f>IF((COUNTIFS(#REF!,$C731,#REF!,L$1))&gt;=1,"SIM","")</f>
        <v>#REF!</v>
      </c>
      <c r="M731" s="5" t="e">
        <f>IF((COUNTIFS(#REF!,$C731,#REF!,M$1))&gt;=1,"SIM","")</f>
        <v>#REF!</v>
      </c>
      <c r="N731" s="5" t="e">
        <f>IF((COUNTIFS(#REF!,$C731,#REF!,N$1))&gt;=1,"SIM","")</f>
        <v>#REF!</v>
      </c>
      <c r="O731" s="5"/>
      <c r="P731" s="5" t="e">
        <f>IF((COUNTIFS(#REF!,$C731,#REF!,P$1))&gt;=1,"SIM","")</f>
        <v>#REF!</v>
      </c>
      <c r="Q731" s="5" t="e">
        <f>IF((COUNTIFS(#REF!,$C731,#REF!,Q$1))&gt;=1,"SIM","")</f>
        <v>#REF!</v>
      </c>
      <c r="R731" s="5" t="e">
        <f>IF((COUNTIFS(#REF!,$C731,#REF!,"*CARTA*"))&gt;=1,"SIM","")</f>
        <v>#REF!</v>
      </c>
      <c r="S731" s="5" t="e">
        <f>IF((COUNTIFS(#REF!,$C731,#REF!,"*CARTA NOTIFICAÇÃO/DEVOL*"))&gt;=1,"SIM","")</f>
        <v>#REF!</v>
      </c>
      <c r="T731" s="5" t="e">
        <f>IF((COUNTIFS(#REF!,$C731,#REF!,"*LIGAÇÃO ATIVA DEV PRIN/LOC*"))&gt;=1,"SIM","")</f>
        <v>#REF!</v>
      </c>
    </row>
    <row r="732" spans="1:20">
      <c r="A732" s="24" t="s">
        <v>2159</v>
      </c>
      <c r="B732" s="24" t="s">
        <v>1109</v>
      </c>
      <c r="C732" s="24" t="s">
        <v>1110</v>
      </c>
      <c r="D732" s="5" t="e">
        <f>IF((COUNTIFS(#REF!,$C732,#REF!,"*163*"))&gt;=1,"SIM","")</f>
        <v>#REF!</v>
      </c>
      <c r="E732" s="5" t="e">
        <f>IF((COUNTIFS(#REF!,$C732,#REF!,E$1))&gt;=1,"SIM","")</f>
        <v>#REF!</v>
      </c>
      <c r="F732" s="5" t="e">
        <f>IF((COUNTIFS(#REF!,$C732,#REF!,F$1))&gt;=1,"SIM","")</f>
        <v>#REF!</v>
      </c>
      <c r="G732" s="5" t="e">
        <f>IF((COUNTIFS(#REF!,$C732,#REF!,"*606*"))&gt;=1,"SIM","")</f>
        <v>#REF!</v>
      </c>
      <c r="H732" s="5" t="e">
        <f>IF((COUNTIFS(#REF!,$C732,#REF!,"*605*"))&gt;=1,"SIM","")</f>
        <v>#REF!</v>
      </c>
      <c r="I732" s="5" t="e">
        <f>IF((COUNTIFS(#REF!,$C732,#REF!,I$1))&gt;=1,"SIM","")</f>
        <v>#REF!</v>
      </c>
      <c r="J732" s="5" t="e">
        <f>IF((COUNTIFS(#REF!,$C732,#REF!,J$1))&gt;=1,"SIM","")</f>
        <v>#REF!</v>
      </c>
      <c r="K732" s="5" t="e">
        <f>IF((COUNTIFS(#REF!,$C732,#REF!,K$1))&gt;=1,"SIM","")</f>
        <v>#REF!</v>
      </c>
      <c r="L732" s="5" t="e">
        <f>IF((COUNTIFS(#REF!,$C732,#REF!,L$1))&gt;=1,"SIM","")</f>
        <v>#REF!</v>
      </c>
      <c r="M732" s="5" t="e">
        <f>IF((COUNTIFS(#REF!,$C732,#REF!,M$1))&gt;=1,"SIM","")</f>
        <v>#REF!</v>
      </c>
      <c r="N732" s="5" t="e">
        <f>IF((COUNTIFS(#REF!,$C732,#REF!,N$1))&gt;=1,"SIM","")</f>
        <v>#REF!</v>
      </c>
      <c r="O732" s="5"/>
      <c r="P732" s="5" t="e">
        <f>IF((COUNTIFS(#REF!,$C732,#REF!,P$1))&gt;=1,"SIM","")</f>
        <v>#REF!</v>
      </c>
      <c r="Q732" s="5" t="e">
        <f>IF((COUNTIFS(#REF!,$C732,#REF!,Q$1))&gt;=1,"SIM","")</f>
        <v>#REF!</v>
      </c>
      <c r="R732" s="5" t="e">
        <f>IF((COUNTIFS(#REF!,$C732,#REF!,"*CARTA*"))&gt;=1,"SIM","")</f>
        <v>#REF!</v>
      </c>
      <c r="S732" s="5" t="e">
        <f>IF((COUNTIFS(#REF!,$C732,#REF!,"*CARTA NOTIFICAÇÃO/DEVOL*"))&gt;=1,"SIM","")</f>
        <v>#REF!</v>
      </c>
      <c r="T732" s="5" t="e">
        <f>IF((COUNTIFS(#REF!,$C732,#REF!,"*LIGAÇÃO ATIVA DEV PRIN/LOC*"))&gt;=1,"SIM","")</f>
        <v>#REF!</v>
      </c>
    </row>
    <row r="733" spans="1:20">
      <c r="A733" s="24" t="s">
        <v>2159</v>
      </c>
      <c r="B733" s="24" t="s">
        <v>1934</v>
      </c>
      <c r="C733" s="24" t="s">
        <v>1935</v>
      </c>
      <c r="D733" s="5" t="e">
        <f>IF((COUNTIFS(#REF!,$C733,#REF!,"*163*"))&gt;=1,"SIM","")</f>
        <v>#REF!</v>
      </c>
      <c r="E733" s="5" t="e">
        <f>IF((COUNTIFS(#REF!,$C733,#REF!,E$1))&gt;=1,"SIM","")</f>
        <v>#REF!</v>
      </c>
      <c r="F733" s="5" t="e">
        <f>IF((COUNTIFS(#REF!,$C733,#REF!,F$1))&gt;=1,"SIM","")</f>
        <v>#REF!</v>
      </c>
      <c r="G733" s="5" t="e">
        <f>IF((COUNTIFS(#REF!,$C733,#REF!,"*606*"))&gt;=1,"SIM","")</f>
        <v>#REF!</v>
      </c>
      <c r="H733" s="5" t="e">
        <f>IF((COUNTIFS(#REF!,$C733,#REF!,"*605*"))&gt;=1,"SIM","")</f>
        <v>#REF!</v>
      </c>
      <c r="I733" s="5" t="e">
        <f>IF((COUNTIFS(#REF!,$C733,#REF!,I$1))&gt;=1,"SIM","")</f>
        <v>#REF!</v>
      </c>
      <c r="J733" s="5" t="e">
        <f>IF((COUNTIFS(#REF!,$C733,#REF!,J$1))&gt;=1,"SIM","")</f>
        <v>#REF!</v>
      </c>
      <c r="K733" s="5" t="e">
        <f>IF((COUNTIFS(#REF!,$C733,#REF!,K$1))&gt;=1,"SIM","")</f>
        <v>#REF!</v>
      </c>
      <c r="L733" s="5" t="e">
        <f>IF((COUNTIFS(#REF!,$C733,#REF!,L$1))&gt;=1,"SIM","")</f>
        <v>#REF!</v>
      </c>
      <c r="M733" s="5" t="e">
        <f>IF((COUNTIFS(#REF!,$C733,#REF!,M$1))&gt;=1,"SIM","")</f>
        <v>#REF!</v>
      </c>
      <c r="N733" s="5" t="e">
        <f>IF((COUNTIFS(#REF!,$C733,#REF!,N$1))&gt;=1,"SIM","")</f>
        <v>#REF!</v>
      </c>
      <c r="O733" s="5"/>
      <c r="P733" s="5" t="e">
        <f>IF((COUNTIFS(#REF!,$C733,#REF!,P$1))&gt;=1,"SIM","")</f>
        <v>#REF!</v>
      </c>
      <c r="Q733" s="5" t="e">
        <f>IF((COUNTIFS(#REF!,$C733,#REF!,Q$1))&gt;=1,"SIM","")</f>
        <v>#REF!</v>
      </c>
      <c r="R733" s="5" t="e">
        <f>IF((COUNTIFS(#REF!,$C733,#REF!,"*CARTA*"))&gt;=1,"SIM","")</f>
        <v>#REF!</v>
      </c>
      <c r="S733" s="5" t="e">
        <f>IF((COUNTIFS(#REF!,$C733,#REF!,"*CARTA NOTIFICAÇÃO/DEVOL*"))&gt;=1,"SIM","")</f>
        <v>#REF!</v>
      </c>
      <c r="T733" s="5" t="e">
        <f>IF((COUNTIFS(#REF!,$C733,#REF!,"*LIGAÇÃO ATIVA DEV PRIN/LOC*"))&gt;=1,"SIM","")</f>
        <v>#REF!</v>
      </c>
    </row>
    <row r="734" spans="1:20">
      <c r="A734" s="24" t="s">
        <v>2159</v>
      </c>
      <c r="B734" s="24" t="s">
        <v>1086</v>
      </c>
      <c r="C734" s="24" t="s">
        <v>1087</v>
      </c>
      <c r="D734" s="5" t="e">
        <f>IF((COUNTIFS(#REF!,$C734,#REF!,"*163*"))&gt;=1,"SIM","")</f>
        <v>#REF!</v>
      </c>
      <c r="E734" s="5" t="e">
        <f>IF((COUNTIFS(#REF!,$C734,#REF!,E$1))&gt;=1,"SIM","")</f>
        <v>#REF!</v>
      </c>
      <c r="F734" s="5" t="e">
        <f>IF((COUNTIFS(#REF!,$C734,#REF!,F$1))&gt;=1,"SIM","")</f>
        <v>#REF!</v>
      </c>
      <c r="G734" s="5" t="e">
        <f>IF((COUNTIFS(#REF!,$C734,#REF!,"*606*"))&gt;=1,"SIM","")</f>
        <v>#REF!</v>
      </c>
      <c r="H734" s="5" t="e">
        <f>IF((COUNTIFS(#REF!,$C734,#REF!,"*605*"))&gt;=1,"SIM","")</f>
        <v>#REF!</v>
      </c>
      <c r="I734" s="5" t="e">
        <f>IF((COUNTIFS(#REF!,$C734,#REF!,I$1))&gt;=1,"SIM","")</f>
        <v>#REF!</v>
      </c>
      <c r="J734" s="5" t="e">
        <f>IF((COUNTIFS(#REF!,$C734,#REF!,J$1))&gt;=1,"SIM","")</f>
        <v>#REF!</v>
      </c>
      <c r="K734" s="5" t="e">
        <f>IF((COUNTIFS(#REF!,$C734,#REF!,K$1))&gt;=1,"SIM","")</f>
        <v>#REF!</v>
      </c>
      <c r="L734" s="5" t="e">
        <f>IF((COUNTIFS(#REF!,$C734,#REF!,L$1))&gt;=1,"SIM","")</f>
        <v>#REF!</v>
      </c>
      <c r="M734" s="5" t="e">
        <f>IF((COUNTIFS(#REF!,$C734,#REF!,M$1))&gt;=1,"SIM","")</f>
        <v>#REF!</v>
      </c>
      <c r="N734" s="5" t="e">
        <f>IF((COUNTIFS(#REF!,$C734,#REF!,N$1))&gt;=1,"SIM","")</f>
        <v>#REF!</v>
      </c>
      <c r="O734" s="5"/>
      <c r="P734" s="5" t="e">
        <f>IF((COUNTIFS(#REF!,$C734,#REF!,P$1))&gt;=1,"SIM","")</f>
        <v>#REF!</v>
      </c>
      <c r="Q734" s="5" t="e">
        <f>IF((COUNTIFS(#REF!,$C734,#REF!,Q$1))&gt;=1,"SIM","")</f>
        <v>#REF!</v>
      </c>
      <c r="R734" s="5" t="e">
        <f>IF((COUNTIFS(#REF!,$C734,#REF!,"*CARTA*"))&gt;=1,"SIM","")</f>
        <v>#REF!</v>
      </c>
      <c r="S734" s="5" t="e">
        <f>IF((COUNTIFS(#REF!,$C734,#REF!,"*CARTA NOTIFICAÇÃO/DEVOL*"))&gt;=1,"SIM","")</f>
        <v>#REF!</v>
      </c>
      <c r="T734" s="5" t="e">
        <f>IF((COUNTIFS(#REF!,$C734,#REF!,"*LIGAÇÃO ATIVA DEV PRIN/LOC*"))&gt;=1,"SIM","")</f>
        <v>#REF!</v>
      </c>
    </row>
    <row r="735" spans="1:20">
      <c r="A735" s="24" t="s">
        <v>2153</v>
      </c>
      <c r="B735" s="24" t="s">
        <v>207</v>
      </c>
      <c r="C735" s="24" t="s">
        <v>208</v>
      </c>
      <c r="D735" s="5" t="e">
        <f>IF((COUNTIFS(#REF!,$C735,#REF!,"*163*"))&gt;=1,"SIM","")</f>
        <v>#REF!</v>
      </c>
      <c r="E735" s="5" t="e">
        <f>IF((COUNTIFS(#REF!,$C735,#REF!,E$1))&gt;=1,"SIM","")</f>
        <v>#REF!</v>
      </c>
      <c r="F735" s="5" t="e">
        <f>IF((COUNTIFS(#REF!,$C735,#REF!,F$1))&gt;=1,"SIM","")</f>
        <v>#REF!</v>
      </c>
      <c r="G735" s="5" t="e">
        <f>IF((COUNTIFS(#REF!,$C735,#REF!,"*606*"))&gt;=1,"SIM","")</f>
        <v>#REF!</v>
      </c>
      <c r="H735" s="5" t="e">
        <f>IF((COUNTIFS(#REF!,$C735,#REF!,"*605*"))&gt;=1,"SIM","")</f>
        <v>#REF!</v>
      </c>
      <c r="I735" s="5" t="e">
        <f>IF((COUNTIFS(#REF!,$C735,#REF!,I$1))&gt;=1,"SIM","")</f>
        <v>#REF!</v>
      </c>
      <c r="J735" s="5" t="e">
        <f>IF((COUNTIFS(#REF!,$C735,#REF!,J$1))&gt;=1,"SIM","")</f>
        <v>#REF!</v>
      </c>
      <c r="K735" s="5" t="e">
        <f>IF((COUNTIFS(#REF!,$C735,#REF!,K$1))&gt;=1,"SIM","")</f>
        <v>#REF!</v>
      </c>
      <c r="L735" s="5" t="e">
        <f>IF((COUNTIFS(#REF!,$C735,#REF!,L$1))&gt;=1,"SIM","")</f>
        <v>#REF!</v>
      </c>
      <c r="M735" s="5" t="e">
        <f>IF((COUNTIFS(#REF!,$C735,#REF!,M$1))&gt;=1,"SIM","")</f>
        <v>#REF!</v>
      </c>
      <c r="N735" s="5" t="e">
        <f>IF((COUNTIFS(#REF!,$C735,#REF!,N$1))&gt;=1,"SIM","")</f>
        <v>#REF!</v>
      </c>
      <c r="O735" s="5"/>
      <c r="P735" s="5" t="e">
        <f>IF((COUNTIFS(#REF!,$C735,#REF!,P$1))&gt;=1,"SIM","")</f>
        <v>#REF!</v>
      </c>
      <c r="Q735" s="5" t="e">
        <f>IF((COUNTIFS(#REF!,$C735,#REF!,Q$1))&gt;=1,"SIM","")</f>
        <v>#REF!</v>
      </c>
      <c r="R735" s="5" t="e">
        <f>IF((COUNTIFS(#REF!,$C735,#REF!,"*CARTA*"))&gt;=1,"SIM","")</f>
        <v>#REF!</v>
      </c>
      <c r="S735" s="5" t="e">
        <f>IF((COUNTIFS(#REF!,$C735,#REF!,"*CARTA NOTIFICAÇÃO/DEVOL*"))&gt;=1,"SIM","")</f>
        <v>#REF!</v>
      </c>
      <c r="T735" s="5" t="e">
        <f>IF((COUNTIFS(#REF!,$C735,#REF!,"*LIGAÇÃO ATIVA DEV PRIN/LOC*"))&gt;=1,"SIM","")</f>
        <v>#REF!</v>
      </c>
    </row>
    <row r="736" spans="1:20">
      <c r="A736" s="24" t="s">
        <v>2158</v>
      </c>
      <c r="B736" s="24" t="s">
        <v>855</v>
      </c>
      <c r="C736" s="24" t="s">
        <v>856</v>
      </c>
      <c r="D736" s="5" t="e">
        <f>IF((COUNTIFS(#REF!,$C736,#REF!,"*163*"))&gt;=1,"SIM","")</f>
        <v>#REF!</v>
      </c>
      <c r="E736" s="5" t="e">
        <f>IF((COUNTIFS(#REF!,$C736,#REF!,E$1))&gt;=1,"SIM","")</f>
        <v>#REF!</v>
      </c>
      <c r="F736" s="5" t="e">
        <f>IF((COUNTIFS(#REF!,$C736,#REF!,F$1))&gt;=1,"SIM","")</f>
        <v>#REF!</v>
      </c>
      <c r="G736" s="5" t="e">
        <f>IF((COUNTIFS(#REF!,$C736,#REF!,"*606*"))&gt;=1,"SIM","")</f>
        <v>#REF!</v>
      </c>
      <c r="H736" s="5" t="e">
        <f>IF((COUNTIFS(#REF!,$C736,#REF!,"*605*"))&gt;=1,"SIM","")</f>
        <v>#REF!</v>
      </c>
      <c r="I736" s="5" t="e">
        <f>IF((COUNTIFS(#REF!,$C736,#REF!,I$1))&gt;=1,"SIM","")</f>
        <v>#REF!</v>
      </c>
      <c r="J736" s="5" t="e">
        <f>IF((COUNTIFS(#REF!,$C736,#REF!,J$1))&gt;=1,"SIM","")</f>
        <v>#REF!</v>
      </c>
      <c r="K736" s="5" t="e">
        <f>IF((COUNTIFS(#REF!,$C736,#REF!,K$1))&gt;=1,"SIM","")</f>
        <v>#REF!</v>
      </c>
      <c r="L736" s="5" t="e">
        <f>IF((COUNTIFS(#REF!,$C736,#REF!,L$1))&gt;=1,"SIM","")</f>
        <v>#REF!</v>
      </c>
      <c r="M736" s="5" t="e">
        <f>IF((COUNTIFS(#REF!,$C736,#REF!,M$1))&gt;=1,"SIM","")</f>
        <v>#REF!</v>
      </c>
      <c r="N736" s="5" t="e">
        <f>IF((COUNTIFS(#REF!,$C736,#REF!,N$1))&gt;=1,"SIM","")</f>
        <v>#REF!</v>
      </c>
      <c r="O736" s="5"/>
      <c r="P736" s="5" t="e">
        <f>IF((COUNTIFS(#REF!,$C736,#REF!,P$1))&gt;=1,"SIM","")</f>
        <v>#REF!</v>
      </c>
      <c r="Q736" s="5" t="e">
        <f>IF((COUNTIFS(#REF!,$C736,#REF!,Q$1))&gt;=1,"SIM","")</f>
        <v>#REF!</v>
      </c>
      <c r="R736" s="5" t="e">
        <f>IF((COUNTIFS(#REF!,$C736,#REF!,"*CARTA*"))&gt;=1,"SIM","")</f>
        <v>#REF!</v>
      </c>
      <c r="S736" s="5" t="e">
        <f>IF((COUNTIFS(#REF!,$C736,#REF!,"*CARTA NOTIFICAÇÃO/DEVOL*"))&gt;=1,"SIM","")</f>
        <v>#REF!</v>
      </c>
      <c r="T736" s="5" t="e">
        <f>IF((COUNTIFS(#REF!,$C736,#REF!,"*LIGAÇÃO ATIVA DEV PRIN/LOC*"))&gt;=1,"SIM","")</f>
        <v>#REF!</v>
      </c>
    </row>
    <row r="737" spans="1:20">
      <c r="A737" s="24" t="s">
        <v>2158</v>
      </c>
      <c r="B737" s="24" t="s">
        <v>2042</v>
      </c>
      <c r="C737" s="24" t="s">
        <v>2043</v>
      </c>
      <c r="D737" s="5" t="e">
        <f>IF((COUNTIFS(#REF!,$C737,#REF!,"*163*"))&gt;=1,"SIM","")</f>
        <v>#REF!</v>
      </c>
      <c r="E737" s="5" t="e">
        <f>IF((COUNTIFS(#REF!,$C737,#REF!,E$1))&gt;=1,"SIM","")</f>
        <v>#REF!</v>
      </c>
      <c r="F737" s="5" t="e">
        <f>IF((COUNTIFS(#REF!,$C737,#REF!,F$1))&gt;=1,"SIM","")</f>
        <v>#REF!</v>
      </c>
      <c r="G737" s="5" t="e">
        <f>IF((COUNTIFS(#REF!,$C737,#REF!,"*606*"))&gt;=1,"SIM","")</f>
        <v>#REF!</v>
      </c>
      <c r="H737" s="5" t="e">
        <f>IF((COUNTIFS(#REF!,$C737,#REF!,"*605*"))&gt;=1,"SIM","")</f>
        <v>#REF!</v>
      </c>
      <c r="I737" s="5" t="e">
        <f>IF((COUNTIFS(#REF!,$C737,#REF!,I$1))&gt;=1,"SIM","")</f>
        <v>#REF!</v>
      </c>
      <c r="J737" s="5" t="e">
        <f>IF((COUNTIFS(#REF!,$C737,#REF!,J$1))&gt;=1,"SIM","")</f>
        <v>#REF!</v>
      </c>
      <c r="K737" s="5" t="e">
        <f>IF((COUNTIFS(#REF!,$C737,#REF!,K$1))&gt;=1,"SIM","")</f>
        <v>#REF!</v>
      </c>
      <c r="L737" s="5" t="e">
        <f>IF((COUNTIFS(#REF!,$C737,#REF!,L$1))&gt;=1,"SIM","")</f>
        <v>#REF!</v>
      </c>
      <c r="M737" s="5" t="e">
        <f>IF((COUNTIFS(#REF!,$C737,#REF!,M$1))&gt;=1,"SIM","")</f>
        <v>#REF!</v>
      </c>
      <c r="N737" s="5" t="e">
        <f>IF((COUNTIFS(#REF!,$C737,#REF!,N$1))&gt;=1,"SIM","")</f>
        <v>#REF!</v>
      </c>
      <c r="O737" s="5"/>
      <c r="P737" s="5" t="e">
        <f>IF((COUNTIFS(#REF!,$C737,#REF!,P$1))&gt;=1,"SIM","")</f>
        <v>#REF!</v>
      </c>
      <c r="Q737" s="5" t="e">
        <f>IF((COUNTIFS(#REF!,$C737,#REF!,Q$1))&gt;=1,"SIM","")</f>
        <v>#REF!</v>
      </c>
      <c r="R737" s="5" t="e">
        <f>IF((COUNTIFS(#REF!,$C737,#REF!,"*CARTA*"))&gt;=1,"SIM","")</f>
        <v>#REF!</v>
      </c>
      <c r="S737" s="5" t="e">
        <f>IF((COUNTIFS(#REF!,$C737,#REF!,"*CARTA NOTIFICAÇÃO/DEVOL*"))&gt;=1,"SIM","")</f>
        <v>#REF!</v>
      </c>
      <c r="T737" s="5" t="e">
        <f>IF((COUNTIFS(#REF!,$C737,#REF!,"*LIGAÇÃO ATIVA DEV PRIN/LOC*"))&gt;=1,"SIM","")</f>
        <v>#REF!</v>
      </c>
    </row>
    <row r="738" spans="1:20">
      <c r="A738" s="24" t="s">
        <v>2157</v>
      </c>
      <c r="B738" s="24" t="s">
        <v>1547</v>
      </c>
      <c r="C738" s="24" t="s">
        <v>1548</v>
      </c>
      <c r="D738" s="5" t="e">
        <f>IF((COUNTIFS(#REF!,$C738,#REF!,"*163*"))&gt;=1,"SIM","")</f>
        <v>#REF!</v>
      </c>
      <c r="E738" s="5" t="e">
        <f>IF((COUNTIFS(#REF!,$C738,#REF!,E$1))&gt;=1,"SIM","")</f>
        <v>#REF!</v>
      </c>
      <c r="F738" s="5" t="e">
        <f>IF((COUNTIFS(#REF!,$C738,#REF!,F$1))&gt;=1,"SIM","")</f>
        <v>#REF!</v>
      </c>
      <c r="G738" s="5" t="e">
        <f>IF((COUNTIFS(#REF!,$C738,#REF!,"*606*"))&gt;=1,"SIM","")</f>
        <v>#REF!</v>
      </c>
      <c r="H738" s="5" t="e">
        <f>IF((COUNTIFS(#REF!,$C738,#REF!,"*605*"))&gt;=1,"SIM","")</f>
        <v>#REF!</v>
      </c>
      <c r="I738" s="5" t="e">
        <f>IF((COUNTIFS(#REF!,$C738,#REF!,I$1))&gt;=1,"SIM","")</f>
        <v>#REF!</v>
      </c>
      <c r="J738" s="5" t="e">
        <f>IF((COUNTIFS(#REF!,$C738,#REF!,J$1))&gt;=1,"SIM","")</f>
        <v>#REF!</v>
      </c>
      <c r="K738" s="5" t="e">
        <f>IF((COUNTIFS(#REF!,$C738,#REF!,K$1))&gt;=1,"SIM","")</f>
        <v>#REF!</v>
      </c>
      <c r="L738" s="5" t="e">
        <f>IF((COUNTIFS(#REF!,$C738,#REF!,L$1))&gt;=1,"SIM","")</f>
        <v>#REF!</v>
      </c>
      <c r="M738" s="5" t="e">
        <f>IF((COUNTIFS(#REF!,$C738,#REF!,M$1))&gt;=1,"SIM","")</f>
        <v>#REF!</v>
      </c>
      <c r="N738" s="5" t="e">
        <f>IF((COUNTIFS(#REF!,$C738,#REF!,N$1))&gt;=1,"SIM","")</f>
        <v>#REF!</v>
      </c>
      <c r="O738" s="5"/>
      <c r="P738" s="5" t="e">
        <f>IF((COUNTIFS(#REF!,$C738,#REF!,P$1))&gt;=1,"SIM","")</f>
        <v>#REF!</v>
      </c>
      <c r="Q738" s="5" t="e">
        <f>IF((COUNTIFS(#REF!,$C738,#REF!,Q$1))&gt;=1,"SIM","")</f>
        <v>#REF!</v>
      </c>
      <c r="R738" s="5" t="e">
        <f>IF((COUNTIFS(#REF!,$C738,#REF!,"*CARTA*"))&gt;=1,"SIM","")</f>
        <v>#REF!</v>
      </c>
      <c r="S738" s="5" t="e">
        <f>IF((COUNTIFS(#REF!,$C738,#REF!,"*CARTA NOTIFICAÇÃO/DEVOL*"))&gt;=1,"SIM","")</f>
        <v>#REF!</v>
      </c>
      <c r="T738" s="5" t="e">
        <f>IF((COUNTIFS(#REF!,$C738,#REF!,"*LIGAÇÃO ATIVA DEV PRIN/LOC*"))&gt;=1,"SIM","")</f>
        <v>#REF!</v>
      </c>
    </row>
    <row r="739" spans="1:20">
      <c r="A739" s="24" t="s">
        <v>2153</v>
      </c>
      <c r="B739" s="24" t="s">
        <v>248</v>
      </c>
      <c r="C739" s="24" t="s">
        <v>249</v>
      </c>
      <c r="D739" s="5" t="e">
        <f>IF((COUNTIFS(#REF!,$C739,#REF!,"*163*"))&gt;=1,"SIM","")</f>
        <v>#REF!</v>
      </c>
      <c r="E739" s="5" t="e">
        <f>IF((COUNTIFS(#REF!,$C739,#REF!,E$1))&gt;=1,"SIM","")</f>
        <v>#REF!</v>
      </c>
      <c r="F739" s="5" t="e">
        <f>IF((COUNTIFS(#REF!,$C739,#REF!,F$1))&gt;=1,"SIM","")</f>
        <v>#REF!</v>
      </c>
      <c r="G739" s="5" t="e">
        <f>IF((COUNTIFS(#REF!,$C739,#REF!,"*606*"))&gt;=1,"SIM","")</f>
        <v>#REF!</v>
      </c>
      <c r="H739" s="5" t="e">
        <f>IF((COUNTIFS(#REF!,$C739,#REF!,"*605*"))&gt;=1,"SIM","")</f>
        <v>#REF!</v>
      </c>
      <c r="I739" s="5" t="e">
        <f>IF((COUNTIFS(#REF!,$C739,#REF!,I$1))&gt;=1,"SIM","")</f>
        <v>#REF!</v>
      </c>
      <c r="J739" s="5" t="e">
        <f>IF((COUNTIFS(#REF!,$C739,#REF!,J$1))&gt;=1,"SIM","")</f>
        <v>#REF!</v>
      </c>
      <c r="K739" s="5" t="e">
        <f>IF((COUNTIFS(#REF!,$C739,#REF!,K$1))&gt;=1,"SIM","")</f>
        <v>#REF!</v>
      </c>
      <c r="L739" s="5" t="e">
        <f>IF((COUNTIFS(#REF!,$C739,#REF!,L$1))&gt;=1,"SIM","")</f>
        <v>#REF!</v>
      </c>
      <c r="M739" s="5" t="e">
        <f>IF((COUNTIFS(#REF!,$C739,#REF!,M$1))&gt;=1,"SIM","")</f>
        <v>#REF!</v>
      </c>
      <c r="N739" s="5" t="e">
        <f>IF((COUNTIFS(#REF!,$C739,#REF!,N$1))&gt;=1,"SIM","")</f>
        <v>#REF!</v>
      </c>
      <c r="O739" s="5"/>
      <c r="P739" s="5" t="e">
        <f>IF((COUNTIFS(#REF!,$C739,#REF!,P$1))&gt;=1,"SIM","")</f>
        <v>#REF!</v>
      </c>
      <c r="Q739" s="5" t="e">
        <f>IF((COUNTIFS(#REF!,$C739,#REF!,Q$1))&gt;=1,"SIM","")</f>
        <v>#REF!</v>
      </c>
      <c r="R739" s="5" t="e">
        <f>IF((COUNTIFS(#REF!,$C739,#REF!,"*CARTA*"))&gt;=1,"SIM","")</f>
        <v>#REF!</v>
      </c>
      <c r="S739" s="5" t="e">
        <f>IF((COUNTIFS(#REF!,$C739,#REF!,"*CARTA NOTIFICAÇÃO/DEVOL*"))&gt;=1,"SIM","")</f>
        <v>#REF!</v>
      </c>
      <c r="T739" s="5" t="e">
        <f>IF((COUNTIFS(#REF!,$C739,#REF!,"*LIGAÇÃO ATIVA DEV PRIN/LOC*"))&gt;=1,"SIM","")</f>
        <v>#REF!</v>
      </c>
    </row>
    <row r="740" spans="1:20">
      <c r="A740" s="24" t="s">
        <v>2153</v>
      </c>
      <c r="B740" s="24" t="s">
        <v>1104</v>
      </c>
      <c r="C740" s="24" t="s">
        <v>1105</v>
      </c>
      <c r="D740" s="5" t="e">
        <f>IF((COUNTIFS(#REF!,$C740,#REF!,"*163*"))&gt;=1,"SIM","")</f>
        <v>#REF!</v>
      </c>
      <c r="E740" s="5" t="e">
        <f>IF((COUNTIFS(#REF!,$C740,#REF!,E$1))&gt;=1,"SIM","")</f>
        <v>#REF!</v>
      </c>
      <c r="F740" s="5" t="e">
        <f>IF((COUNTIFS(#REF!,$C740,#REF!,F$1))&gt;=1,"SIM","")</f>
        <v>#REF!</v>
      </c>
      <c r="G740" s="5" t="e">
        <f>IF((COUNTIFS(#REF!,$C740,#REF!,"*606*"))&gt;=1,"SIM","")</f>
        <v>#REF!</v>
      </c>
      <c r="H740" s="5" t="e">
        <f>IF((COUNTIFS(#REF!,$C740,#REF!,"*605*"))&gt;=1,"SIM","")</f>
        <v>#REF!</v>
      </c>
      <c r="I740" s="5" t="e">
        <f>IF((COUNTIFS(#REF!,$C740,#REF!,I$1))&gt;=1,"SIM","")</f>
        <v>#REF!</v>
      </c>
      <c r="J740" s="5" t="e">
        <f>IF((COUNTIFS(#REF!,$C740,#REF!,J$1))&gt;=1,"SIM","")</f>
        <v>#REF!</v>
      </c>
      <c r="K740" s="5" t="e">
        <f>IF((COUNTIFS(#REF!,$C740,#REF!,K$1))&gt;=1,"SIM","")</f>
        <v>#REF!</v>
      </c>
      <c r="L740" s="5" t="e">
        <f>IF((COUNTIFS(#REF!,$C740,#REF!,L$1))&gt;=1,"SIM","")</f>
        <v>#REF!</v>
      </c>
      <c r="M740" s="5" t="e">
        <f>IF((COUNTIFS(#REF!,$C740,#REF!,M$1))&gt;=1,"SIM","")</f>
        <v>#REF!</v>
      </c>
      <c r="N740" s="5" t="e">
        <f>IF((COUNTIFS(#REF!,$C740,#REF!,N$1))&gt;=1,"SIM","")</f>
        <v>#REF!</v>
      </c>
      <c r="O740" s="5"/>
      <c r="P740" s="5" t="e">
        <f>IF((COUNTIFS(#REF!,$C740,#REF!,P$1))&gt;=1,"SIM","")</f>
        <v>#REF!</v>
      </c>
      <c r="Q740" s="5" t="e">
        <f>IF((COUNTIFS(#REF!,$C740,#REF!,Q$1))&gt;=1,"SIM","")</f>
        <v>#REF!</v>
      </c>
      <c r="R740" s="5" t="e">
        <f>IF((COUNTIFS(#REF!,$C740,#REF!,"*CARTA*"))&gt;=1,"SIM","")</f>
        <v>#REF!</v>
      </c>
      <c r="S740" s="5" t="e">
        <f>IF((COUNTIFS(#REF!,$C740,#REF!,"*CARTA NOTIFICAÇÃO/DEVOL*"))&gt;=1,"SIM","")</f>
        <v>#REF!</v>
      </c>
      <c r="T740" s="5" t="e">
        <f>IF((COUNTIFS(#REF!,$C740,#REF!,"*LIGAÇÃO ATIVA DEV PRIN/LOC*"))&gt;=1,"SIM","")</f>
        <v>#REF!</v>
      </c>
    </row>
    <row r="741" spans="1:20">
      <c r="A741" s="24" t="s">
        <v>2159</v>
      </c>
      <c r="B741" s="24" t="s">
        <v>1501</v>
      </c>
      <c r="C741" s="24" t="s">
        <v>1502</v>
      </c>
      <c r="D741" s="5" t="e">
        <f>IF((COUNTIFS(#REF!,$C741,#REF!,"*163*"))&gt;=1,"SIM","")</f>
        <v>#REF!</v>
      </c>
      <c r="E741" s="5" t="e">
        <f>IF((COUNTIFS(#REF!,$C741,#REF!,E$1))&gt;=1,"SIM","")</f>
        <v>#REF!</v>
      </c>
      <c r="F741" s="5" t="e">
        <f>IF((COUNTIFS(#REF!,$C741,#REF!,F$1))&gt;=1,"SIM","")</f>
        <v>#REF!</v>
      </c>
      <c r="G741" s="5" t="e">
        <f>IF((COUNTIFS(#REF!,$C741,#REF!,"*606*"))&gt;=1,"SIM","")</f>
        <v>#REF!</v>
      </c>
      <c r="H741" s="5" t="e">
        <f>IF((COUNTIFS(#REF!,$C741,#REF!,"*605*"))&gt;=1,"SIM","")</f>
        <v>#REF!</v>
      </c>
      <c r="I741" s="5" t="e">
        <f>IF((COUNTIFS(#REF!,$C741,#REF!,I$1))&gt;=1,"SIM","")</f>
        <v>#REF!</v>
      </c>
      <c r="J741" s="5" t="e">
        <f>IF((COUNTIFS(#REF!,$C741,#REF!,J$1))&gt;=1,"SIM","")</f>
        <v>#REF!</v>
      </c>
      <c r="K741" s="5" t="e">
        <f>IF((COUNTIFS(#REF!,$C741,#REF!,K$1))&gt;=1,"SIM","")</f>
        <v>#REF!</v>
      </c>
      <c r="L741" s="5" t="e">
        <f>IF((COUNTIFS(#REF!,$C741,#REF!,L$1))&gt;=1,"SIM","")</f>
        <v>#REF!</v>
      </c>
      <c r="M741" s="5" t="e">
        <f>IF((COUNTIFS(#REF!,$C741,#REF!,M$1))&gt;=1,"SIM","")</f>
        <v>#REF!</v>
      </c>
      <c r="N741" s="5" t="e">
        <f>IF((COUNTIFS(#REF!,$C741,#REF!,N$1))&gt;=1,"SIM","")</f>
        <v>#REF!</v>
      </c>
      <c r="O741" s="5"/>
      <c r="P741" s="5" t="e">
        <f>IF((COUNTIFS(#REF!,$C741,#REF!,P$1))&gt;=1,"SIM","")</f>
        <v>#REF!</v>
      </c>
      <c r="Q741" s="5" t="e">
        <f>IF((COUNTIFS(#REF!,$C741,#REF!,Q$1))&gt;=1,"SIM","")</f>
        <v>#REF!</v>
      </c>
      <c r="R741" s="5" t="e">
        <f>IF((COUNTIFS(#REF!,$C741,#REF!,"*CARTA*"))&gt;=1,"SIM","")</f>
        <v>#REF!</v>
      </c>
      <c r="S741" s="5" t="e">
        <f>IF((COUNTIFS(#REF!,$C741,#REF!,"*CARTA NOTIFICAÇÃO/DEVOL*"))&gt;=1,"SIM","")</f>
        <v>#REF!</v>
      </c>
      <c r="T741" s="5" t="e">
        <f>IF((COUNTIFS(#REF!,$C741,#REF!,"*LIGAÇÃO ATIVA DEV PRIN/LOC*"))&gt;=1,"SIM","")</f>
        <v>#REF!</v>
      </c>
    </row>
    <row r="742" spans="1:20">
      <c r="A742" s="24" t="s">
        <v>2153</v>
      </c>
      <c r="B742" s="24" t="s">
        <v>181</v>
      </c>
      <c r="C742" s="24" t="s">
        <v>182</v>
      </c>
      <c r="D742" s="5" t="e">
        <f>IF((COUNTIFS(#REF!,$C742,#REF!,"*163*"))&gt;=1,"SIM","")</f>
        <v>#REF!</v>
      </c>
      <c r="E742" s="5" t="e">
        <f>IF((COUNTIFS(#REF!,$C742,#REF!,E$1))&gt;=1,"SIM","")</f>
        <v>#REF!</v>
      </c>
      <c r="F742" s="5" t="e">
        <f>IF((COUNTIFS(#REF!,$C742,#REF!,F$1))&gt;=1,"SIM","")</f>
        <v>#REF!</v>
      </c>
      <c r="G742" s="5" t="e">
        <f>IF((COUNTIFS(#REF!,$C742,#REF!,"*606*"))&gt;=1,"SIM","")</f>
        <v>#REF!</v>
      </c>
      <c r="H742" s="5" t="e">
        <f>IF((COUNTIFS(#REF!,$C742,#REF!,"*605*"))&gt;=1,"SIM","")</f>
        <v>#REF!</v>
      </c>
      <c r="I742" s="5" t="e">
        <f>IF((COUNTIFS(#REF!,$C742,#REF!,I$1))&gt;=1,"SIM","")</f>
        <v>#REF!</v>
      </c>
      <c r="J742" s="5" t="e">
        <f>IF((COUNTIFS(#REF!,$C742,#REF!,J$1))&gt;=1,"SIM","")</f>
        <v>#REF!</v>
      </c>
      <c r="K742" s="5" t="e">
        <f>IF((COUNTIFS(#REF!,$C742,#REF!,K$1))&gt;=1,"SIM","")</f>
        <v>#REF!</v>
      </c>
      <c r="L742" s="5" t="e">
        <f>IF((COUNTIFS(#REF!,$C742,#REF!,L$1))&gt;=1,"SIM","")</f>
        <v>#REF!</v>
      </c>
      <c r="M742" s="5" t="e">
        <f>IF((COUNTIFS(#REF!,$C742,#REF!,M$1))&gt;=1,"SIM","")</f>
        <v>#REF!</v>
      </c>
      <c r="N742" s="5" t="e">
        <f>IF((COUNTIFS(#REF!,$C742,#REF!,N$1))&gt;=1,"SIM","")</f>
        <v>#REF!</v>
      </c>
      <c r="O742" s="5"/>
      <c r="P742" s="5" t="e">
        <f>IF((COUNTIFS(#REF!,$C742,#REF!,P$1))&gt;=1,"SIM","")</f>
        <v>#REF!</v>
      </c>
      <c r="Q742" s="5" t="e">
        <f>IF((COUNTIFS(#REF!,$C742,#REF!,Q$1))&gt;=1,"SIM","")</f>
        <v>#REF!</v>
      </c>
      <c r="R742" s="5" t="e">
        <f>IF((COUNTIFS(#REF!,$C742,#REF!,"*CARTA*"))&gt;=1,"SIM","")</f>
        <v>#REF!</v>
      </c>
      <c r="S742" s="5" t="e">
        <f>IF((COUNTIFS(#REF!,$C742,#REF!,"*CARTA NOTIFICAÇÃO/DEVOL*"))&gt;=1,"SIM","")</f>
        <v>#REF!</v>
      </c>
      <c r="T742" s="5" t="e">
        <f>IF((COUNTIFS(#REF!,$C742,#REF!,"*LIGAÇÃO ATIVA DEV PRIN/LOC*"))&gt;=1,"SIM","")</f>
        <v>#REF!</v>
      </c>
    </row>
    <row r="743" spans="1:20">
      <c r="A743" s="24" t="s">
        <v>2159</v>
      </c>
      <c r="B743" s="24" t="s">
        <v>1653</v>
      </c>
      <c r="C743" s="24" t="s">
        <v>1654</v>
      </c>
      <c r="D743" s="5" t="e">
        <f>IF((COUNTIFS(#REF!,$C743,#REF!,"*163*"))&gt;=1,"SIM","")</f>
        <v>#REF!</v>
      </c>
      <c r="E743" s="5" t="e">
        <f>IF((COUNTIFS(#REF!,$C743,#REF!,E$1))&gt;=1,"SIM","")</f>
        <v>#REF!</v>
      </c>
      <c r="F743" s="5" t="e">
        <f>IF((COUNTIFS(#REF!,$C743,#REF!,F$1))&gt;=1,"SIM","")</f>
        <v>#REF!</v>
      </c>
      <c r="G743" s="5" t="e">
        <f>IF((COUNTIFS(#REF!,$C743,#REF!,"*606*"))&gt;=1,"SIM","")</f>
        <v>#REF!</v>
      </c>
      <c r="H743" s="5" t="e">
        <f>IF((COUNTIFS(#REF!,$C743,#REF!,"*605*"))&gt;=1,"SIM","")</f>
        <v>#REF!</v>
      </c>
      <c r="I743" s="5" t="e">
        <f>IF((COUNTIFS(#REF!,$C743,#REF!,I$1))&gt;=1,"SIM","")</f>
        <v>#REF!</v>
      </c>
      <c r="J743" s="5" t="e">
        <f>IF((COUNTIFS(#REF!,$C743,#REF!,J$1))&gt;=1,"SIM","")</f>
        <v>#REF!</v>
      </c>
      <c r="K743" s="5" t="e">
        <f>IF((COUNTIFS(#REF!,$C743,#REF!,K$1))&gt;=1,"SIM","")</f>
        <v>#REF!</v>
      </c>
      <c r="L743" s="5" t="e">
        <f>IF((COUNTIFS(#REF!,$C743,#REF!,L$1))&gt;=1,"SIM","")</f>
        <v>#REF!</v>
      </c>
      <c r="M743" s="5" t="e">
        <f>IF((COUNTIFS(#REF!,$C743,#REF!,M$1))&gt;=1,"SIM","")</f>
        <v>#REF!</v>
      </c>
      <c r="N743" s="5" t="e">
        <f>IF((COUNTIFS(#REF!,$C743,#REF!,N$1))&gt;=1,"SIM","")</f>
        <v>#REF!</v>
      </c>
      <c r="O743" s="5"/>
      <c r="P743" s="5" t="e">
        <f>IF((COUNTIFS(#REF!,$C743,#REF!,P$1))&gt;=1,"SIM","")</f>
        <v>#REF!</v>
      </c>
      <c r="Q743" s="5" t="e">
        <f>IF((COUNTIFS(#REF!,$C743,#REF!,Q$1))&gt;=1,"SIM","")</f>
        <v>#REF!</v>
      </c>
      <c r="R743" s="5" t="e">
        <f>IF((COUNTIFS(#REF!,$C743,#REF!,"*CARTA*"))&gt;=1,"SIM","")</f>
        <v>#REF!</v>
      </c>
      <c r="S743" s="5" t="e">
        <f>IF((COUNTIFS(#REF!,$C743,#REF!,"*CARTA NOTIFICAÇÃO/DEVOL*"))&gt;=1,"SIM","")</f>
        <v>#REF!</v>
      </c>
      <c r="T743" s="5" t="e">
        <f>IF((COUNTIFS(#REF!,$C743,#REF!,"*LIGAÇÃO ATIVA DEV PRIN/LOC*"))&gt;=1,"SIM","")</f>
        <v>#REF!</v>
      </c>
    </row>
    <row r="744" spans="1:20">
      <c r="A744" s="24" t="s">
        <v>2157</v>
      </c>
      <c r="B744" s="24" t="s">
        <v>1132</v>
      </c>
      <c r="C744" s="24" t="s">
        <v>1133</v>
      </c>
      <c r="D744" s="5" t="e">
        <f>IF((COUNTIFS(#REF!,$C744,#REF!,"*163*"))&gt;=1,"SIM","")</f>
        <v>#REF!</v>
      </c>
      <c r="E744" s="5" t="e">
        <f>IF((COUNTIFS(#REF!,$C744,#REF!,E$1))&gt;=1,"SIM","")</f>
        <v>#REF!</v>
      </c>
      <c r="F744" s="5" t="e">
        <f>IF((COUNTIFS(#REF!,$C744,#REF!,F$1))&gt;=1,"SIM","")</f>
        <v>#REF!</v>
      </c>
      <c r="G744" s="5" t="e">
        <f>IF((COUNTIFS(#REF!,$C744,#REF!,"*606*"))&gt;=1,"SIM","")</f>
        <v>#REF!</v>
      </c>
      <c r="H744" s="5" t="e">
        <f>IF((COUNTIFS(#REF!,$C744,#REF!,"*605*"))&gt;=1,"SIM","")</f>
        <v>#REF!</v>
      </c>
      <c r="I744" s="5" t="e">
        <f>IF((COUNTIFS(#REF!,$C744,#REF!,I$1))&gt;=1,"SIM","")</f>
        <v>#REF!</v>
      </c>
      <c r="J744" s="5" t="e">
        <f>IF((COUNTIFS(#REF!,$C744,#REF!,J$1))&gt;=1,"SIM","")</f>
        <v>#REF!</v>
      </c>
      <c r="K744" s="5" t="e">
        <f>IF((COUNTIFS(#REF!,$C744,#REF!,K$1))&gt;=1,"SIM","")</f>
        <v>#REF!</v>
      </c>
      <c r="L744" s="5" t="e">
        <f>IF((COUNTIFS(#REF!,$C744,#REF!,L$1))&gt;=1,"SIM","")</f>
        <v>#REF!</v>
      </c>
      <c r="M744" s="5" t="e">
        <f>IF((COUNTIFS(#REF!,$C744,#REF!,M$1))&gt;=1,"SIM","")</f>
        <v>#REF!</v>
      </c>
      <c r="N744" s="5" t="e">
        <f>IF((COUNTIFS(#REF!,$C744,#REF!,N$1))&gt;=1,"SIM","")</f>
        <v>#REF!</v>
      </c>
      <c r="O744" s="5"/>
      <c r="P744" s="5" t="e">
        <f>IF((COUNTIFS(#REF!,$C744,#REF!,P$1))&gt;=1,"SIM","")</f>
        <v>#REF!</v>
      </c>
      <c r="Q744" s="5" t="e">
        <f>IF((COUNTIFS(#REF!,$C744,#REF!,Q$1))&gt;=1,"SIM","")</f>
        <v>#REF!</v>
      </c>
      <c r="R744" s="5" t="e">
        <f>IF((COUNTIFS(#REF!,$C744,#REF!,"*CARTA*"))&gt;=1,"SIM","")</f>
        <v>#REF!</v>
      </c>
      <c r="S744" s="5" t="e">
        <f>IF((COUNTIFS(#REF!,$C744,#REF!,"*CARTA NOTIFICAÇÃO/DEVOL*"))&gt;=1,"SIM","")</f>
        <v>#REF!</v>
      </c>
      <c r="T744" s="5" t="e">
        <f>IF((COUNTIFS(#REF!,$C744,#REF!,"*LIGAÇÃO ATIVA DEV PRIN/LOC*"))&gt;=1,"SIM","")</f>
        <v>#REF!</v>
      </c>
    </row>
    <row r="745" spans="1:20">
      <c r="A745" s="24" t="s">
        <v>2159</v>
      </c>
      <c r="B745" s="24" t="s">
        <v>2116</v>
      </c>
      <c r="C745" s="24" t="s">
        <v>2117</v>
      </c>
      <c r="D745" s="5" t="e">
        <f>IF((COUNTIFS(#REF!,$C745,#REF!,"*163*"))&gt;=1,"SIM","")</f>
        <v>#REF!</v>
      </c>
      <c r="E745" s="5" t="e">
        <f>IF((COUNTIFS(#REF!,$C745,#REF!,E$1))&gt;=1,"SIM","")</f>
        <v>#REF!</v>
      </c>
      <c r="F745" s="5" t="e">
        <f>IF((COUNTIFS(#REF!,$C745,#REF!,F$1))&gt;=1,"SIM","")</f>
        <v>#REF!</v>
      </c>
      <c r="G745" s="5" t="e">
        <f>IF((COUNTIFS(#REF!,$C745,#REF!,"*606*"))&gt;=1,"SIM","")</f>
        <v>#REF!</v>
      </c>
      <c r="H745" s="5" t="e">
        <f>IF((COUNTIFS(#REF!,$C745,#REF!,"*605*"))&gt;=1,"SIM","")</f>
        <v>#REF!</v>
      </c>
      <c r="I745" s="5" t="e">
        <f>IF((COUNTIFS(#REF!,$C745,#REF!,I$1))&gt;=1,"SIM","")</f>
        <v>#REF!</v>
      </c>
      <c r="J745" s="5" t="e">
        <f>IF((COUNTIFS(#REF!,$C745,#REF!,J$1))&gt;=1,"SIM","")</f>
        <v>#REF!</v>
      </c>
      <c r="K745" s="5" t="e">
        <f>IF((COUNTIFS(#REF!,$C745,#REF!,K$1))&gt;=1,"SIM","")</f>
        <v>#REF!</v>
      </c>
      <c r="L745" s="5" t="e">
        <f>IF((COUNTIFS(#REF!,$C745,#REF!,L$1))&gt;=1,"SIM","")</f>
        <v>#REF!</v>
      </c>
      <c r="M745" s="5" t="e">
        <f>IF((COUNTIFS(#REF!,$C745,#REF!,M$1))&gt;=1,"SIM","")</f>
        <v>#REF!</v>
      </c>
      <c r="N745" s="5" t="e">
        <f>IF((COUNTIFS(#REF!,$C745,#REF!,N$1))&gt;=1,"SIM","")</f>
        <v>#REF!</v>
      </c>
      <c r="O745" s="5"/>
      <c r="P745" s="5" t="e">
        <f>IF((COUNTIFS(#REF!,$C745,#REF!,P$1))&gt;=1,"SIM","")</f>
        <v>#REF!</v>
      </c>
      <c r="Q745" s="5" t="e">
        <f>IF((COUNTIFS(#REF!,$C745,#REF!,Q$1))&gt;=1,"SIM","")</f>
        <v>#REF!</v>
      </c>
      <c r="R745" s="5" t="e">
        <f>IF((COUNTIFS(#REF!,$C745,#REF!,"*CARTA*"))&gt;=1,"SIM","")</f>
        <v>#REF!</v>
      </c>
      <c r="S745" s="5" t="e">
        <f>IF((COUNTIFS(#REF!,$C745,#REF!,"*CARTA NOTIFICAÇÃO/DEVOL*"))&gt;=1,"SIM","")</f>
        <v>#REF!</v>
      </c>
      <c r="T745" s="5" t="e">
        <f>IF((COUNTIFS(#REF!,$C745,#REF!,"*LIGAÇÃO ATIVA DEV PRIN/LOC*"))&gt;=1,"SIM","")</f>
        <v>#REF!</v>
      </c>
    </row>
    <row r="746" spans="1:20">
      <c r="A746" s="24" t="s">
        <v>2153</v>
      </c>
      <c r="B746" s="24" t="s">
        <v>2031</v>
      </c>
      <c r="C746" s="24" t="s">
        <v>2032</v>
      </c>
      <c r="D746" s="5" t="e">
        <f>IF((COUNTIFS(#REF!,$C746,#REF!,"*163*"))&gt;=1,"SIM","")</f>
        <v>#REF!</v>
      </c>
      <c r="E746" s="5" t="e">
        <f>IF((COUNTIFS(#REF!,$C746,#REF!,E$1))&gt;=1,"SIM","")</f>
        <v>#REF!</v>
      </c>
      <c r="F746" s="5" t="e">
        <f>IF((COUNTIFS(#REF!,$C746,#REF!,F$1))&gt;=1,"SIM","")</f>
        <v>#REF!</v>
      </c>
      <c r="G746" s="5" t="e">
        <f>IF((COUNTIFS(#REF!,$C746,#REF!,"*606*"))&gt;=1,"SIM","")</f>
        <v>#REF!</v>
      </c>
      <c r="H746" s="5" t="e">
        <f>IF((COUNTIFS(#REF!,$C746,#REF!,"*605*"))&gt;=1,"SIM","")</f>
        <v>#REF!</v>
      </c>
      <c r="I746" s="5" t="e">
        <f>IF((COUNTIFS(#REF!,$C746,#REF!,I$1))&gt;=1,"SIM","")</f>
        <v>#REF!</v>
      </c>
      <c r="J746" s="5" t="e">
        <f>IF((COUNTIFS(#REF!,$C746,#REF!,J$1))&gt;=1,"SIM","")</f>
        <v>#REF!</v>
      </c>
      <c r="K746" s="5" t="e">
        <f>IF((COUNTIFS(#REF!,$C746,#REF!,K$1))&gt;=1,"SIM","")</f>
        <v>#REF!</v>
      </c>
      <c r="L746" s="5" t="e">
        <f>IF((COUNTIFS(#REF!,$C746,#REF!,L$1))&gt;=1,"SIM","")</f>
        <v>#REF!</v>
      </c>
      <c r="M746" s="5" t="e">
        <f>IF((COUNTIFS(#REF!,$C746,#REF!,M$1))&gt;=1,"SIM","")</f>
        <v>#REF!</v>
      </c>
      <c r="N746" s="5" t="e">
        <f>IF((COUNTIFS(#REF!,$C746,#REF!,N$1))&gt;=1,"SIM","")</f>
        <v>#REF!</v>
      </c>
      <c r="O746" s="5"/>
      <c r="P746" s="5" t="e">
        <f>IF((COUNTIFS(#REF!,$C746,#REF!,P$1))&gt;=1,"SIM","")</f>
        <v>#REF!</v>
      </c>
      <c r="Q746" s="5" t="e">
        <f>IF((COUNTIFS(#REF!,$C746,#REF!,Q$1))&gt;=1,"SIM","")</f>
        <v>#REF!</v>
      </c>
      <c r="R746" s="5" t="e">
        <f>IF((COUNTIFS(#REF!,$C746,#REF!,"*CARTA*"))&gt;=1,"SIM","")</f>
        <v>#REF!</v>
      </c>
      <c r="S746" s="5" t="e">
        <f>IF((COUNTIFS(#REF!,$C746,#REF!,"*CARTA NOTIFICAÇÃO/DEVOL*"))&gt;=1,"SIM","")</f>
        <v>#REF!</v>
      </c>
      <c r="T746" s="5" t="e">
        <f>IF((COUNTIFS(#REF!,$C746,#REF!,"*LIGAÇÃO ATIVA DEV PRIN/LOC*"))&gt;=1,"SIM","")</f>
        <v>#REF!</v>
      </c>
    </row>
    <row r="747" spans="1:20">
      <c r="A747" s="24" t="s">
        <v>2153</v>
      </c>
      <c r="B747" s="24" t="s">
        <v>508</v>
      </c>
      <c r="C747" s="24" t="s">
        <v>509</v>
      </c>
      <c r="D747" s="5" t="e">
        <f>IF((COUNTIFS(#REF!,$C747,#REF!,"*163*"))&gt;=1,"SIM","")</f>
        <v>#REF!</v>
      </c>
      <c r="E747" s="5" t="e">
        <f>IF((COUNTIFS(#REF!,$C747,#REF!,E$1))&gt;=1,"SIM","")</f>
        <v>#REF!</v>
      </c>
      <c r="F747" s="5" t="e">
        <f>IF((COUNTIFS(#REF!,$C747,#REF!,F$1))&gt;=1,"SIM","")</f>
        <v>#REF!</v>
      </c>
      <c r="G747" s="5" t="e">
        <f>IF((COUNTIFS(#REF!,$C747,#REF!,"*606*"))&gt;=1,"SIM","")</f>
        <v>#REF!</v>
      </c>
      <c r="H747" s="5" t="e">
        <f>IF((COUNTIFS(#REF!,$C747,#REF!,"*605*"))&gt;=1,"SIM","")</f>
        <v>#REF!</v>
      </c>
      <c r="I747" s="5" t="e">
        <f>IF((COUNTIFS(#REF!,$C747,#REF!,I$1))&gt;=1,"SIM","")</f>
        <v>#REF!</v>
      </c>
      <c r="J747" s="5" t="e">
        <f>IF((COUNTIFS(#REF!,$C747,#REF!,J$1))&gt;=1,"SIM","")</f>
        <v>#REF!</v>
      </c>
      <c r="K747" s="5" t="e">
        <f>IF((COUNTIFS(#REF!,$C747,#REF!,K$1))&gt;=1,"SIM","")</f>
        <v>#REF!</v>
      </c>
      <c r="L747" s="5" t="e">
        <f>IF((COUNTIFS(#REF!,$C747,#REF!,L$1))&gt;=1,"SIM","")</f>
        <v>#REF!</v>
      </c>
      <c r="M747" s="5" t="e">
        <f>IF((COUNTIFS(#REF!,$C747,#REF!,M$1))&gt;=1,"SIM","")</f>
        <v>#REF!</v>
      </c>
      <c r="N747" s="5" t="e">
        <f>IF((COUNTIFS(#REF!,$C747,#REF!,N$1))&gt;=1,"SIM","")</f>
        <v>#REF!</v>
      </c>
      <c r="O747" s="5"/>
      <c r="P747" s="5" t="e">
        <f>IF((COUNTIFS(#REF!,$C747,#REF!,P$1))&gt;=1,"SIM","")</f>
        <v>#REF!</v>
      </c>
      <c r="Q747" s="5" t="e">
        <f>IF((COUNTIFS(#REF!,$C747,#REF!,Q$1))&gt;=1,"SIM","")</f>
        <v>#REF!</v>
      </c>
      <c r="R747" s="5" t="e">
        <f>IF((COUNTIFS(#REF!,$C747,#REF!,"*CARTA*"))&gt;=1,"SIM","")</f>
        <v>#REF!</v>
      </c>
      <c r="S747" s="5" t="e">
        <f>IF((COUNTIFS(#REF!,$C747,#REF!,"*CARTA NOTIFICAÇÃO/DEVOL*"))&gt;=1,"SIM","")</f>
        <v>#REF!</v>
      </c>
      <c r="T747" s="5" t="e">
        <f>IF((COUNTIFS(#REF!,$C747,#REF!,"*LIGAÇÃO ATIVA DEV PRIN/LOC*"))&gt;=1,"SIM","")</f>
        <v>#REF!</v>
      </c>
    </row>
    <row r="748" spans="1:20">
      <c r="A748" s="24" t="s">
        <v>2153</v>
      </c>
      <c r="B748" s="24" t="s">
        <v>928</v>
      </c>
      <c r="C748" s="24" t="s">
        <v>929</v>
      </c>
      <c r="D748" s="5" t="e">
        <f>IF((COUNTIFS(#REF!,$C748,#REF!,"*163*"))&gt;=1,"SIM","")</f>
        <v>#REF!</v>
      </c>
      <c r="E748" s="5" t="e">
        <f>IF((COUNTIFS(#REF!,$C748,#REF!,E$1))&gt;=1,"SIM","")</f>
        <v>#REF!</v>
      </c>
      <c r="F748" s="5" t="e">
        <f>IF((COUNTIFS(#REF!,$C748,#REF!,F$1))&gt;=1,"SIM","")</f>
        <v>#REF!</v>
      </c>
      <c r="G748" s="5" t="e">
        <f>IF((COUNTIFS(#REF!,$C748,#REF!,"*606*"))&gt;=1,"SIM","")</f>
        <v>#REF!</v>
      </c>
      <c r="H748" s="5" t="e">
        <f>IF((COUNTIFS(#REF!,$C748,#REF!,"*605*"))&gt;=1,"SIM","")</f>
        <v>#REF!</v>
      </c>
      <c r="I748" s="5" t="e">
        <f>IF((COUNTIFS(#REF!,$C748,#REF!,I$1))&gt;=1,"SIM","")</f>
        <v>#REF!</v>
      </c>
      <c r="J748" s="5" t="e">
        <f>IF((COUNTIFS(#REF!,$C748,#REF!,J$1))&gt;=1,"SIM","")</f>
        <v>#REF!</v>
      </c>
      <c r="K748" s="5" t="e">
        <f>IF((COUNTIFS(#REF!,$C748,#REF!,K$1))&gt;=1,"SIM","")</f>
        <v>#REF!</v>
      </c>
      <c r="L748" s="5" t="e">
        <f>IF((COUNTIFS(#REF!,$C748,#REF!,L$1))&gt;=1,"SIM","")</f>
        <v>#REF!</v>
      </c>
      <c r="M748" s="5" t="e">
        <f>IF((COUNTIFS(#REF!,$C748,#REF!,M$1))&gt;=1,"SIM","")</f>
        <v>#REF!</v>
      </c>
      <c r="N748" s="5" t="e">
        <f>IF((COUNTIFS(#REF!,$C748,#REF!,N$1))&gt;=1,"SIM","")</f>
        <v>#REF!</v>
      </c>
      <c r="O748" s="5"/>
      <c r="P748" s="5" t="e">
        <f>IF((COUNTIFS(#REF!,$C748,#REF!,P$1))&gt;=1,"SIM","")</f>
        <v>#REF!</v>
      </c>
      <c r="Q748" s="5" t="e">
        <f>IF((COUNTIFS(#REF!,$C748,#REF!,Q$1))&gt;=1,"SIM","")</f>
        <v>#REF!</v>
      </c>
      <c r="R748" s="5" t="e">
        <f>IF((COUNTIFS(#REF!,$C748,#REF!,"*CARTA*"))&gt;=1,"SIM","")</f>
        <v>#REF!</v>
      </c>
      <c r="S748" s="5" t="e">
        <f>IF((COUNTIFS(#REF!,$C748,#REF!,"*CARTA NOTIFICAÇÃO/DEVOL*"))&gt;=1,"SIM","")</f>
        <v>#REF!</v>
      </c>
      <c r="T748" s="5" t="e">
        <f>IF((COUNTIFS(#REF!,$C748,#REF!,"*LIGAÇÃO ATIVA DEV PRIN/LOC*"))&gt;=1,"SIM","")</f>
        <v>#REF!</v>
      </c>
    </row>
    <row r="749" spans="1:20">
      <c r="A749" s="24" t="s">
        <v>2155</v>
      </c>
      <c r="B749" s="24" t="s">
        <v>65</v>
      </c>
      <c r="C749" s="24" t="s">
        <v>66</v>
      </c>
      <c r="D749" s="5" t="e">
        <f>IF((COUNTIFS(#REF!,$C749,#REF!,"*163*"))&gt;=1,"SIM","")</f>
        <v>#REF!</v>
      </c>
      <c r="E749" s="5" t="e">
        <f>IF((COUNTIFS(#REF!,$C749,#REF!,E$1))&gt;=1,"SIM","")</f>
        <v>#REF!</v>
      </c>
      <c r="F749" s="5" t="e">
        <f>IF((COUNTIFS(#REF!,$C749,#REF!,F$1))&gt;=1,"SIM","")</f>
        <v>#REF!</v>
      </c>
      <c r="G749" s="5" t="e">
        <f>IF((COUNTIFS(#REF!,$C749,#REF!,"*606*"))&gt;=1,"SIM","")</f>
        <v>#REF!</v>
      </c>
      <c r="H749" s="5" t="e">
        <f>IF((COUNTIFS(#REF!,$C749,#REF!,"*605*"))&gt;=1,"SIM","")</f>
        <v>#REF!</v>
      </c>
      <c r="I749" s="5" t="e">
        <f>IF((COUNTIFS(#REF!,$C749,#REF!,I$1))&gt;=1,"SIM","")</f>
        <v>#REF!</v>
      </c>
      <c r="J749" s="5" t="e">
        <f>IF((COUNTIFS(#REF!,$C749,#REF!,J$1))&gt;=1,"SIM","")</f>
        <v>#REF!</v>
      </c>
      <c r="K749" s="5" t="e">
        <f>IF((COUNTIFS(#REF!,$C749,#REF!,K$1))&gt;=1,"SIM","")</f>
        <v>#REF!</v>
      </c>
      <c r="L749" s="5" t="e">
        <f>IF((COUNTIFS(#REF!,$C749,#REF!,L$1))&gt;=1,"SIM","")</f>
        <v>#REF!</v>
      </c>
      <c r="M749" s="5" t="e">
        <f>IF((COUNTIFS(#REF!,$C749,#REF!,M$1))&gt;=1,"SIM","")</f>
        <v>#REF!</v>
      </c>
      <c r="N749" s="5" t="e">
        <f>IF((COUNTIFS(#REF!,$C749,#REF!,N$1))&gt;=1,"SIM","")</f>
        <v>#REF!</v>
      </c>
      <c r="O749" s="5"/>
      <c r="P749" s="5" t="e">
        <f>IF((COUNTIFS(#REF!,$C749,#REF!,P$1))&gt;=1,"SIM","")</f>
        <v>#REF!</v>
      </c>
      <c r="Q749" s="5" t="e">
        <f>IF((COUNTIFS(#REF!,$C749,#REF!,Q$1))&gt;=1,"SIM","")</f>
        <v>#REF!</v>
      </c>
      <c r="R749" s="5" t="e">
        <f>IF((COUNTIFS(#REF!,$C749,#REF!,"*CARTA*"))&gt;=1,"SIM","")</f>
        <v>#REF!</v>
      </c>
      <c r="S749" s="5" t="e">
        <f>IF((COUNTIFS(#REF!,$C749,#REF!,"*CARTA NOTIFICAÇÃO/DEVOL*"))&gt;=1,"SIM","")</f>
        <v>#REF!</v>
      </c>
      <c r="T749" s="5" t="e">
        <f>IF((COUNTIFS(#REF!,$C749,#REF!,"*LIGAÇÃO ATIVA DEV PRIN/LOC*"))&gt;=1,"SIM","")</f>
        <v>#REF!</v>
      </c>
    </row>
    <row r="750" spans="1:20">
      <c r="A750" s="24" t="s">
        <v>2153</v>
      </c>
      <c r="B750" s="24" t="s">
        <v>602</v>
      </c>
      <c r="C750" s="24" t="s">
        <v>603</v>
      </c>
      <c r="D750" s="5" t="e">
        <f>IF((COUNTIFS(#REF!,$C750,#REF!,"*163*"))&gt;=1,"SIM","")</f>
        <v>#REF!</v>
      </c>
      <c r="E750" s="5" t="e">
        <f>IF((COUNTIFS(#REF!,$C750,#REF!,E$1))&gt;=1,"SIM","")</f>
        <v>#REF!</v>
      </c>
      <c r="F750" s="5" t="e">
        <f>IF((COUNTIFS(#REF!,$C750,#REF!,F$1))&gt;=1,"SIM","")</f>
        <v>#REF!</v>
      </c>
      <c r="G750" s="5" t="e">
        <f>IF((COUNTIFS(#REF!,$C750,#REF!,"*606*"))&gt;=1,"SIM","")</f>
        <v>#REF!</v>
      </c>
      <c r="H750" s="5" t="e">
        <f>IF((COUNTIFS(#REF!,$C750,#REF!,"*605*"))&gt;=1,"SIM","")</f>
        <v>#REF!</v>
      </c>
      <c r="I750" s="5" t="e">
        <f>IF((COUNTIFS(#REF!,$C750,#REF!,I$1))&gt;=1,"SIM","")</f>
        <v>#REF!</v>
      </c>
      <c r="J750" s="5" t="e">
        <f>IF((COUNTIFS(#REF!,$C750,#REF!,J$1))&gt;=1,"SIM","")</f>
        <v>#REF!</v>
      </c>
      <c r="K750" s="5" t="e">
        <f>IF((COUNTIFS(#REF!,$C750,#REF!,K$1))&gt;=1,"SIM","")</f>
        <v>#REF!</v>
      </c>
      <c r="L750" s="5" t="e">
        <f>IF((COUNTIFS(#REF!,$C750,#REF!,L$1))&gt;=1,"SIM","")</f>
        <v>#REF!</v>
      </c>
      <c r="M750" s="5" t="e">
        <f>IF((COUNTIFS(#REF!,$C750,#REF!,M$1))&gt;=1,"SIM","")</f>
        <v>#REF!</v>
      </c>
      <c r="N750" s="5" t="e">
        <f>IF((COUNTIFS(#REF!,$C750,#REF!,N$1))&gt;=1,"SIM","")</f>
        <v>#REF!</v>
      </c>
      <c r="O750" s="5"/>
      <c r="P750" s="5" t="e">
        <f>IF((COUNTIFS(#REF!,$C750,#REF!,P$1))&gt;=1,"SIM","")</f>
        <v>#REF!</v>
      </c>
      <c r="Q750" s="5" t="e">
        <f>IF((COUNTIFS(#REF!,$C750,#REF!,Q$1))&gt;=1,"SIM","")</f>
        <v>#REF!</v>
      </c>
      <c r="R750" s="5" t="e">
        <f>IF((COUNTIFS(#REF!,$C750,#REF!,"*CARTA*"))&gt;=1,"SIM","")</f>
        <v>#REF!</v>
      </c>
      <c r="S750" s="5" t="e">
        <f>IF((COUNTIFS(#REF!,$C750,#REF!,"*CARTA NOTIFICAÇÃO/DEVOL*"))&gt;=1,"SIM","")</f>
        <v>#REF!</v>
      </c>
      <c r="T750" s="5" t="e">
        <f>IF((COUNTIFS(#REF!,$C750,#REF!,"*LIGAÇÃO ATIVA DEV PRIN/LOC*"))&gt;=1,"SIM","")</f>
        <v>#REF!</v>
      </c>
    </row>
    <row r="751" spans="1:20">
      <c r="A751" s="24" t="s">
        <v>2159</v>
      </c>
      <c r="B751" s="24" t="s">
        <v>1663</v>
      </c>
      <c r="C751" s="24" t="s">
        <v>1664</v>
      </c>
      <c r="D751" s="5" t="e">
        <f>IF((COUNTIFS(#REF!,$C751,#REF!,"*163*"))&gt;=1,"SIM","")</f>
        <v>#REF!</v>
      </c>
      <c r="E751" s="5" t="e">
        <f>IF((COUNTIFS(#REF!,$C751,#REF!,E$1))&gt;=1,"SIM","")</f>
        <v>#REF!</v>
      </c>
      <c r="F751" s="5" t="e">
        <f>IF((COUNTIFS(#REF!,$C751,#REF!,F$1))&gt;=1,"SIM","")</f>
        <v>#REF!</v>
      </c>
      <c r="G751" s="5" t="e">
        <f>IF((COUNTIFS(#REF!,$C751,#REF!,"*606*"))&gt;=1,"SIM","")</f>
        <v>#REF!</v>
      </c>
      <c r="H751" s="5" t="e">
        <f>IF((COUNTIFS(#REF!,$C751,#REF!,"*605*"))&gt;=1,"SIM","")</f>
        <v>#REF!</v>
      </c>
      <c r="I751" s="5" t="e">
        <f>IF((COUNTIFS(#REF!,$C751,#REF!,I$1))&gt;=1,"SIM","")</f>
        <v>#REF!</v>
      </c>
      <c r="J751" s="5" t="e">
        <f>IF((COUNTIFS(#REF!,$C751,#REF!,J$1))&gt;=1,"SIM","")</f>
        <v>#REF!</v>
      </c>
      <c r="K751" s="5" t="e">
        <f>IF((COUNTIFS(#REF!,$C751,#REF!,K$1))&gt;=1,"SIM","")</f>
        <v>#REF!</v>
      </c>
      <c r="L751" s="5" t="e">
        <f>IF((COUNTIFS(#REF!,$C751,#REF!,L$1))&gt;=1,"SIM","")</f>
        <v>#REF!</v>
      </c>
      <c r="M751" s="5" t="e">
        <f>IF((COUNTIFS(#REF!,$C751,#REF!,M$1))&gt;=1,"SIM","")</f>
        <v>#REF!</v>
      </c>
      <c r="N751" s="5" t="e">
        <f>IF((COUNTIFS(#REF!,$C751,#REF!,N$1))&gt;=1,"SIM","")</f>
        <v>#REF!</v>
      </c>
      <c r="O751" s="5"/>
      <c r="P751" s="5" t="e">
        <f>IF((COUNTIFS(#REF!,$C751,#REF!,P$1))&gt;=1,"SIM","")</f>
        <v>#REF!</v>
      </c>
      <c r="Q751" s="5" t="e">
        <f>IF((COUNTIFS(#REF!,$C751,#REF!,Q$1))&gt;=1,"SIM","")</f>
        <v>#REF!</v>
      </c>
      <c r="R751" s="5" t="e">
        <f>IF((COUNTIFS(#REF!,$C751,#REF!,"*CARTA*"))&gt;=1,"SIM","")</f>
        <v>#REF!</v>
      </c>
      <c r="S751" s="5" t="e">
        <f>IF((COUNTIFS(#REF!,$C751,#REF!,"*CARTA NOTIFICAÇÃO/DEVOL*"))&gt;=1,"SIM","")</f>
        <v>#REF!</v>
      </c>
      <c r="T751" s="5" t="e">
        <f>IF((COUNTIFS(#REF!,$C751,#REF!,"*LIGAÇÃO ATIVA DEV PRIN/LOC*"))&gt;=1,"SIM","")</f>
        <v>#REF!</v>
      </c>
    </row>
    <row r="752" spans="1:20">
      <c r="A752" s="24" t="s">
        <v>2159</v>
      </c>
      <c r="B752" s="24" t="s">
        <v>1842</v>
      </c>
      <c r="C752" s="24" t="s">
        <v>1843</v>
      </c>
      <c r="D752" s="5" t="e">
        <f>IF((COUNTIFS(#REF!,$C752,#REF!,"*163*"))&gt;=1,"SIM","")</f>
        <v>#REF!</v>
      </c>
      <c r="E752" s="5" t="e">
        <f>IF((COUNTIFS(#REF!,$C752,#REF!,E$1))&gt;=1,"SIM","")</f>
        <v>#REF!</v>
      </c>
      <c r="F752" s="5" t="e">
        <f>IF((COUNTIFS(#REF!,$C752,#REF!,F$1))&gt;=1,"SIM","")</f>
        <v>#REF!</v>
      </c>
      <c r="G752" s="5" t="e">
        <f>IF((COUNTIFS(#REF!,$C752,#REF!,"*606*"))&gt;=1,"SIM","")</f>
        <v>#REF!</v>
      </c>
      <c r="H752" s="5" t="e">
        <f>IF((COUNTIFS(#REF!,$C752,#REF!,"*605*"))&gt;=1,"SIM","")</f>
        <v>#REF!</v>
      </c>
      <c r="I752" s="5" t="e">
        <f>IF((COUNTIFS(#REF!,$C752,#REF!,I$1))&gt;=1,"SIM","")</f>
        <v>#REF!</v>
      </c>
      <c r="J752" s="5" t="e">
        <f>IF((COUNTIFS(#REF!,$C752,#REF!,J$1))&gt;=1,"SIM","")</f>
        <v>#REF!</v>
      </c>
      <c r="K752" s="5" t="e">
        <f>IF((COUNTIFS(#REF!,$C752,#REF!,K$1))&gt;=1,"SIM","")</f>
        <v>#REF!</v>
      </c>
      <c r="L752" s="5" t="e">
        <f>IF((COUNTIFS(#REF!,$C752,#REF!,L$1))&gt;=1,"SIM","")</f>
        <v>#REF!</v>
      </c>
      <c r="M752" s="5" t="e">
        <f>IF((COUNTIFS(#REF!,$C752,#REF!,M$1))&gt;=1,"SIM","")</f>
        <v>#REF!</v>
      </c>
      <c r="N752" s="5" t="e">
        <f>IF((COUNTIFS(#REF!,$C752,#REF!,N$1))&gt;=1,"SIM","")</f>
        <v>#REF!</v>
      </c>
      <c r="O752" s="5"/>
      <c r="P752" s="5" t="e">
        <f>IF((COUNTIFS(#REF!,$C752,#REF!,P$1))&gt;=1,"SIM","")</f>
        <v>#REF!</v>
      </c>
      <c r="Q752" s="5" t="e">
        <f>IF((COUNTIFS(#REF!,$C752,#REF!,Q$1))&gt;=1,"SIM","")</f>
        <v>#REF!</v>
      </c>
      <c r="R752" s="5" t="e">
        <f>IF((COUNTIFS(#REF!,$C752,#REF!,"*CARTA*"))&gt;=1,"SIM","")</f>
        <v>#REF!</v>
      </c>
      <c r="S752" s="5" t="e">
        <f>IF((COUNTIFS(#REF!,$C752,#REF!,"*CARTA NOTIFICAÇÃO/DEVOL*"))&gt;=1,"SIM","")</f>
        <v>#REF!</v>
      </c>
      <c r="T752" s="5" t="e">
        <f>IF((COUNTIFS(#REF!,$C752,#REF!,"*LIGAÇÃO ATIVA DEV PRIN/LOC*"))&gt;=1,"SIM","")</f>
        <v>#REF!</v>
      </c>
    </row>
    <row r="753" spans="1:20">
      <c r="A753" s="24" t="s">
        <v>2153</v>
      </c>
      <c r="B753" s="24" t="s">
        <v>153</v>
      </c>
      <c r="C753" s="24" t="s">
        <v>154</v>
      </c>
      <c r="D753" s="5" t="e">
        <f>IF((COUNTIFS(#REF!,$C753,#REF!,"*163*"))&gt;=1,"SIM","")</f>
        <v>#REF!</v>
      </c>
      <c r="E753" s="5" t="e">
        <f>IF((COUNTIFS(#REF!,$C753,#REF!,E$1))&gt;=1,"SIM","")</f>
        <v>#REF!</v>
      </c>
      <c r="F753" s="5" t="e">
        <f>IF((COUNTIFS(#REF!,$C753,#REF!,F$1))&gt;=1,"SIM","")</f>
        <v>#REF!</v>
      </c>
      <c r="G753" s="5" t="e">
        <f>IF((COUNTIFS(#REF!,$C753,#REF!,"*606*"))&gt;=1,"SIM","")</f>
        <v>#REF!</v>
      </c>
      <c r="H753" s="5" t="e">
        <f>IF((COUNTIFS(#REF!,$C753,#REF!,"*605*"))&gt;=1,"SIM","")</f>
        <v>#REF!</v>
      </c>
      <c r="I753" s="5" t="e">
        <f>IF((COUNTIFS(#REF!,$C753,#REF!,I$1))&gt;=1,"SIM","")</f>
        <v>#REF!</v>
      </c>
      <c r="J753" s="5" t="e">
        <f>IF((COUNTIFS(#REF!,$C753,#REF!,J$1))&gt;=1,"SIM","")</f>
        <v>#REF!</v>
      </c>
      <c r="K753" s="5" t="e">
        <f>IF((COUNTIFS(#REF!,$C753,#REF!,K$1))&gt;=1,"SIM","")</f>
        <v>#REF!</v>
      </c>
      <c r="L753" s="5" t="e">
        <f>IF((COUNTIFS(#REF!,$C753,#REF!,L$1))&gt;=1,"SIM","")</f>
        <v>#REF!</v>
      </c>
      <c r="M753" s="5" t="e">
        <f>IF((COUNTIFS(#REF!,$C753,#REF!,M$1))&gt;=1,"SIM","")</f>
        <v>#REF!</v>
      </c>
      <c r="N753" s="5" t="e">
        <f>IF((COUNTIFS(#REF!,$C753,#REF!,N$1))&gt;=1,"SIM","")</f>
        <v>#REF!</v>
      </c>
      <c r="O753" s="5"/>
      <c r="P753" s="5" t="e">
        <f>IF((COUNTIFS(#REF!,$C753,#REF!,P$1))&gt;=1,"SIM","")</f>
        <v>#REF!</v>
      </c>
      <c r="Q753" s="5" t="e">
        <f>IF((COUNTIFS(#REF!,$C753,#REF!,Q$1))&gt;=1,"SIM","")</f>
        <v>#REF!</v>
      </c>
      <c r="R753" s="5" t="e">
        <f>IF((COUNTIFS(#REF!,$C753,#REF!,"*CARTA*"))&gt;=1,"SIM","")</f>
        <v>#REF!</v>
      </c>
      <c r="S753" s="5" t="e">
        <f>IF((COUNTIFS(#REF!,$C753,#REF!,"*CARTA NOTIFICAÇÃO/DEVOL*"))&gt;=1,"SIM","")</f>
        <v>#REF!</v>
      </c>
      <c r="T753" s="5" t="e">
        <f>IF((COUNTIFS(#REF!,$C753,#REF!,"*LIGAÇÃO ATIVA DEV PRIN/LOC*"))&gt;=1,"SIM","")</f>
        <v>#REF!</v>
      </c>
    </row>
    <row r="754" spans="1:20">
      <c r="A754" s="24" t="s">
        <v>2159</v>
      </c>
      <c r="B754" s="24" t="s">
        <v>1825</v>
      </c>
      <c r="C754" s="24" t="s">
        <v>1826</v>
      </c>
      <c r="D754" s="5" t="e">
        <f>IF((COUNTIFS(#REF!,$C754,#REF!,"*163*"))&gt;=1,"SIM","")</f>
        <v>#REF!</v>
      </c>
      <c r="E754" s="5" t="e">
        <f>IF((COUNTIFS(#REF!,$C754,#REF!,E$1))&gt;=1,"SIM","")</f>
        <v>#REF!</v>
      </c>
      <c r="F754" s="5" t="e">
        <f>IF((COUNTIFS(#REF!,$C754,#REF!,F$1))&gt;=1,"SIM","")</f>
        <v>#REF!</v>
      </c>
      <c r="G754" s="5" t="e">
        <f>IF((COUNTIFS(#REF!,$C754,#REF!,"*606*"))&gt;=1,"SIM","")</f>
        <v>#REF!</v>
      </c>
      <c r="H754" s="5" t="e">
        <f>IF((COUNTIFS(#REF!,$C754,#REF!,"*605*"))&gt;=1,"SIM","")</f>
        <v>#REF!</v>
      </c>
      <c r="I754" s="5" t="e">
        <f>IF((COUNTIFS(#REF!,$C754,#REF!,I$1))&gt;=1,"SIM","")</f>
        <v>#REF!</v>
      </c>
      <c r="J754" s="5" t="e">
        <f>IF((COUNTIFS(#REF!,$C754,#REF!,J$1))&gt;=1,"SIM","")</f>
        <v>#REF!</v>
      </c>
      <c r="K754" s="5" t="e">
        <f>IF((COUNTIFS(#REF!,$C754,#REF!,K$1))&gt;=1,"SIM","")</f>
        <v>#REF!</v>
      </c>
      <c r="L754" s="5" t="e">
        <f>IF((COUNTIFS(#REF!,$C754,#REF!,L$1))&gt;=1,"SIM","")</f>
        <v>#REF!</v>
      </c>
      <c r="M754" s="5" t="e">
        <f>IF((COUNTIFS(#REF!,$C754,#REF!,M$1))&gt;=1,"SIM","")</f>
        <v>#REF!</v>
      </c>
      <c r="N754" s="5" t="e">
        <f>IF((COUNTIFS(#REF!,$C754,#REF!,N$1))&gt;=1,"SIM","")</f>
        <v>#REF!</v>
      </c>
      <c r="O754" s="5"/>
      <c r="P754" s="5" t="e">
        <f>IF((COUNTIFS(#REF!,$C754,#REF!,P$1))&gt;=1,"SIM","")</f>
        <v>#REF!</v>
      </c>
      <c r="Q754" s="5" t="e">
        <f>IF((COUNTIFS(#REF!,$C754,#REF!,Q$1))&gt;=1,"SIM","")</f>
        <v>#REF!</v>
      </c>
      <c r="R754" s="5" t="e">
        <f>IF((COUNTIFS(#REF!,$C754,#REF!,"*CARTA*"))&gt;=1,"SIM","")</f>
        <v>#REF!</v>
      </c>
      <c r="S754" s="5" t="e">
        <f>IF((COUNTIFS(#REF!,$C754,#REF!,"*CARTA NOTIFICAÇÃO/DEVOL*"))&gt;=1,"SIM","")</f>
        <v>#REF!</v>
      </c>
      <c r="T754" s="5" t="e">
        <f>IF((COUNTIFS(#REF!,$C754,#REF!,"*LIGAÇÃO ATIVA DEV PRIN/LOC*"))&gt;=1,"SIM","")</f>
        <v>#REF!</v>
      </c>
    </row>
    <row r="755" spans="1:20">
      <c r="A755" s="24" t="s">
        <v>2153</v>
      </c>
      <c r="B755" s="24" t="s">
        <v>287</v>
      </c>
      <c r="C755" s="24" t="s">
        <v>288</v>
      </c>
      <c r="D755" s="5" t="e">
        <f>IF((COUNTIFS(#REF!,$C755,#REF!,"*163*"))&gt;=1,"SIM","")</f>
        <v>#REF!</v>
      </c>
      <c r="E755" s="5" t="e">
        <f>IF((COUNTIFS(#REF!,$C755,#REF!,E$1))&gt;=1,"SIM","")</f>
        <v>#REF!</v>
      </c>
      <c r="F755" s="5" t="e">
        <f>IF((COUNTIFS(#REF!,$C755,#REF!,F$1))&gt;=1,"SIM","")</f>
        <v>#REF!</v>
      </c>
      <c r="G755" s="5" t="e">
        <f>IF((COUNTIFS(#REF!,$C755,#REF!,"*606*"))&gt;=1,"SIM","")</f>
        <v>#REF!</v>
      </c>
      <c r="H755" s="5" t="e">
        <f>IF((COUNTIFS(#REF!,$C755,#REF!,"*605*"))&gt;=1,"SIM","")</f>
        <v>#REF!</v>
      </c>
      <c r="I755" s="5" t="e">
        <f>IF((COUNTIFS(#REF!,$C755,#REF!,I$1))&gt;=1,"SIM","")</f>
        <v>#REF!</v>
      </c>
      <c r="J755" s="5" t="e">
        <f>IF((COUNTIFS(#REF!,$C755,#REF!,J$1))&gt;=1,"SIM","")</f>
        <v>#REF!</v>
      </c>
      <c r="K755" s="5" t="e">
        <f>IF((COUNTIFS(#REF!,$C755,#REF!,K$1))&gt;=1,"SIM","")</f>
        <v>#REF!</v>
      </c>
      <c r="L755" s="5" t="e">
        <f>IF((COUNTIFS(#REF!,$C755,#REF!,L$1))&gt;=1,"SIM","")</f>
        <v>#REF!</v>
      </c>
      <c r="M755" s="5" t="e">
        <f>IF((COUNTIFS(#REF!,$C755,#REF!,M$1))&gt;=1,"SIM","")</f>
        <v>#REF!</v>
      </c>
      <c r="N755" s="5" t="e">
        <f>IF((COUNTIFS(#REF!,$C755,#REF!,N$1))&gt;=1,"SIM","")</f>
        <v>#REF!</v>
      </c>
      <c r="O755" s="5"/>
      <c r="P755" s="5" t="e">
        <f>IF((COUNTIFS(#REF!,$C755,#REF!,P$1))&gt;=1,"SIM","")</f>
        <v>#REF!</v>
      </c>
      <c r="Q755" s="5" t="e">
        <f>IF((COUNTIFS(#REF!,$C755,#REF!,Q$1))&gt;=1,"SIM","")</f>
        <v>#REF!</v>
      </c>
      <c r="R755" s="5" t="e">
        <f>IF((COUNTIFS(#REF!,$C755,#REF!,"*CARTA*"))&gt;=1,"SIM","")</f>
        <v>#REF!</v>
      </c>
      <c r="S755" s="5" t="e">
        <f>IF((COUNTIFS(#REF!,$C755,#REF!,"*CARTA NOTIFICAÇÃO/DEVOL*"))&gt;=1,"SIM","")</f>
        <v>#REF!</v>
      </c>
      <c r="T755" s="5" t="e">
        <f>IF((COUNTIFS(#REF!,$C755,#REF!,"*LIGAÇÃO ATIVA DEV PRIN/LOC*"))&gt;=1,"SIM","")</f>
        <v>#REF!</v>
      </c>
    </row>
    <row r="756" spans="1:20">
      <c r="A756" s="24" t="s">
        <v>2153</v>
      </c>
      <c r="B756" s="24" t="s">
        <v>1740</v>
      </c>
      <c r="C756" s="24" t="s">
        <v>1741</v>
      </c>
      <c r="D756" s="5" t="e">
        <f>IF((COUNTIFS(#REF!,$C756,#REF!,"*163*"))&gt;=1,"SIM","")</f>
        <v>#REF!</v>
      </c>
      <c r="E756" s="5" t="e">
        <f>IF((COUNTIFS(#REF!,$C756,#REF!,E$1))&gt;=1,"SIM","")</f>
        <v>#REF!</v>
      </c>
      <c r="F756" s="5" t="e">
        <f>IF((COUNTIFS(#REF!,$C756,#REF!,F$1))&gt;=1,"SIM","")</f>
        <v>#REF!</v>
      </c>
      <c r="G756" s="5" t="e">
        <f>IF((COUNTIFS(#REF!,$C756,#REF!,"*606*"))&gt;=1,"SIM","")</f>
        <v>#REF!</v>
      </c>
      <c r="H756" s="5" t="e">
        <f>IF((COUNTIFS(#REF!,$C756,#REF!,"*605*"))&gt;=1,"SIM","")</f>
        <v>#REF!</v>
      </c>
      <c r="I756" s="5" t="e">
        <f>IF((COUNTIFS(#REF!,$C756,#REF!,I$1))&gt;=1,"SIM","")</f>
        <v>#REF!</v>
      </c>
      <c r="J756" s="5" t="e">
        <f>IF((COUNTIFS(#REF!,$C756,#REF!,J$1))&gt;=1,"SIM","")</f>
        <v>#REF!</v>
      </c>
      <c r="K756" s="5" t="e">
        <f>IF((COUNTIFS(#REF!,$C756,#REF!,K$1))&gt;=1,"SIM","")</f>
        <v>#REF!</v>
      </c>
      <c r="L756" s="5" t="e">
        <f>IF((COUNTIFS(#REF!,$C756,#REF!,L$1))&gt;=1,"SIM","")</f>
        <v>#REF!</v>
      </c>
      <c r="M756" s="5" t="e">
        <f>IF((COUNTIFS(#REF!,$C756,#REF!,M$1))&gt;=1,"SIM","")</f>
        <v>#REF!</v>
      </c>
      <c r="N756" s="5" t="e">
        <f>IF((COUNTIFS(#REF!,$C756,#REF!,N$1))&gt;=1,"SIM","")</f>
        <v>#REF!</v>
      </c>
      <c r="O756" s="5"/>
      <c r="P756" s="5" t="e">
        <f>IF((COUNTIFS(#REF!,$C756,#REF!,P$1))&gt;=1,"SIM","")</f>
        <v>#REF!</v>
      </c>
      <c r="Q756" s="5" t="e">
        <f>IF((COUNTIFS(#REF!,$C756,#REF!,Q$1))&gt;=1,"SIM","")</f>
        <v>#REF!</v>
      </c>
      <c r="R756" s="5" t="e">
        <f>IF((COUNTIFS(#REF!,$C756,#REF!,"*CARTA*"))&gt;=1,"SIM","")</f>
        <v>#REF!</v>
      </c>
      <c r="S756" s="5" t="e">
        <f>IF((COUNTIFS(#REF!,$C756,#REF!,"*CARTA NOTIFICAÇÃO/DEVOL*"))&gt;=1,"SIM","")</f>
        <v>#REF!</v>
      </c>
      <c r="T756" s="5" t="e">
        <f>IF((COUNTIFS(#REF!,$C756,#REF!,"*LIGAÇÃO ATIVA DEV PRIN/LOC*"))&gt;=1,"SIM","")</f>
        <v>#REF!</v>
      </c>
    </row>
    <row r="757" spans="1:20">
      <c r="A757" s="24" t="s">
        <v>2153</v>
      </c>
      <c r="B757" s="24" t="s">
        <v>838</v>
      </c>
      <c r="C757" s="24" t="s">
        <v>839</v>
      </c>
      <c r="D757" s="5" t="e">
        <f>IF((COUNTIFS(#REF!,$C757,#REF!,"*163*"))&gt;=1,"SIM","")</f>
        <v>#REF!</v>
      </c>
      <c r="E757" s="5" t="e">
        <f>IF((COUNTIFS(#REF!,$C757,#REF!,E$1))&gt;=1,"SIM","")</f>
        <v>#REF!</v>
      </c>
      <c r="F757" s="5" t="e">
        <f>IF((COUNTIFS(#REF!,$C757,#REF!,F$1))&gt;=1,"SIM","")</f>
        <v>#REF!</v>
      </c>
      <c r="G757" s="5" t="e">
        <f>IF((COUNTIFS(#REF!,$C757,#REF!,"*606*"))&gt;=1,"SIM","")</f>
        <v>#REF!</v>
      </c>
      <c r="H757" s="5" t="e">
        <f>IF((COUNTIFS(#REF!,$C757,#REF!,"*605*"))&gt;=1,"SIM","")</f>
        <v>#REF!</v>
      </c>
      <c r="I757" s="5" t="e">
        <f>IF((COUNTIFS(#REF!,$C757,#REF!,I$1))&gt;=1,"SIM","")</f>
        <v>#REF!</v>
      </c>
      <c r="J757" s="5" t="e">
        <f>IF((COUNTIFS(#REF!,$C757,#REF!,J$1))&gt;=1,"SIM","")</f>
        <v>#REF!</v>
      </c>
      <c r="K757" s="5" t="e">
        <f>IF((COUNTIFS(#REF!,$C757,#REF!,K$1))&gt;=1,"SIM","")</f>
        <v>#REF!</v>
      </c>
      <c r="L757" s="5" t="e">
        <f>IF((COUNTIFS(#REF!,$C757,#REF!,L$1))&gt;=1,"SIM","")</f>
        <v>#REF!</v>
      </c>
      <c r="M757" s="5" t="e">
        <f>IF((COUNTIFS(#REF!,$C757,#REF!,M$1))&gt;=1,"SIM","")</f>
        <v>#REF!</v>
      </c>
      <c r="N757" s="5" t="e">
        <f>IF((COUNTIFS(#REF!,$C757,#REF!,N$1))&gt;=1,"SIM","")</f>
        <v>#REF!</v>
      </c>
      <c r="O757" s="5"/>
      <c r="P757" s="5" t="e">
        <f>IF((COUNTIFS(#REF!,$C757,#REF!,P$1))&gt;=1,"SIM","")</f>
        <v>#REF!</v>
      </c>
      <c r="Q757" s="5" t="e">
        <f>IF((COUNTIFS(#REF!,$C757,#REF!,Q$1))&gt;=1,"SIM","")</f>
        <v>#REF!</v>
      </c>
      <c r="R757" s="5" t="e">
        <f>IF((COUNTIFS(#REF!,$C757,#REF!,"*CARTA*"))&gt;=1,"SIM","")</f>
        <v>#REF!</v>
      </c>
      <c r="S757" s="5" t="e">
        <f>IF((COUNTIFS(#REF!,$C757,#REF!,"*CARTA NOTIFICAÇÃO/DEVOL*"))&gt;=1,"SIM","")</f>
        <v>#REF!</v>
      </c>
      <c r="T757" s="5" t="e">
        <f>IF((COUNTIFS(#REF!,$C757,#REF!,"*LIGAÇÃO ATIVA DEV PRIN/LOC*"))&gt;=1,"SIM","")</f>
        <v>#REF!</v>
      </c>
    </row>
    <row r="758" spans="1:20">
      <c r="A758" s="24" t="s">
        <v>2153</v>
      </c>
      <c r="B758" s="24" t="s">
        <v>315</v>
      </c>
      <c r="C758" s="24" t="s">
        <v>316</v>
      </c>
      <c r="D758" s="5" t="e">
        <f>IF((COUNTIFS(#REF!,$C758,#REF!,"*163*"))&gt;=1,"SIM","")</f>
        <v>#REF!</v>
      </c>
      <c r="E758" s="5" t="e">
        <f>IF((COUNTIFS(#REF!,$C758,#REF!,E$1))&gt;=1,"SIM","")</f>
        <v>#REF!</v>
      </c>
      <c r="F758" s="5" t="e">
        <f>IF((COUNTIFS(#REF!,$C758,#REF!,F$1))&gt;=1,"SIM","")</f>
        <v>#REF!</v>
      </c>
      <c r="G758" s="5" t="e">
        <f>IF((COUNTIFS(#REF!,$C758,#REF!,"*606*"))&gt;=1,"SIM","")</f>
        <v>#REF!</v>
      </c>
      <c r="H758" s="5" t="e">
        <f>IF((COUNTIFS(#REF!,$C758,#REF!,"*605*"))&gt;=1,"SIM","")</f>
        <v>#REF!</v>
      </c>
      <c r="I758" s="5" t="e">
        <f>IF((COUNTIFS(#REF!,$C758,#REF!,I$1))&gt;=1,"SIM","")</f>
        <v>#REF!</v>
      </c>
      <c r="J758" s="5" t="e">
        <f>IF((COUNTIFS(#REF!,$C758,#REF!,J$1))&gt;=1,"SIM","")</f>
        <v>#REF!</v>
      </c>
      <c r="K758" s="5" t="e">
        <f>IF((COUNTIFS(#REF!,$C758,#REF!,K$1))&gt;=1,"SIM","")</f>
        <v>#REF!</v>
      </c>
      <c r="L758" s="5" t="e">
        <f>IF((COUNTIFS(#REF!,$C758,#REF!,L$1))&gt;=1,"SIM","")</f>
        <v>#REF!</v>
      </c>
      <c r="M758" s="5" t="e">
        <f>IF((COUNTIFS(#REF!,$C758,#REF!,M$1))&gt;=1,"SIM","")</f>
        <v>#REF!</v>
      </c>
      <c r="N758" s="5" t="e">
        <f>IF((COUNTIFS(#REF!,$C758,#REF!,N$1))&gt;=1,"SIM","")</f>
        <v>#REF!</v>
      </c>
      <c r="O758" s="5"/>
      <c r="P758" s="5" t="e">
        <f>IF((COUNTIFS(#REF!,$C758,#REF!,P$1))&gt;=1,"SIM","")</f>
        <v>#REF!</v>
      </c>
      <c r="Q758" s="5" t="e">
        <f>IF((COUNTIFS(#REF!,$C758,#REF!,Q$1))&gt;=1,"SIM","")</f>
        <v>#REF!</v>
      </c>
      <c r="R758" s="5" t="e">
        <f>IF((COUNTIFS(#REF!,$C758,#REF!,"*CARTA*"))&gt;=1,"SIM","")</f>
        <v>#REF!</v>
      </c>
      <c r="S758" s="5" t="e">
        <f>IF((COUNTIFS(#REF!,$C758,#REF!,"*CARTA NOTIFICAÇÃO/DEVOL*"))&gt;=1,"SIM","")</f>
        <v>#REF!</v>
      </c>
      <c r="T758" s="5" t="e">
        <f>IF((COUNTIFS(#REF!,$C758,#REF!,"*LIGAÇÃO ATIVA DEV PRIN/LOC*"))&gt;=1,"SIM","")</f>
        <v>#REF!</v>
      </c>
    </row>
    <row r="759" spans="1:20">
      <c r="A759" s="24" t="s">
        <v>2157</v>
      </c>
      <c r="B759" s="24" t="s">
        <v>1928</v>
      </c>
      <c r="C759" s="24" t="s">
        <v>1929</v>
      </c>
      <c r="D759" s="5" t="e">
        <f>IF((COUNTIFS(#REF!,$C759,#REF!,"*163*"))&gt;=1,"SIM","")</f>
        <v>#REF!</v>
      </c>
      <c r="E759" s="5" t="e">
        <f>IF((COUNTIFS(#REF!,$C759,#REF!,E$1))&gt;=1,"SIM","")</f>
        <v>#REF!</v>
      </c>
      <c r="F759" s="5" t="e">
        <f>IF((COUNTIFS(#REF!,$C759,#REF!,F$1))&gt;=1,"SIM","")</f>
        <v>#REF!</v>
      </c>
      <c r="G759" s="5" t="e">
        <f>IF((COUNTIFS(#REF!,$C759,#REF!,"*606*"))&gt;=1,"SIM","")</f>
        <v>#REF!</v>
      </c>
      <c r="H759" s="5" t="e">
        <f>IF((COUNTIFS(#REF!,$C759,#REF!,"*605*"))&gt;=1,"SIM","")</f>
        <v>#REF!</v>
      </c>
      <c r="I759" s="5" t="e">
        <f>IF((COUNTIFS(#REF!,$C759,#REF!,I$1))&gt;=1,"SIM","")</f>
        <v>#REF!</v>
      </c>
      <c r="J759" s="5" t="e">
        <f>IF((COUNTIFS(#REF!,$C759,#REF!,J$1))&gt;=1,"SIM","")</f>
        <v>#REF!</v>
      </c>
      <c r="K759" s="5" t="e">
        <f>IF((COUNTIFS(#REF!,$C759,#REF!,K$1))&gt;=1,"SIM","")</f>
        <v>#REF!</v>
      </c>
      <c r="L759" s="5" t="e">
        <f>IF((COUNTIFS(#REF!,$C759,#REF!,L$1))&gt;=1,"SIM","")</f>
        <v>#REF!</v>
      </c>
      <c r="M759" s="5" t="e">
        <f>IF((COUNTIFS(#REF!,$C759,#REF!,M$1))&gt;=1,"SIM","")</f>
        <v>#REF!</v>
      </c>
      <c r="N759" s="5" t="e">
        <f>IF((COUNTIFS(#REF!,$C759,#REF!,N$1))&gt;=1,"SIM","")</f>
        <v>#REF!</v>
      </c>
      <c r="O759" s="5"/>
      <c r="P759" s="5" t="e">
        <f>IF((COUNTIFS(#REF!,$C759,#REF!,P$1))&gt;=1,"SIM","")</f>
        <v>#REF!</v>
      </c>
      <c r="Q759" s="5" t="e">
        <f>IF((COUNTIFS(#REF!,$C759,#REF!,Q$1))&gt;=1,"SIM","")</f>
        <v>#REF!</v>
      </c>
      <c r="R759" s="5" t="e">
        <f>IF((COUNTIFS(#REF!,$C759,#REF!,"*CARTA*"))&gt;=1,"SIM","")</f>
        <v>#REF!</v>
      </c>
      <c r="S759" s="5" t="e">
        <f>IF((COUNTIFS(#REF!,$C759,#REF!,"*CARTA NOTIFICAÇÃO/DEVOL*"))&gt;=1,"SIM","")</f>
        <v>#REF!</v>
      </c>
      <c r="T759" s="5" t="e">
        <f>IF((COUNTIFS(#REF!,$C759,#REF!,"*LIGAÇÃO ATIVA DEV PRIN/LOC*"))&gt;=1,"SIM","")</f>
        <v>#REF!</v>
      </c>
    </row>
    <row r="760" spans="1:20">
      <c r="A760" s="24" t="s">
        <v>2153</v>
      </c>
      <c r="B760" s="24" t="s">
        <v>261</v>
      </c>
      <c r="C760" s="24" t="s">
        <v>262</v>
      </c>
      <c r="D760" s="5" t="e">
        <f>IF((COUNTIFS(#REF!,$C760,#REF!,"*163*"))&gt;=1,"SIM","")</f>
        <v>#REF!</v>
      </c>
      <c r="E760" s="5" t="e">
        <f>IF((COUNTIFS(#REF!,$C760,#REF!,E$1))&gt;=1,"SIM","")</f>
        <v>#REF!</v>
      </c>
      <c r="F760" s="5" t="e">
        <f>IF((COUNTIFS(#REF!,$C760,#REF!,F$1))&gt;=1,"SIM","")</f>
        <v>#REF!</v>
      </c>
      <c r="G760" s="5" t="e">
        <f>IF((COUNTIFS(#REF!,$C760,#REF!,"*606*"))&gt;=1,"SIM","")</f>
        <v>#REF!</v>
      </c>
      <c r="H760" s="5" t="e">
        <f>IF((COUNTIFS(#REF!,$C760,#REF!,"*605*"))&gt;=1,"SIM","")</f>
        <v>#REF!</v>
      </c>
      <c r="I760" s="5" t="e">
        <f>IF((COUNTIFS(#REF!,$C760,#REF!,I$1))&gt;=1,"SIM","")</f>
        <v>#REF!</v>
      </c>
      <c r="J760" s="5" t="e">
        <f>IF((COUNTIFS(#REF!,$C760,#REF!,J$1))&gt;=1,"SIM","")</f>
        <v>#REF!</v>
      </c>
      <c r="K760" s="5" t="e">
        <f>IF((COUNTIFS(#REF!,$C760,#REF!,K$1))&gt;=1,"SIM","")</f>
        <v>#REF!</v>
      </c>
      <c r="L760" s="5" t="e">
        <f>IF((COUNTIFS(#REF!,$C760,#REF!,L$1))&gt;=1,"SIM","")</f>
        <v>#REF!</v>
      </c>
      <c r="M760" s="5" t="e">
        <f>IF((COUNTIFS(#REF!,$C760,#REF!,M$1))&gt;=1,"SIM","")</f>
        <v>#REF!</v>
      </c>
      <c r="N760" s="5" t="e">
        <f>IF((COUNTIFS(#REF!,$C760,#REF!,N$1))&gt;=1,"SIM","")</f>
        <v>#REF!</v>
      </c>
      <c r="O760" s="5"/>
      <c r="P760" s="5" t="e">
        <f>IF((COUNTIFS(#REF!,$C760,#REF!,P$1))&gt;=1,"SIM","")</f>
        <v>#REF!</v>
      </c>
      <c r="Q760" s="5" t="e">
        <f>IF((COUNTIFS(#REF!,$C760,#REF!,Q$1))&gt;=1,"SIM","")</f>
        <v>#REF!</v>
      </c>
      <c r="R760" s="5" t="e">
        <f>IF((COUNTIFS(#REF!,$C760,#REF!,"*CARTA*"))&gt;=1,"SIM","")</f>
        <v>#REF!</v>
      </c>
      <c r="S760" s="5" t="e">
        <f>IF((COUNTIFS(#REF!,$C760,#REF!,"*CARTA NOTIFICAÇÃO/DEVOL*"))&gt;=1,"SIM","")</f>
        <v>#REF!</v>
      </c>
      <c r="T760" s="5" t="e">
        <f>IF((COUNTIFS(#REF!,$C760,#REF!,"*LIGAÇÃO ATIVA DEV PRIN/LOC*"))&gt;=1,"SIM","")</f>
        <v>#REF!</v>
      </c>
    </row>
    <row r="761" spans="1:20">
      <c r="A761" s="24" t="s">
        <v>2153</v>
      </c>
      <c r="B761" s="24" t="s">
        <v>301</v>
      </c>
      <c r="C761" s="24" t="s">
        <v>302</v>
      </c>
      <c r="D761" s="5" t="e">
        <f>IF((COUNTIFS(#REF!,$C761,#REF!,"*163*"))&gt;=1,"SIM","")</f>
        <v>#REF!</v>
      </c>
      <c r="E761" s="5" t="e">
        <f>IF((COUNTIFS(#REF!,$C761,#REF!,E$1))&gt;=1,"SIM","")</f>
        <v>#REF!</v>
      </c>
      <c r="F761" s="5" t="e">
        <f>IF((COUNTIFS(#REF!,$C761,#REF!,F$1))&gt;=1,"SIM","")</f>
        <v>#REF!</v>
      </c>
      <c r="G761" s="5" t="e">
        <f>IF((COUNTIFS(#REF!,$C761,#REF!,"*606*"))&gt;=1,"SIM","")</f>
        <v>#REF!</v>
      </c>
      <c r="H761" s="5" t="e">
        <f>IF((COUNTIFS(#REF!,$C761,#REF!,"*605*"))&gt;=1,"SIM","")</f>
        <v>#REF!</v>
      </c>
      <c r="I761" s="5" t="e">
        <f>IF((COUNTIFS(#REF!,$C761,#REF!,I$1))&gt;=1,"SIM","")</f>
        <v>#REF!</v>
      </c>
      <c r="J761" s="5" t="e">
        <f>IF((COUNTIFS(#REF!,$C761,#REF!,J$1))&gt;=1,"SIM","")</f>
        <v>#REF!</v>
      </c>
      <c r="K761" s="5" t="e">
        <f>IF((COUNTIFS(#REF!,$C761,#REF!,K$1))&gt;=1,"SIM","")</f>
        <v>#REF!</v>
      </c>
      <c r="L761" s="5" t="e">
        <f>IF((COUNTIFS(#REF!,$C761,#REF!,L$1))&gt;=1,"SIM","")</f>
        <v>#REF!</v>
      </c>
      <c r="M761" s="5" t="e">
        <f>IF((COUNTIFS(#REF!,$C761,#REF!,M$1))&gt;=1,"SIM","")</f>
        <v>#REF!</v>
      </c>
      <c r="N761" s="5" t="e">
        <f>IF((COUNTIFS(#REF!,$C761,#REF!,N$1))&gt;=1,"SIM","")</f>
        <v>#REF!</v>
      </c>
      <c r="O761" s="5"/>
      <c r="P761" s="5" t="e">
        <f>IF((COUNTIFS(#REF!,$C761,#REF!,P$1))&gt;=1,"SIM","")</f>
        <v>#REF!</v>
      </c>
      <c r="Q761" s="5" t="e">
        <f>IF((COUNTIFS(#REF!,$C761,#REF!,Q$1))&gt;=1,"SIM","")</f>
        <v>#REF!</v>
      </c>
      <c r="R761" s="5" t="e">
        <f>IF((COUNTIFS(#REF!,$C761,#REF!,"*CARTA*"))&gt;=1,"SIM","")</f>
        <v>#REF!</v>
      </c>
      <c r="S761" s="5" t="e">
        <f>IF((COUNTIFS(#REF!,$C761,#REF!,"*CARTA NOTIFICAÇÃO/DEVOL*"))&gt;=1,"SIM","")</f>
        <v>#REF!</v>
      </c>
      <c r="T761" s="5" t="e">
        <f>IF((COUNTIFS(#REF!,$C761,#REF!,"*LIGAÇÃO ATIVA DEV PRIN/LOC*"))&gt;=1,"SIM","")</f>
        <v>#REF!</v>
      </c>
    </row>
    <row r="762" spans="1:20">
      <c r="A762" s="24" t="s">
        <v>2157</v>
      </c>
      <c r="B762" s="24" t="s">
        <v>2063</v>
      </c>
      <c r="C762" s="24" t="s">
        <v>2064</v>
      </c>
      <c r="D762" s="5" t="e">
        <f>IF((COUNTIFS(#REF!,$C762,#REF!,"*163*"))&gt;=1,"SIM","")</f>
        <v>#REF!</v>
      </c>
      <c r="E762" s="5" t="e">
        <f>IF((COUNTIFS(#REF!,$C762,#REF!,E$1))&gt;=1,"SIM","")</f>
        <v>#REF!</v>
      </c>
      <c r="F762" s="5" t="e">
        <f>IF((COUNTIFS(#REF!,$C762,#REF!,F$1))&gt;=1,"SIM","")</f>
        <v>#REF!</v>
      </c>
      <c r="G762" s="5" t="e">
        <f>IF((COUNTIFS(#REF!,$C762,#REF!,"*606*"))&gt;=1,"SIM","")</f>
        <v>#REF!</v>
      </c>
      <c r="H762" s="5" t="e">
        <f>IF((COUNTIFS(#REF!,$C762,#REF!,"*605*"))&gt;=1,"SIM","")</f>
        <v>#REF!</v>
      </c>
      <c r="I762" s="5" t="e">
        <f>IF((COUNTIFS(#REF!,$C762,#REF!,I$1))&gt;=1,"SIM","")</f>
        <v>#REF!</v>
      </c>
      <c r="J762" s="5" t="e">
        <f>IF((COUNTIFS(#REF!,$C762,#REF!,J$1))&gt;=1,"SIM","")</f>
        <v>#REF!</v>
      </c>
      <c r="K762" s="5" t="e">
        <f>IF((COUNTIFS(#REF!,$C762,#REF!,K$1))&gt;=1,"SIM","")</f>
        <v>#REF!</v>
      </c>
      <c r="L762" s="5" t="e">
        <f>IF((COUNTIFS(#REF!,$C762,#REF!,L$1))&gt;=1,"SIM","")</f>
        <v>#REF!</v>
      </c>
      <c r="M762" s="5" t="e">
        <f>IF((COUNTIFS(#REF!,$C762,#REF!,M$1))&gt;=1,"SIM","")</f>
        <v>#REF!</v>
      </c>
      <c r="N762" s="5" t="e">
        <f>IF((COUNTIFS(#REF!,$C762,#REF!,N$1))&gt;=1,"SIM","")</f>
        <v>#REF!</v>
      </c>
      <c r="O762" s="5"/>
      <c r="P762" s="5" t="e">
        <f>IF((COUNTIFS(#REF!,$C762,#REF!,P$1))&gt;=1,"SIM","")</f>
        <v>#REF!</v>
      </c>
      <c r="Q762" s="5" t="e">
        <f>IF((COUNTIFS(#REF!,$C762,#REF!,Q$1))&gt;=1,"SIM","")</f>
        <v>#REF!</v>
      </c>
      <c r="R762" s="5" t="e">
        <f>IF((COUNTIFS(#REF!,$C762,#REF!,"*CARTA*"))&gt;=1,"SIM","")</f>
        <v>#REF!</v>
      </c>
      <c r="S762" s="5" t="e">
        <f>IF((COUNTIFS(#REF!,$C762,#REF!,"*CARTA NOTIFICAÇÃO/DEVOL*"))&gt;=1,"SIM","")</f>
        <v>#REF!</v>
      </c>
      <c r="T762" s="5" t="e">
        <f>IF((COUNTIFS(#REF!,$C762,#REF!,"*LIGAÇÃO ATIVA DEV PRIN/LOC*"))&gt;=1,"SIM","")</f>
        <v>#REF!</v>
      </c>
    </row>
    <row r="763" spans="1:20">
      <c r="A763" s="24" t="s">
        <v>2159</v>
      </c>
      <c r="B763" s="24" t="s">
        <v>1950</v>
      </c>
      <c r="C763" s="24" t="s">
        <v>1951</v>
      </c>
      <c r="D763" s="5" t="e">
        <f>IF((COUNTIFS(#REF!,$C763,#REF!,"*163*"))&gt;=1,"SIM","")</f>
        <v>#REF!</v>
      </c>
      <c r="E763" s="5" t="e">
        <f>IF((COUNTIFS(#REF!,$C763,#REF!,E$1))&gt;=1,"SIM","")</f>
        <v>#REF!</v>
      </c>
      <c r="F763" s="5" t="e">
        <f>IF((COUNTIFS(#REF!,$C763,#REF!,F$1))&gt;=1,"SIM","")</f>
        <v>#REF!</v>
      </c>
      <c r="G763" s="5" t="e">
        <f>IF((COUNTIFS(#REF!,$C763,#REF!,"*606*"))&gt;=1,"SIM","")</f>
        <v>#REF!</v>
      </c>
      <c r="H763" s="5" t="e">
        <f>IF((COUNTIFS(#REF!,$C763,#REF!,"*605*"))&gt;=1,"SIM","")</f>
        <v>#REF!</v>
      </c>
      <c r="I763" s="5" t="e">
        <f>IF((COUNTIFS(#REF!,$C763,#REF!,I$1))&gt;=1,"SIM","")</f>
        <v>#REF!</v>
      </c>
      <c r="J763" s="5" t="e">
        <f>IF((COUNTIFS(#REF!,$C763,#REF!,J$1))&gt;=1,"SIM","")</f>
        <v>#REF!</v>
      </c>
      <c r="K763" s="5" t="e">
        <f>IF((COUNTIFS(#REF!,$C763,#REF!,K$1))&gt;=1,"SIM","")</f>
        <v>#REF!</v>
      </c>
      <c r="L763" s="5" t="e">
        <f>IF((COUNTIFS(#REF!,$C763,#REF!,L$1))&gt;=1,"SIM","")</f>
        <v>#REF!</v>
      </c>
      <c r="M763" s="5" t="e">
        <f>IF((COUNTIFS(#REF!,$C763,#REF!,M$1))&gt;=1,"SIM","")</f>
        <v>#REF!</v>
      </c>
      <c r="N763" s="5" t="e">
        <f>IF((COUNTIFS(#REF!,$C763,#REF!,N$1))&gt;=1,"SIM","")</f>
        <v>#REF!</v>
      </c>
      <c r="O763" s="5"/>
      <c r="P763" s="5" t="e">
        <f>IF((COUNTIFS(#REF!,$C763,#REF!,P$1))&gt;=1,"SIM","")</f>
        <v>#REF!</v>
      </c>
      <c r="Q763" s="5" t="e">
        <f>IF((COUNTIFS(#REF!,$C763,#REF!,Q$1))&gt;=1,"SIM","")</f>
        <v>#REF!</v>
      </c>
      <c r="R763" s="5" t="e">
        <f>IF((COUNTIFS(#REF!,$C763,#REF!,"*CARTA*"))&gt;=1,"SIM","")</f>
        <v>#REF!</v>
      </c>
      <c r="S763" s="5" t="e">
        <f>IF((COUNTIFS(#REF!,$C763,#REF!,"*CARTA NOTIFICAÇÃO/DEVOL*"))&gt;=1,"SIM","")</f>
        <v>#REF!</v>
      </c>
      <c r="T763" s="5" t="e">
        <f>IF((COUNTIFS(#REF!,$C763,#REF!,"*LIGAÇÃO ATIVA DEV PRIN/LOC*"))&gt;=1,"SIM","")</f>
        <v>#REF!</v>
      </c>
    </row>
    <row r="764" spans="1:20">
      <c r="A764" s="24" t="s">
        <v>2158</v>
      </c>
      <c r="B764" s="24" t="s">
        <v>1704</v>
      </c>
      <c r="C764" s="24" t="s">
        <v>1705</v>
      </c>
      <c r="D764" s="5" t="e">
        <f>IF((COUNTIFS(#REF!,$C764,#REF!,"*163*"))&gt;=1,"SIM","")</f>
        <v>#REF!</v>
      </c>
      <c r="E764" s="5" t="e">
        <f>IF((COUNTIFS(#REF!,$C764,#REF!,E$1))&gt;=1,"SIM","")</f>
        <v>#REF!</v>
      </c>
      <c r="F764" s="5" t="e">
        <f>IF((COUNTIFS(#REF!,$C764,#REF!,F$1))&gt;=1,"SIM","")</f>
        <v>#REF!</v>
      </c>
      <c r="G764" s="5" t="e">
        <f>IF((COUNTIFS(#REF!,$C764,#REF!,"*606*"))&gt;=1,"SIM","")</f>
        <v>#REF!</v>
      </c>
      <c r="H764" s="5" t="e">
        <f>IF((COUNTIFS(#REF!,$C764,#REF!,"*605*"))&gt;=1,"SIM","")</f>
        <v>#REF!</v>
      </c>
      <c r="I764" s="5" t="e">
        <f>IF((COUNTIFS(#REF!,$C764,#REF!,I$1))&gt;=1,"SIM","")</f>
        <v>#REF!</v>
      </c>
      <c r="J764" s="5" t="e">
        <f>IF((COUNTIFS(#REF!,$C764,#REF!,J$1))&gt;=1,"SIM","")</f>
        <v>#REF!</v>
      </c>
      <c r="K764" s="5" t="e">
        <f>IF((COUNTIFS(#REF!,$C764,#REF!,K$1))&gt;=1,"SIM","")</f>
        <v>#REF!</v>
      </c>
      <c r="L764" s="5" t="e">
        <f>IF((COUNTIFS(#REF!,$C764,#REF!,L$1))&gt;=1,"SIM","")</f>
        <v>#REF!</v>
      </c>
      <c r="M764" s="5" t="e">
        <f>IF((COUNTIFS(#REF!,$C764,#REF!,M$1))&gt;=1,"SIM","")</f>
        <v>#REF!</v>
      </c>
      <c r="N764" s="5" t="e">
        <f>IF((COUNTIFS(#REF!,$C764,#REF!,N$1))&gt;=1,"SIM","")</f>
        <v>#REF!</v>
      </c>
      <c r="O764" s="5"/>
      <c r="P764" s="5" t="e">
        <f>IF((COUNTIFS(#REF!,$C764,#REF!,P$1))&gt;=1,"SIM","")</f>
        <v>#REF!</v>
      </c>
      <c r="Q764" s="5" t="e">
        <f>IF((COUNTIFS(#REF!,$C764,#REF!,Q$1))&gt;=1,"SIM","")</f>
        <v>#REF!</v>
      </c>
      <c r="R764" s="5" t="e">
        <f>IF((COUNTIFS(#REF!,$C764,#REF!,"*CARTA*"))&gt;=1,"SIM","")</f>
        <v>#REF!</v>
      </c>
      <c r="S764" s="5" t="e">
        <f>IF((COUNTIFS(#REF!,$C764,#REF!,"*CARTA NOTIFICAÇÃO/DEVOL*"))&gt;=1,"SIM","")</f>
        <v>#REF!</v>
      </c>
      <c r="T764" s="5" t="e">
        <f>IF((COUNTIFS(#REF!,$C764,#REF!,"*LIGAÇÃO ATIVA DEV PRIN/LOC*"))&gt;=1,"SIM","")</f>
        <v>#REF!</v>
      </c>
    </row>
    <row r="765" spans="1:20">
      <c r="A765" s="24" t="s">
        <v>2159</v>
      </c>
      <c r="B765" s="24" t="s">
        <v>2065</v>
      </c>
      <c r="C765" s="24" t="s">
        <v>2066</v>
      </c>
      <c r="D765" s="5" t="e">
        <f>IF((COUNTIFS(#REF!,$C765,#REF!,"*163*"))&gt;=1,"SIM","")</f>
        <v>#REF!</v>
      </c>
      <c r="E765" s="5" t="e">
        <f>IF((COUNTIFS(#REF!,$C765,#REF!,E$1))&gt;=1,"SIM","")</f>
        <v>#REF!</v>
      </c>
      <c r="F765" s="5" t="e">
        <f>IF((COUNTIFS(#REF!,$C765,#REF!,F$1))&gt;=1,"SIM","")</f>
        <v>#REF!</v>
      </c>
      <c r="G765" s="5" t="e">
        <f>IF((COUNTIFS(#REF!,$C765,#REF!,"*606*"))&gt;=1,"SIM","")</f>
        <v>#REF!</v>
      </c>
      <c r="H765" s="5" t="e">
        <f>IF((COUNTIFS(#REF!,$C765,#REF!,"*605*"))&gt;=1,"SIM","")</f>
        <v>#REF!</v>
      </c>
      <c r="I765" s="5" t="e">
        <f>IF((COUNTIFS(#REF!,$C765,#REF!,I$1))&gt;=1,"SIM","")</f>
        <v>#REF!</v>
      </c>
      <c r="J765" s="5" t="e">
        <f>IF((COUNTIFS(#REF!,$C765,#REF!,J$1))&gt;=1,"SIM","")</f>
        <v>#REF!</v>
      </c>
      <c r="K765" s="5" t="e">
        <f>IF((COUNTIFS(#REF!,$C765,#REF!,K$1))&gt;=1,"SIM","")</f>
        <v>#REF!</v>
      </c>
      <c r="L765" s="5" t="e">
        <f>IF((COUNTIFS(#REF!,$C765,#REF!,L$1))&gt;=1,"SIM","")</f>
        <v>#REF!</v>
      </c>
      <c r="M765" s="5" t="e">
        <f>IF((COUNTIFS(#REF!,$C765,#REF!,M$1))&gt;=1,"SIM","")</f>
        <v>#REF!</v>
      </c>
      <c r="N765" s="5" t="e">
        <f>IF((COUNTIFS(#REF!,$C765,#REF!,N$1))&gt;=1,"SIM","")</f>
        <v>#REF!</v>
      </c>
      <c r="O765" s="5"/>
      <c r="P765" s="5" t="e">
        <f>IF((COUNTIFS(#REF!,$C765,#REF!,P$1))&gt;=1,"SIM","")</f>
        <v>#REF!</v>
      </c>
      <c r="Q765" s="5" t="e">
        <f>IF((COUNTIFS(#REF!,$C765,#REF!,Q$1))&gt;=1,"SIM","")</f>
        <v>#REF!</v>
      </c>
      <c r="R765" s="5" t="e">
        <f>IF((COUNTIFS(#REF!,$C765,#REF!,"*CARTA*"))&gt;=1,"SIM","")</f>
        <v>#REF!</v>
      </c>
      <c r="S765" s="5" t="e">
        <f>IF((COUNTIFS(#REF!,$C765,#REF!,"*CARTA NOTIFICAÇÃO/DEVOL*"))&gt;=1,"SIM","")</f>
        <v>#REF!</v>
      </c>
      <c r="T765" s="5" t="e">
        <f>IF((COUNTIFS(#REF!,$C765,#REF!,"*LIGAÇÃO ATIVA DEV PRIN/LOC*"))&gt;=1,"SIM","")</f>
        <v>#REF!</v>
      </c>
    </row>
    <row r="766" spans="1:20">
      <c r="A766" s="24" t="s">
        <v>2157</v>
      </c>
      <c r="B766" s="24" t="s">
        <v>1942</v>
      </c>
      <c r="C766" s="24" t="s">
        <v>1943</v>
      </c>
      <c r="D766" s="5" t="e">
        <f>IF((COUNTIFS(#REF!,$C766,#REF!,"*163*"))&gt;=1,"SIM","")</f>
        <v>#REF!</v>
      </c>
      <c r="E766" s="5" t="e">
        <f>IF((COUNTIFS(#REF!,$C766,#REF!,E$1))&gt;=1,"SIM","")</f>
        <v>#REF!</v>
      </c>
      <c r="F766" s="5" t="e">
        <f>IF((COUNTIFS(#REF!,$C766,#REF!,F$1))&gt;=1,"SIM","")</f>
        <v>#REF!</v>
      </c>
      <c r="G766" s="5" t="e">
        <f>IF((COUNTIFS(#REF!,$C766,#REF!,"*606*"))&gt;=1,"SIM","")</f>
        <v>#REF!</v>
      </c>
      <c r="H766" s="5" t="e">
        <f>IF((COUNTIFS(#REF!,$C766,#REF!,"*605*"))&gt;=1,"SIM","")</f>
        <v>#REF!</v>
      </c>
      <c r="I766" s="5" t="e">
        <f>IF((COUNTIFS(#REF!,$C766,#REF!,I$1))&gt;=1,"SIM","")</f>
        <v>#REF!</v>
      </c>
      <c r="J766" s="5" t="e">
        <f>IF((COUNTIFS(#REF!,$C766,#REF!,J$1))&gt;=1,"SIM","")</f>
        <v>#REF!</v>
      </c>
      <c r="K766" s="5" t="e">
        <f>IF((COUNTIFS(#REF!,$C766,#REF!,K$1))&gt;=1,"SIM","")</f>
        <v>#REF!</v>
      </c>
      <c r="L766" s="5" t="e">
        <f>IF((COUNTIFS(#REF!,$C766,#REF!,L$1))&gt;=1,"SIM","")</f>
        <v>#REF!</v>
      </c>
      <c r="M766" s="5" t="e">
        <f>IF((COUNTIFS(#REF!,$C766,#REF!,M$1))&gt;=1,"SIM","")</f>
        <v>#REF!</v>
      </c>
      <c r="N766" s="5" t="e">
        <f>IF((COUNTIFS(#REF!,$C766,#REF!,N$1))&gt;=1,"SIM","")</f>
        <v>#REF!</v>
      </c>
      <c r="O766" s="5"/>
      <c r="P766" s="5" t="e">
        <f>IF((COUNTIFS(#REF!,$C766,#REF!,P$1))&gt;=1,"SIM","")</f>
        <v>#REF!</v>
      </c>
      <c r="Q766" s="5" t="e">
        <f>IF((COUNTIFS(#REF!,$C766,#REF!,Q$1))&gt;=1,"SIM","")</f>
        <v>#REF!</v>
      </c>
      <c r="R766" s="5" t="e">
        <f>IF((COUNTIFS(#REF!,$C766,#REF!,"*CARTA*"))&gt;=1,"SIM","")</f>
        <v>#REF!</v>
      </c>
      <c r="S766" s="5" t="e">
        <f>IF((COUNTIFS(#REF!,$C766,#REF!,"*CARTA NOTIFICAÇÃO/DEVOL*"))&gt;=1,"SIM","")</f>
        <v>#REF!</v>
      </c>
      <c r="T766" s="5" t="e">
        <f>IF((COUNTIFS(#REF!,$C766,#REF!,"*LIGAÇÃO ATIVA DEV PRIN/LOC*"))&gt;=1,"SIM","")</f>
        <v>#REF!</v>
      </c>
    </row>
    <row r="767" spans="1:20">
      <c r="A767" s="24" t="s">
        <v>2153</v>
      </c>
      <c r="B767" s="24" t="s">
        <v>241</v>
      </c>
      <c r="C767" s="24" t="s">
        <v>242</v>
      </c>
      <c r="D767" s="5" t="e">
        <f>IF((COUNTIFS(#REF!,$C767,#REF!,"*163*"))&gt;=1,"SIM","")</f>
        <v>#REF!</v>
      </c>
      <c r="E767" s="5" t="e">
        <f>IF((COUNTIFS(#REF!,$C767,#REF!,E$1))&gt;=1,"SIM","")</f>
        <v>#REF!</v>
      </c>
      <c r="F767" s="5" t="e">
        <f>IF((COUNTIFS(#REF!,$C767,#REF!,F$1))&gt;=1,"SIM","")</f>
        <v>#REF!</v>
      </c>
      <c r="G767" s="5" t="e">
        <f>IF((COUNTIFS(#REF!,$C767,#REF!,"*606*"))&gt;=1,"SIM","")</f>
        <v>#REF!</v>
      </c>
      <c r="H767" s="5" t="e">
        <f>IF((COUNTIFS(#REF!,$C767,#REF!,"*605*"))&gt;=1,"SIM","")</f>
        <v>#REF!</v>
      </c>
      <c r="I767" s="5" t="e">
        <f>IF((COUNTIFS(#REF!,$C767,#REF!,I$1))&gt;=1,"SIM","")</f>
        <v>#REF!</v>
      </c>
      <c r="J767" s="5" t="e">
        <f>IF((COUNTIFS(#REF!,$C767,#REF!,J$1))&gt;=1,"SIM","")</f>
        <v>#REF!</v>
      </c>
      <c r="K767" s="5" t="e">
        <f>IF((COUNTIFS(#REF!,$C767,#REF!,K$1))&gt;=1,"SIM","")</f>
        <v>#REF!</v>
      </c>
      <c r="L767" s="5" t="e">
        <f>IF((COUNTIFS(#REF!,$C767,#REF!,L$1))&gt;=1,"SIM","")</f>
        <v>#REF!</v>
      </c>
      <c r="M767" s="5" t="e">
        <f>IF((COUNTIFS(#REF!,$C767,#REF!,M$1))&gt;=1,"SIM","")</f>
        <v>#REF!</v>
      </c>
      <c r="N767" s="5" t="e">
        <f>IF((COUNTIFS(#REF!,$C767,#REF!,N$1))&gt;=1,"SIM","")</f>
        <v>#REF!</v>
      </c>
      <c r="O767" s="5"/>
      <c r="P767" s="5" t="e">
        <f>IF((COUNTIFS(#REF!,$C767,#REF!,P$1))&gt;=1,"SIM","")</f>
        <v>#REF!</v>
      </c>
      <c r="Q767" s="5" t="e">
        <f>IF((COUNTIFS(#REF!,$C767,#REF!,Q$1))&gt;=1,"SIM","")</f>
        <v>#REF!</v>
      </c>
      <c r="R767" s="5" t="e">
        <f>IF((COUNTIFS(#REF!,$C767,#REF!,"*CARTA*"))&gt;=1,"SIM","")</f>
        <v>#REF!</v>
      </c>
      <c r="S767" s="5" t="e">
        <f>IF((COUNTIFS(#REF!,$C767,#REF!,"*CARTA NOTIFICAÇÃO/DEVOL*"))&gt;=1,"SIM","")</f>
        <v>#REF!</v>
      </c>
      <c r="T767" s="5" t="e">
        <f>IF((COUNTIFS(#REF!,$C767,#REF!,"*LIGAÇÃO ATIVA DEV PRIN/LOC*"))&gt;=1,"SIM","")</f>
        <v>#REF!</v>
      </c>
    </row>
    <row r="768" spans="1:20">
      <c r="A768" s="24" t="s">
        <v>2153</v>
      </c>
      <c r="B768" s="24" t="s">
        <v>406</v>
      </c>
      <c r="C768" s="24" t="s">
        <v>407</v>
      </c>
      <c r="D768" s="5" t="e">
        <f>IF((COUNTIFS(#REF!,$C768,#REF!,"*163*"))&gt;=1,"SIM","")</f>
        <v>#REF!</v>
      </c>
      <c r="E768" s="5" t="e">
        <f>IF((COUNTIFS(#REF!,$C768,#REF!,E$1))&gt;=1,"SIM","")</f>
        <v>#REF!</v>
      </c>
      <c r="F768" s="5" t="e">
        <f>IF((COUNTIFS(#REF!,$C768,#REF!,F$1))&gt;=1,"SIM","")</f>
        <v>#REF!</v>
      </c>
      <c r="G768" s="5" t="e">
        <f>IF((COUNTIFS(#REF!,$C768,#REF!,"*606*"))&gt;=1,"SIM","")</f>
        <v>#REF!</v>
      </c>
      <c r="H768" s="5" t="e">
        <f>IF((COUNTIFS(#REF!,$C768,#REF!,"*605*"))&gt;=1,"SIM","")</f>
        <v>#REF!</v>
      </c>
      <c r="I768" s="5" t="e">
        <f>IF((COUNTIFS(#REF!,$C768,#REF!,I$1))&gt;=1,"SIM","")</f>
        <v>#REF!</v>
      </c>
      <c r="J768" s="5" t="e">
        <f>IF((COUNTIFS(#REF!,$C768,#REF!,J$1))&gt;=1,"SIM","")</f>
        <v>#REF!</v>
      </c>
      <c r="K768" s="5" t="e">
        <f>IF((COUNTIFS(#REF!,$C768,#REF!,K$1))&gt;=1,"SIM","")</f>
        <v>#REF!</v>
      </c>
      <c r="L768" s="5" t="e">
        <f>IF((COUNTIFS(#REF!,$C768,#REF!,L$1))&gt;=1,"SIM","")</f>
        <v>#REF!</v>
      </c>
      <c r="M768" s="5" t="e">
        <f>IF((COUNTIFS(#REF!,$C768,#REF!,M$1))&gt;=1,"SIM","")</f>
        <v>#REF!</v>
      </c>
      <c r="N768" s="5" t="e">
        <f>IF((COUNTIFS(#REF!,$C768,#REF!,N$1))&gt;=1,"SIM","")</f>
        <v>#REF!</v>
      </c>
      <c r="O768" s="5"/>
      <c r="P768" s="5" t="e">
        <f>IF((COUNTIFS(#REF!,$C768,#REF!,P$1))&gt;=1,"SIM","")</f>
        <v>#REF!</v>
      </c>
      <c r="Q768" s="5" t="e">
        <f>IF((COUNTIFS(#REF!,$C768,#REF!,Q$1))&gt;=1,"SIM","")</f>
        <v>#REF!</v>
      </c>
      <c r="R768" s="5" t="e">
        <f>IF((COUNTIFS(#REF!,$C768,#REF!,"*CARTA*"))&gt;=1,"SIM","")</f>
        <v>#REF!</v>
      </c>
      <c r="S768" s="5" t="e">
        <f>IF((COUNTIFS(#REF!,$C768,#REF!,"*CARTA NOTIFICAÇÃO/DEVOL*"))&gt;=1,"SIM","")</f>
        <v>#REF!</v>
      </c>
      <c r="T768" s="5" t="e">
        <f>IF((COUNTIFS(#REF!,$C768,#REF!,"*LIGAÇÃO ATIVA DEV PRIN/LOC*"))&gt;=1,"SIM","")</f>
        <v>#REF!</v>
      </c>
    </row>
    <row r="769" spans="1:20">
      <c r="A769" s="24" t="s">
        <v>2153</v>
      </c>
      <c r="B769" s="24" t="s">
        <v>1150</v>
      </c>
      <c r="C769" s="24" t="s">
        <v>2419</v>
      </c>
      <c r="D769" s="5" t="e">
        <f>IF((COUNTIFS(#REF!,$C769,#REF!,"*163*"))&gt;=1,"SIM","")</f>
        <v>#REF!</v>
      </c>
      <c r="E769" s="5" t="e">
        <f>IF((COUNTIFS(#REF!,$C769,#REF!,E$1))&gt;=1,"SIM","")</f>
        <v>#REF!</v>
      </c>
      <c r="F769" s="5" t="e">
        <f>IF((COUNTIFS(#REF!,$C769,#REF!,F$1))&gt;=1,"SIM","")</f>
        <v>#REF!</v>
      </c>
      <c r="G769" s="5" t="e">
        <f>IF((COUNTIFS(#REF!,$C769,#REF!,"*606*"))&gt;=1,"SIM","")</f>
        <v>#REF!</v>
      </c>
      <c r="H769" s="5" t="e">
        <f>IF((COUNTIFS(#REF!,$C769,#REF!,"*605*"))&gt;=1,"SIM","")</f>
        <v>#REF!</v>
      </c>
      <c r="I769" s="5" t="e">
        <f>IF((COUNTIFS(#REF!,$C769,#REF!,I$1))&gt;=1,"SIM","")</f>
        <v>#REF!</v>
      </c>
      <c r="J769" s="5" t="e">
        <f>IF((COUNTIFS(#REF!,$C769,#REF!,J$1))&gt;=1,"SIM","")</f>
        <v>#REF!</v>
      </c>
      <c r="K769" s="5" t="e">
        <f>IF((COUNTIFS(#REF!,$C769,#REF!,K$1))&gt;=1,"SIM","")</f>
        <v>#REF!</v>
      </c>
      <c r="L769" s="5" t="e">
        <f>IF((COUNTIFS(#REF!,$C769,#REF!,L$1))&gt;=1,"SIM","")</f>
        <v>#REF!</v>
      </c>
      <c r="M769" s="5" t="e">
        <f>IF((COUNTIFS(#REF!,$C769,#REF!,M$1))&gt;=1,"SIM","")</f>
        <v>#REF!</v>
      </c>
      <c r="N769" s="5" t="e">
        <f>IF((COUNTIFS(#REF!,$C769,#REF!,N$1))&gt;=1,"SIM","")</f>
        <v>#REF!</v>
      </c>
      <c r="O769" s="5"/>
      <c r="P769" s="5" t="e">
        <f>IF((COUNTIFS(#REF!,$C769,#REF!,P$1))&gt;=1,"SIM","")</f>
        <v>#REF!</v>
      </c>
      <c r="Q769" s="5" t="e">
        <f>IF((COUNTIFS(#REF!,$C769,#REF!,Q$1))&gt;=1,"SIM","")</f>
        <v>#REF!</v>
      </c>
      <c r="R769" s="5" t="e">
        <f>IF((COUNTIFS(#REF!,$C769,#REF!,"*CARTA*"))&gt;=1,"SIM","")</f>
        <v>#REF!</v>
      </c>
      <c r="S769" s="5" t="e">
        <f>IF((COUNTIFS(#REF!,$C769,#REF!,"*CARTA NOTIFICAÇÃO/DEVOL*"))&gt;=1,"SIM","")</f>
        <v>#REF!</v>
      </c>
      <c r="T769" s="5" t="e">
        <f>IF((COUNTIFS(#REF!,$C769,#REF!,"*LIGAÇÃO ATIVA DEV PRIN/LOC*"))&gt;=1,"SIM","")</f>
        <v>#REF!</v>
      </c>
    </row>
    <row r="770" spans="1:20">
      <c r="A770" s="24" t="s">
        <v>2153</v>
      </c>
      <c r="B770" s="24" t="s">
        <v>1140</v>
      </c>
      <c r="C770" s="24" t="s">
        <v>1141</v>
      </c>
      <c r="D770" s="5" t="e">
        <f>IF((COUNTIFS(#REF!,$C770,#REF!,"*163*"))&gt;=1,"SIM","")</f>
        <v>#REF!</v>
      </c>
      <c r="E770" s="5" t="e">
        <f>IF((COUNTIFS(#REF!,$C770,#REF!,E$1))&gt;=1,"SIM","")</f>
        <v>#REF!</v>
      </c>
      <c r="F770" s="5" t="e">
        <f>IF((COUNTIFS(#REF!,$C770,#REF!,F$1))&gt;=1,"SIM","")</f>
        <v>#REF!</v>
      </c>
      <c r="G770" s="5" t="e">
        <f>IF((COUNTIFS(#REF!,$C770,#REF!,"*606*"))&gt;=1,"SIM","")</f>
        <v>#REF!</v>
      </c>
      <c r="H770" s="5" t="e">
        <f>IF((COUNTIFS(#REF!,$C770,#REF!,"*605*"))&gt;=1,"SIM","")</f>
        <v>#REF!</v>
      </c>
      <c r="I770" s="5" t="e">
        <f>IF((COUNTIFS(#REF!,$C770,#REF!,I$1))&gt;=1,"SIM","")</f>
        <v>#REF!</v>
      </c>
      <c r="J770" s="5" t="e">
        <f>IF((COUNTIFS(#REF!,$C770,#REF!,J$1))&gt;=1,"SIM","")</f>
        <v>#REF!</v>
      </c>
      <c r="K770" s="5" t="e">
        <f>IF((COUNTIFS(#REF!,$C770,#REF!,K$1))&gt;=1,"SIM","")</f>
        <v>#REF!</v>
      </c>
      <c r="L770" s="5" t="e">
        <f>IF((COUNTIFS(#REF!,$C770,#REF!,L$1))&gt;=1,"SIM","")</f>
        <v>#REF!</v>
      </c>
      <c r="M770" s="5" t="e">
        <f>IF((COUNTIFS(#REF!,$C770,#REF!,M$1))&gt;=1,"SIM","")</f>
        <v>#REF!</v>
      </c>
      <c r="N770" s="5" t="e">
        <f>IF((COUNTIFS(#REF!,$C770,#REF!,N$1))&gt;=1,"SIM","")</f>
        <v>#REF!</v>
      </c>
      <c r="O770" s="5"/>
      <c r="P770" s="5" t="e">
        <f>IF((COUNTIFS(#REF!,$C770,#REF!,P$1))&gt;=1,"SIM","")</f>
        <v>#REF!</v>
      </c>
      <c r="Q770" s="5" t="e">
        <f>IF((COUNTIFS(#REF!,$C770,#REF!,Q$1))&gt;=1,"SIM","")</f>
        <v>#REF!</v>
      </c>
      <c r="R770" s="5" t="e">
        <f>IF((COUNTIFS(#REF!,$C770,#REF!,"*CARTA*"))&gt;=1,"SIM","")</f>
        <v>#REF!</v>
      </c>
      <c r="S770" s="5" t="e">
        <f>IF((COUNTIFS(#REF!,$C770,#REF!,"*CARTA NOTIFICAÇÃO/DEVOL*"))&gt;=1,"SIM","")</f>
        <v>#REF!</v>
      </c>
      <c r="T770" s="5" t="e">
        <f>IF((COUNTIFS(#REF!,$C770,#REF!,"*LIGAÇÃO ATIVA DEV PRIN/LOC*"))&gt;=1,"SIM","")</f>
        <v>#REF!</v>
      </c>
    </row>
    <row r="771" spans="1:20">
      <c r="A771" s="24" t="s">
        <v>2159</v>
      </c>
      <c r="B771" s="24" t="s">
        <v>2114</v>
      </c>
      <c r="C771" s="24" t="s">
        <v>2115</v>
      </c>
      <c r="D771" s="5" t="e">
        <f>IF((COUNTIFS(#REF!,$C771,#REF!,"*163*"))&gt;=1,"SIM","")</f>
        <v>#REF!</v>
      </c>
      <c r="E771" s="5" t="e">
        <f>IF((COUNTIFS(#REF!,$C771,#REF!,E$1))&gt;=1,"SIM","")</f>
        <v>#REF!</v>
      </c>
      <c r="F771" s="5" t="e">
        <f>IF((COUNTIFS(#REF!,$C771,#REF!,F$1))&gt;=1,"SIM","")</f>
        <v>#REF!</v>
      </c>
      <c r="G771" s="5" t="e">
        <f>IF((COUNTIFS(#REF!,$C771,#REF!,"*606*"))&gt;=1,"SIM","")</f>
        <v>#REF!</v>
      </c>
      <c r="H771" s="5" t="e">
        <f>IF((COUNTIFS(#REF!,$C771,#REF!,"*605*"))&gt;=1,"SIM","")</f>
        <v>#REF!</v>
      </c>
      <c r="I771" s="5" t="e">
        <f>IF((COUNTIFS(#REF!,$C771,#REF!,I$1))&gt;=1,"SIM","")</f>
        <v>#REF!</v>
      </c>
      <c r="J771" s="5" t="e">
        <f>IF((COUNTIFS(#REF!,$C771,#REF!,J$1))&gt;=1,"SIM","")</f>
        <v>#REF!</v>
      </c>
      <c r="K771" s="5" t="e">
        <f>IF((COUNTIFS(#REF!,$C771,#REF!,K$1))&gt;=1,"SIM","")</f>
        <v>#REF!</v>
      </c>
      <c r="L771" s="5" t="e">
        <f>IF((COUNTIFS(#REF!,$C771,#REF!,L$1))&gt;=1,"SIM","")</f>
        <v>#REF!</v>
      </c>
      <c r="M771" s="5" t="e">
        <f>IF((COUNTIFS(#REF!,$C771,#REF!,M$1))&gt;=1,"SIM","")</f>
        <v>#REF!</v>
      </c>
      <c r="N771" s="5" t="e">
        <f>IF((COUNTIFS(#REF!,$C771,#REF!,N$1))&gt;=1,"SIM","")</f>
        <v>#REF!</v>
      </c>
      <c r="O771" s="5"/>
      <c r="P771" s="5" t="e">
        <f>IF((COUNTIFS(#REF!,$C771,#REF!,P$1))&gt;=1,"SIM","")</f>
        <v>#REF!</v>
      </c>
      <c r="Q771" s="5" t="e">
        <f>IF((COUNTIFS(#REF!,$C771,#REF!,Q$1))&gt;=1,"SIM","")</f>
        <v>#REF!</v>
      </c>
      <c r="R771" s="5" t="e">
        <f>IF((COUNTIFS(#REF!,$C771,#REF!,"*CARTA*"))&gt;=1,"SIM","")</f>
        <v>#REF!</v>
      </c>
      <c r="S771" s="5" t="e">
        <f>IF((COUNTIFS(#REF!,$C771,#REF!,"*CARTA NOTIFICAÇÃO/DEVOL*"))&gt;=1,"SIM","")</f>
        <v>#REF!</v>
      </c>
      <c r="T771" s="5" t="e">
        <f>IF((COUNTIFS(#REF!,$C771,#REF!,"*LIGAÇÃO ATIVA DEV PRIN/LOC*"))&gt;=1,"SIM","")</f>
        <v>#REF!</v>
      </c>
    </row>
    <row r="772" spans="1:20">
      <c r="A772" s="24" t="s">
        <v>2153</v>
      </c>
      <c r="B772" s="24" t="s">
        <v>225</v>
      </c>
      <c r="C772" s="24" t="s">
        <v>226</v>
      </c>
      <c r="D772" s="5" t="e">
        <f>IF((COUNTIFS(#REF!,$C772,#REF!,"*163*"))&gt;=1,"SIM","")</f>
        <v>#REF!</v>
      </c>
      <c r="E772" s="5" t="e">
        <f>IF((COUNTIFS(#REF!,$C772,#REF!,E$1))&gt;=1,"SIM","")</f>
        <v>#REF!</v>
      </c>
      <c r="F772" s="5" t="e">
        <f>IF((COUNTIFS(#REF!,$C772,#REF!,F$1))&gt;=1,"SIM","")</f>
        <v>#REF!</v>
      </c>
      <c r="G772" s="5" t="e">
        <f>IF((COUNTIFS(#REF!,$C772,#REF!,"*606*"))&gt;=1,"SIM","")</f>
        <v>#REF!</v>
      </c>
      <c r="H772" s="5" t="e">
        <f>IF((COUNTIFS(#REF!,$C772,#REF!,"*605*"))&gt;=1,"SIM","")</f>
        <v>#REF!</v>
      </c>
      <c r="I772" s="5" t="e">
        <f>IF((COUNTIFS(#REF!,$C772,#REF!,I$1))&gt;=1,"SIM","")</f>
        <v>#REF!</v>
      </c>
      <c r="J772" s="5" t="e">
        <f>IF((COUNTIFS(#REF!,$C772,#REF!,J$1))&gt;=1,"SIM","")</f>
        <v>#REF!</v>
      </c>
      <c r="K772" s="5" t="e">
        <f>IF((COUNTIFS(#REF!,$C772,#REF!,K$1))&gt;=1,"SIM","")</f>
        <v>#REF!</v>
      </c>
      <c r="L772" s="5" t="e">
        <f>IF((COUNTIFS(#REF!,$C772,#REF!,L$1))&gt;=1,"SIM","")</f>
        <v>#REF!</v>
      </c>
      <c r="M772" s="5" t="e">
        <f>IF((COUNTIFS(#REF!,$C772,#REF!,M$1))&gt;=1,"SIM","")</f>
        <v>#REF!</v>
      </c>
      <c r="N772" s="5" t="e">
        <f>IF((COUNTIFS(#REF!,$C772,#REF!,N$1))&gt;=1,"SIM","")</f>
        <v>#REF!</v>
      </c>
      <c r="O772" s="5"/>
      <c r="P772" s="5" t="e">
        <f>IF((COUNTIFS(#REF!,$C772,#REF!,P$1))&gt;=1,"SIM","")</f>
        <v>#REF!</v>
      </c>
      <c r="Q772" s="5" t="e">
        <f>IF((COUNTIFS(#REF!,$C772,#REF!,Q$1))&gt;=1,"SIM","")</f>
        <v>#REF!</v>
      </c>
      <c r="R772" s="5" t="e">
        <f>IF((COUNTIFS(#REF!,$C772,#REF!,"*CARTA*"))&gt;=1,"SIM","")</f>
        <v>#REF!</v>
      </c>
      <c r="S772" s="5" t="e">
        <f>IF((COUNTIFS(#REF!,$C772,#REF!,"*CARTA NOTIFICAÇÃO/DEVOL*"))&gt;=1,"SIM","")</f>
        <v>#REF!</v>
      </c>
      <c r="T772" s="5" t="e">
        <f>IF((COUNTIFS(#REF!,$C772,#REF!,"*LIGAÇÃO ATIVA DEV PRIN/LOC*"))&gt;=1,"SIM","")</f>
        <v>#REF!</v>
      </c>
    </row>
    <row r="773" spans="1:20">
      <c r="A773" s="24" t="s">
        <v>2159</v>
      </c>
      <c r="B773" s="24" t="s">
        <v>1772</v>
      </c>
      <c r="C773" s="24" t="s">
        <v>1773</v>
      </c>
      <c r="D773" s="5" t="e">
        <f>IF((COUNTIFS(#REF!,$C773,#REF!,"*163*"))&gt;=1,"SIM","")</f>
        <v>#REF!</v>
      </c>
      <c r="E773" s="5" t="e">
        <f>IF((COUNTIFS(#REF!,$C773,#REF!,E$1))&gt;=1,"SIM","")</f>
        <v>#REF!</v>
      </c>
      <c r="F773" s="5" t="e">
        <f>IF((COUNTIFS(#REF!,$C773,#REF!,F$1))&gt;=1,"SIM","")</f>
        <v>#REF!</v>
      </c>
      <c r="G773" s="5" t="e">
        <f>IF((COUNTIFS(#REF!,$C773,#REF!,"*606*"))&gt;=1,"SIM","")</f>
        <v>#REF!</v>
      </c>
      <c r="H773" s="5" t="e">
        <f>IF((COUNTIFS(#REF!,$C773,#REF!,"*605*"))&gt;=1,"SIM","")</f>
        <v>#REF!</v>
      </c>
      <c r="I773" s="5" t="e">
        <f>IF((COUNTIFS(#REF!,$C773,#REF!,I$1))&gt;=1,"SIM","")</f>
        <v>#REF!</v>
      </c>
      <c r="J773" s="5" t="e">
        <f>IF((COUNTIFS(#REF!,$C773,#REF!,J$1))&gt;=1,"SIM","")</f>
        <v>#REF!</v>
      </c>
      <c r="K773" s="5" t="e">
        <f>IF((COUNTIFS(#REF!,$C773,#REF!,K$1))&gt;=1,"SIM","")</f>
        <v>#REF!</v>
      </c>
      <c r="L773" s="5" t="e">
        <f>IF((COUNTIFS(#REF!,$C773,#REF!,L$1))&gt;=1,"SIM","")</f>
        <v>#REF!</v>
      </c>
      <c r="M773" s="5" t="e">
        <f>IF((COUNTIFS(#REF!,$C773,#REF!,M$1))&gt;=1,"SIM","")</f>
        <v>#REF!</v>
      </c>
      <c r="N773" s="5" t="e">
        <f>IF((COUNTIFS(#REF!,$C773,#REF!,N$1))&gt;=1,"SIM","")</f>
        <v>#REF!</v>
      </c>
      <c r="O773" s="5"/>
      <c r="P773" s="5" t="e">
        <f>IF((COUNTIFS(#REF!,$C773,#REF!,P$1))&gt;=1,"SIM","")</f>
        <v>#REF!</v>
      </c>
      <c r="Q773" s="5" t="e">
        <f>IF((COUNTIFS(#REF!,$C773,#REF!,Q$1))&gt;=1,"SIM","")</f>
        <v>#REF!</v>
      </c>
      <c r="R773" s="5" t="e">
        <f>IF((COUNTIFS(#REF!,$C773,#REF!,"*CARTA*"))&gt;=1,"SIM","")</f>
        <v>#REF!</v>
      </c>
      <c r="S773" s="5" t="e">
        <f>IF((COUNTIFS(#REF!,$C773,#REF!,"*CARTA NOTIFICAÇÃO/DEVOL*"))&gt;=1,"SIM","")</f>
        <v>#REF!</v>
      </c>
      <c r="T773" s="5" t="e">
        <f>IF((COUNTIFS(#REF!,$C773,#REF!,"*LIGAÇÃO ATIVA DEV PRIN/LOC*"))&gt;=1,"SIM","")</f>
        <v>#REF!</v>
      </c>
    </row>
    <row r="774" spans="1:20">
      <c r="A774" s="24" t="s">
        <v>2155</v>
      </c>
      <c r="B774" s="24" t="s">
        <v>1202</v>
      </c>
      <c r="C774" s="24" t="s">
        <v>1203</v>
      </c>
      <c r="D774" s="5" t="e">
        <f>IF((COUNTIFS(#REF!,$C774,#REF!,"*163*"))&gt;=1,"SIM","")</f>
        <v>#REF!</v>
      </c>
      <c r="E774" s="5" t="e">
        <f>IF((COUNTIFS(#REF!,$C774,#REF!,E$1))&gt;=1,"SIM","")</f>
        <v>#REF!</v>
      </c>
      <c r="F774" s="5" t="e">
        <f>IF((COUNTIFS(#REF!,$C774,#REF!,F$1))&gt;=1,"SIM","")</f>
        <v>#REF!</v>
      </c>
      <c r="G774" s="5" t="e">
        <f>IF((COUNTIFS(#REF!,$C774,#REF!,"*606*"))&gt;=1,"SIM","")</f>
        <v>#REF!</v>
      </c>
      <c r="H774" s="5" t="e">
        <f>IF((COUNTIFS(#REF!,$C774,#REF!,"*605*"))&gt;=1,"SIM","")</f>
        <v>#REF!</v>
      </c>
      <c r="I774" s="5" t="e">
        <f>IF((COUNTIFS(#REF!,$C774,#REF!,I$1))&gt;=1,"SIM","")</f>
        <v>#REF!</v>
      </c>
      <c r="J774" s="5" t="e">
        <f>IF((COUNTIFS(#REF!,$C774,#REF!,J$1))&gt;=1,"SIM","")</f>
        <v>#REF!</v>
      </c>
      <c r="K774" s="5" t="e">
        <f>IF((COUNTIFS(#REF!,$C774,#REF!,K$1))&gt;=1,"SIM","")</f>
        <v>#REF!</v>
      </c>
      <c r="L774" s="5" t="e">
        <f>IF((COUNTIFS(#REF!,$C774,#REF!,L$1))&gt;=1,"SIM","")</f>
        <v>#REF!</v>
      </c>
      <c r="M774" s="5" t="e">
        <f>IF((COUNTIFS(#REF!,$C774,#REF!,M$1))&gt;=1,"SIM","")</f>
        <v>#REF!</v>
      </c>
      <c r="N774" s="5" t="e">
        <f>IF((COUNTIFS(#REF!,$C774,#REF!,N$1))&gt;=1,"SIM","")</f>
        <v>#REF!</v>
      </c>
      <c r="O774" s="5"/>
      <c r="P774" s="5" t="e">
        <f>IF((COUNTIFS(#REF!,$C774,#REF!,P$1))&gt;=1,"SIM","")</f>
        <v>#REF!</v>
      </c>
      <c r="Q774" s="5" t="e">
        <f>IF((COUNTIFS(#REF!,$C774,#REF!,Q$1))&gt;=1,"SIM","")</f>
        <v>#REF!</v>
      </c>
      <c r="R774" s="5" t="e">
        <f>IF((COUNTIFS(#REF!,$C774,#REF!,"*CARTA*"))&gt;=1,"SIM","")</f>
        <v>#REF!</v>
      </c>
      <c r="S774" s="5" t="e">
        <f>IF((COUNTIFS(#REF!,$C774,#REF!,"*CARTA NOTIFICAÇÃO/DEVOL*"))&gt;=1,"SIM","")</f>
        <v>#REF!</v>
      </c>
      <c r="T774" s="5" t="e">
        <f>IF((COUNTIFS(#REF!,$C774,#REF!,"*LIGAÇÃO ATIVA DEV PRIN/LOC*"))&gt;=1,"SIM","")</f>
        <v>#REF!</v>
      </c>
    </row>
    <row r="775" spans="1:20">
      <c r="A775" s="24" t="s">
        <v>2159</v>
      </c>
      <c r="B775" s="24" t="s">
        <v>1496</v>
      </c>
      <c r="C775" s="24" t="s">
        <v>1497</v>
      </c>
      <c r="D775" s="5" t="e">
        <f>IF((COUNTIFS(#REF!,$C775,#REF!,"*163*"))&gt;=1,"SIM","")</f>
        <v>#REF!</v>
      </c>
      <c r="E775" s="5" t="e">
        <f>IF((COUNTIFS(#REF!,$C775,#REF!,E$1))&gt;=1,"SIM","")</f>
        <v>#REF!</v>
      </c>
      <c r="F775" s="5" t="e">
        <f>IF((COUNTIFS(#REF!,$C775,#REF!,F$1))&gt;=1,"SIM","")</f>
        <v>#REF!</v>
      </c>
      <c r="G775" s="5" t="e">
        <f>IF((COUNTIFS(#REF!,$C775,#REF!,"*606*"))&gt;=1,"SIM","")</f>
        <v>#REF!</v>
      </c>
      <c r="H775" s="5" t="e">
        <f>IF((COUNTIFS(#REF!,$C775,#REF!,"*605*"))&gt;=1,"SIM","")</f>
        <v>#REF!</v>
      </c>
      <c r="I775" s="5" t="e">
        <f>IF((COUNTIFS(#REF!,$C775,#REF!,I$1))&gt;=1,"SIM","")</f>
        <v>#REF!</v>
      </c>
      <c r="J775" s="5" t="e">
        <f>IF((COUNTIFS(#REF!,$C775,#REF!,J$1))&gt;=1,"SIM","")</f>
        <v>#REF!</v>
      </c>
      <c r="K775" s="5" t="e">
        <f>IF((COUNTIFS(#REF!,$C775,#REF!,K$1))&gt;=1,"SIM","")</f>
        <v>#REF!</v>
      </c>
      <c r="L775" s="5" t="e">
        <f>IF((COUNTIFS(#REF!,$C775,#REF!,L$1))&gt;=1,"SIM","")</f>
        <v>#REF!</v>
      </c>
      <c r="M775" s="5" t="e">
        <f>IF((COUNTIFS(#REF!,$C775,#REF!,M$1))&gt;=1,"SIM","")</f>
        <v>#REF!</v>
      </c>
      <c r="N775" s="5" t="e">
        <f>IF((COUNTIFS(#REF!,$C775,#REF!,N$1))&gt;=1,"SIM","")</f>
        <v>#REF!</v>
      </c>
      <c r="O775" s="5"/>
      <c r="P775" s="5" t="e">
        <f>IF((COUNTIFS(#REF!,$C775,#REF!,P$1))&gt;=1,"SIM","")</f>
        <v>#REF!</v>
      </c>
      <c r="Q775" s="5" t="e">
        <f>IF((COUNTIFS(#REF!,$C775,#REF!,Q$1))&gt;=1,"SIM","")</f>
        <v>#REF!</v>
      </c>
      <c r="R775" s="5" t="e">
        <f>IF((COUNTIFS(#REF!,$C775,#REF!,"*CARTA*"))&gt;=1,"SIM","")</f>
        <v>#REF!</v>
      </c>
      <c r="S775" s="5" t="e">
        <f>IF((COUNTIFS(#REF!,$C775,#REF!,"*CARTA NOTIFICAÇÃO/DEVOL*"))&gt;=1,"SIM","")</f>
        <v>#REF!</v>
      </c>
      <c r="T775" s="5" t="e">
        <f>IF((COUNTIFS(#REF!,$C775,#REF!,"*LIGAÇÃO ATIVA DEV PRIN/LOC*"))&gt;=1,"SIM","")</f>
        <v>#REF!</v>
      </c>
    </row>
    <row r="776" spans="1:20">
      <c r="A776" s="24" t="s">
        <v>2157</v>
      </c>
      <c r="B776" s="24" t="s">
        <v>1564</v>
      </c>
      <c r="C776" s="24" t="s">
        <v>1565</v>
      </c>
      <c r="D776" s="5" t="e">
        <f>IF((COUNTIFS(#REF!,$C776,#REF!,"*163*"))&gt;=1,"SIM","")</f>
        <v>#REF!</v>
      </c>
      <c r="E776" s="5" t="e">
        <f>IF((COUNTIFS(#REF!,$C776,#REF!,E$1))&gt;=1,"SIM","")</f>
        <v>#REF!</v>
      </c>
      <c r="F776" s="5" t="e">
        <f>IF((COUNTIFS(#REF!,$C776,#REF!,F$1))&gt;=1,"SIM","")</f>
        <v>#REF!</v>
      </c>
      <c r="G776" s="5" t="e">
        <f>IF((COUNTIFS(#REF!,$C776,#REF!,"*606*"))&gt;=1,"SIM","")</f>
        <v>#REF!</v>
      </c>
      <c r="H776" s="5" t="e">
        <f>IF((COUNTIFS(#REF!,$C776,#REF!,"*605*"))&gt;=1,"SIM","")</f>
        <v>#REF!</v>
      </c>
      <c r="I776" s="5" t="e">
        <f>IF((COUNTIFS(#REF!,$C776,#REF!,I$1))&gt;=1,"SIM","")</f>
        <v>#REF!</v>
      </c>
      <c r="J776" s="5" t="e">
        <f>IF((COUNTIFS(#REF!,$C776,#REF!,J$1))&gt;=1,"SIM","")</f>
        <v>#REF!</v>
      </c>
      <c r="K776" s="5" t="e">
        <f>IF((COUNTIFS(#REF!,$C776,#REF!,K$1))&gt;=1,"SIM","")</f>
        <v>#REF!</v>
      </c>
      <c r="L776" s="5" t="e">
        <f>IF((COUNTIFS(#REF!,$C776,#REF!,L$1))&gt;=1,"SIM","")</f>
        <v>#REF!</v>
      </c>
      <c r="M776" s="5" t="e">
        <f>IF((COUNTIFS(#REF!,$C776,#REF!,M$1))&gt;=1,"SIM","")</f>
        <v>#REF!</v>
      </c>
      <c r="N776" s="5" t="e">
        <f>IF((COUNTIFS(#REF!,$C776,#REF!,N$1))&gt;=1,"SIM","")</f>
        <v>#REF!</v>
      </c>
      <c r="O776" s="5"/>
      <c r="P776" s="5" t="e">
        <f>IF((COUNTIFS(#REF!,$C776,#REF!,P$1))&gt;=1,"SIM","")</f>
        <v>#REF!</v>
      </c>
      <c r="Q776" s="5" t="e">
        <f>IF((COUNTIFS(#REF!,$C776,#REF!,Q$1))&gt;=1,"SIM","")</f>
        <v>#REF!</v>
      </c>
      <c r="R776" s="5" t="e">
        <f>IF((COUNTIFS(#REF!,$C776,#REF!,"*CARTA*"))&gt;=1,"SIM","")</f>
        <v>#REF!</v>
      </c>
      <c r="S776" s="5" t="e">
        <f>IF((COUNTIFS(#REF!,$C776,#REF!,"*CARTA NOTIFICAÇÃO/DEVOL*"))&gt;=1,"SIM","")</f>
        <v>#REF!</v>
      </c>
      <c r="T776" s="5" t="e">
        <f>IF((COUNTIFS(#REF!,$C776,#REF!,"*LIGAÇÃO ATIVA DEV PRIN/LOC*"))&gt;=1,"SIM","")</f>
        <v>#REF!</v>
      </c>
    </row>
    <row r="777" spans="1:20">
      <c r="A777" s="24" t="s">
        <v>2153</v>
      </c>
      <c r="B777" s="24" t="s">
        <v>787</v>
      </c>
      <c r="C777" s="24" t="s">
        <v>788</v>
      </c>
      <c r="D777" s="5" t="e">
        <f>IF((COUNTIFS(#REF!,$C777,#REF!,"*163*"))&gt;=1,"SIM","")</f>
        <v>#REF!</v>
      </c>
      <c r="E777" s="5" t="e">
        <f>IF((COUNTIFS(#REF!,$C777,#REF!,E$1))&gt;=1,"SIM","")</f>
        <v>#REF!</v>
      </c>
      <c r="F777" s="5" t="e">
        <f>IF((COUNTIFS(#REF!,$C777,#REF!,F$1))&gt;=1,"SIM","")</f>
        <v>#REF!</v>
      </c>
      <c r="G777" s="5" t="e">
        <f>IF((COUNTIFS(#REF!,$C777,#REF!,"*606*"))&gt;=1,"SIM","")</f>
        <v>#REF!</v>
      </c>
      <c r="H777" s="5" t="e">
        <f>IF((COUNTIFS(#REF!,$C777,#REF!,"*605*"))&gt;=1,"SIM","")</f>
        <v>#REF!</v>
      </c>
      <c r="I777" s="5" t="e">
        <f>IF((COUNTIFS(#REF!,$C777,#REF!,I$1))&gt;=1,"SIM","")</f>
        <v>#REF!</v>
      </c>
      <c r="J777" s="5" t="e">
        <f>IF((COUNTIFS(#REF!,$C777,#REF!,J$1))&gt;=1,"SIM","")</f>
        <v>#REF!</v>
      </c>
      <c r="K777" s="5" t="e">
        <f>IF((COUNTIFS(#REF!,$C777,#REF!,K$1))&gt;=1,"SIM","")</f>
        <v>#REF!</v>
      </c>
      <c r="L777" s="5" t="e">
        <f>IF((COUNTIFS(#REF!,$C777,#REF!,L$1))&gt;=1,"SIM","")</f>
        <v>#REF!</v>
      </c>
      <c r="M777" s="5" t="e">
        <f>IF((COUNTIFS(#REF!,$C777,#REF!,M$1))&gt;=1,"SIM","")</f>
        <v>#REF!</v>
      </c>
      <c r="N777" s="5" t="e">
        <f>IF((COUNTIFS(#REF!,$C777,#REF!,N$1))&gt;=1,"SIM","")</f>
        <v>#REF!</v>
      </c>
      <c r="O777" s="5"/>
      <c r="P777" s="5" t="e">
        <f>IF((COUNTIFS(#REF!,$C777,#REF!,P$1))&gt;=1,"SIM","")</f>
        <v>#REF!</v>
      </c>
      <c r="Q777" s="5" t="e">
        <f>IF((COUNTIFS(#REF!,$C777,#REF!,Q$1))&gt;=1,"SIM","")</f>
        <v>#REF!</v>
      </c>
      <c r="R777" s="5" t="e">
        <f>IF((COUNTIFS(#REF!,$C777,#REF!,"*CARTA*"))&gt;=1,"SIM","")</f>
        <v>#REF!</v>
      </c>
      <c r="S777" s="5" t="e">
        <f>IF((COUNTIFS(#REF!,$C777,#REF!,"*CARTA NOTIFICAÇÃO/DEVOL*"))&gt;=1,"SIM","")</f>
        <v>#REF!</v>
      </c>
      <c r="T777" s="5" t="e">
        <f>IF((COUNTIFS(#REF!,$C777,#REF!,"*LIGAÇÃO ATIVA DEV PRIN/LOC*"))&gt;=1,"SIM","")</f>
        <v>#REF!</v>
      </c>
    </row>
    <row r="778" spans="1:20">
      <c r="A778" s="24" t="s">
        <v>2159</v>
      </c>
      <c r="B778" s="24" t="s">
        <v>1371</v>
      </c>
      <c r="C778" s="24" t="s">
        <v>1372</v>
      </c>
      <c r="D778" s="5" t="e">
        <f>IF((COUNTIFS(#REF!,$C778,#REF!,"*163*"))&gt;=1,"SIM","")</f>
        <v>#REF!</v>
      </c>
      <c r="E778" s="5" t="e">
        <f>IF((COUNTIFS(#REF!,$C778,#REF!,E$1))&gt;=1,"SIM","")</f>
        <v>#REF!</v>
      </c>
      <c r="F778" s="5" t="e">
        <f>IF((COUNTIFS(#REF!,$C778,#REF!,F$1))&gt;=1,"SIM","")</f>
        <v>#REF!</v>
      </c>
      <c r="G778" s="5" t="e">
        <f>IF((COUNTIFS(#REF!,$C778,#REF!,"*606*"))&gt;=1,"SIM","")</f>
        <v>#REF!</v>
      </c>
      <c r="H778" s="5" t="e">
        <f>IF((COUNTIFS(#REF!,$C778,#REF!,"*605*"))&gt;=1,"SIM","")</f>
        <v>#REF!</v>
      </c>
      <c r="I778" s="5" t="e">
        <f>IF((COUNTIFS(#REF!,$C778,#REF!,I$1))&gt;=1,"SIM","")</f>
        <v>#REF!</v>
      </c>
      <c r="J778" s="5" t="e">
        <f>IF((COUNTIFS(#REF!,$C778,#REF!,J$1))&gt;=1,"SIM","")</f>
        <v>#REF!</v>
      </c>
      <c r="K778" s="5" t="e">
        <f>IF((COUNTIFS(#REF!,$C778,#REF!,K$1))&gt;=1,"SIM","")</f>
        <v>#REF!</v>
      </c>
      <c r="L778" s="5" t="e">
        <f>IF((COUNTIFS(#REF!,$C778,#REF!,L$1))&gt;=1,"SIM","")</f>
        <v>#REF!</v>
      </c>
      <c r="M778" s="5" t="e">
        <f>IF((COUNTIFS(#REF!,$C778,#REF!,M$1))&gt;=1,"SIM","")</f>
        <v>#REF!</v>
      </c>
      <c r="N778" s="5" t="e">
        <f>IF((COUNTIFS(#REF!,$C778,#REF!,N$1))&gt;=1,"SIM","")</f>
        <v>#REF!</v>
      </c>
      <c r="O778" s="5"/>
      <c r="P778" s="5" t="e">
        <f>IF((COUNTIFS(#REF!,$C778,#REF!,P$1))&gt;=1,"SIM","")</f>
        <v>#REF!</v>
      </c>
      <c r="Q778" s="5" t="e">
        <f>IF((COUNTIFS(#REF!,$C778,#REF!,Q$1))&gt;=1,"SIM","")</f>
        <v>#REF!</v>
      </c>
      <c r="R778" s="5" t="e">
        <f>IF((COUNTIFS(#REF!,$C778,#REF!,"*CARTA*"))&gt;=1,"SIM","")</f>
        <v>#REF!</v>
      </c>
      <c r="S778" s="5" t="e">
        <f>IF((COUNTIFS(#REF!,$C778,#REF!,"*CARTA NOTIFICAÇÃO/DEVOL*"))&gt;=1,"SIM","")</f>
        <v>#REF!</v>
      </c>
      <c r="T778" s="5" t="e">
        <f>IF((COUNTIFS(#REF!,$C778,#REF!,"*LIGAÇÃO ATIVA DEV PRIN/LOC*"))&gt;=1,"SIM","")</f>
        <v>#REF!</v>
      </c>
    </row>
    <row r="779" spans="1:20">
      <c r="A779" s="24" t="s">
        <v>2153</v>
      </c>
      <c r="B779" s="24" t="s">
        <v>293</v>
      </c>
      <c r="C779" s="24" t="s">
        <v>294</v>
      </c>
      <c r="D779" s="5" t="e">
        <f>IF((COUNTIFS(#REF!,$C779,#REF!,"*163*"))&gt;=1,"SIM","")</f>
        <v>#REF!</v>
      </c>
      <c r="E779" s="5" t="e">
        <f>IF((COUNTIFS(#REF!,$C779,#REF!,E$1))&gt;=1,"SIM","")</f>
        <v>#REF!</v>
      </c>
      <c r="F779" s="5" t="e">
        <f>IF((COUNTIFS(#REF!,$C779,#REF!,F$1))&gt;=1,"SIM","")</f>
        <v>#REF!</v>
      </c>
      <c r="G779" s="5" t="e">
        <f>IF((COUNTIFS(#REF!,$C779,#REF!,"*606*"))&gt;=1,"SIM","")</f>
        <v>#REF!</v>
      </c>
      <c r="H779" s="5" t="e">
        <f>IF((COUNTIFS(#REF!,$C779,#REF!,"*605*"))&gt;=1,"SIM","")</f>
        <v>#REF!</v>
      </c>
      <c r="I779" s="5" t="e">
        <f>IF((COUNTIFS(#REF!,$C779,#REF!,I$1))&gt;=1,"SIM","")</f>
        <v>#REF!</v>
      </c>
      <c r="J779" s="5" t="e">
        <f>IF((COUNTIFS(#REF!,$C779,#REF!,J$1))&gt;=1,"SIM","")</f>
        <v>#REF!</v>
      </c>
      <c r="K779" s="5" t="e">
        <f>IF((COUNTIFS(#REF!,$C779,#REF!,K$1))&gt;=1,"SIM","")</f>
        <v>#REF!</v>
      </c>
      <c r="L779" s="5" t="e">
        <f>IF((COUNTIFS(#REF!,$C779,#REF!,L$1))&gt;=1,"SIM","")</f>
        <v>#REF!</v>
      </c>
      <c r="M779" s="5" t="e">
        <f>IF((COUNTIFS(#REF!,$C779,#REF!,M$1))&gt;=1,"SIM","")</f>
        <v>#REF!</v>
      </c>
      <c r="N779" s="5" t="e">
        <f>IF((COUNTIFS(#REF!,$C779,#REF!,N$1))&gt;=1,"SIM","")</f>
        <v>#REF!</v>
      </c>
      <c r="O779" s="5"/>
      <c r="P779" s="5" t="e">
        <f>IF((COUNTIFS(#REF!,$C779,#REF!,P$1))&gt;=1,"SIM","")</f>
        <v>#REF!</v>
      </c>
      <c r="Q779" s="5" t="e">
        <f>IF((COUNTIFS(#REF!,$C779,#REF!,Q$1))&gt;=1,"SIM","")</f>
        <v>#REF!</v>
      </c>
      <c r="R779" s="5" t="e">
        <f>IF((COUNTIFS(#REF!,$C779,#REF!,"*CARTA*"))&gt;=1,"SIM","")</f>
        <v>#REF!</v>
      </c>
      <c r="S779" s="5" t="e">
        <f>IF((COUNTIFS(#REF!,$C779,#REF!,"*CARTA NOTIFICAÇÃO/DEVOL*"))&gt;=1,"SIM","")</f>
        <v>#REF!</v>
      </c>
      <c r="T779" s="5" t="e">
        <f>IF((COUNTIFS(#REF!,$C779,#REF!,"*LIGAÇÃO ATIVA DEV PRIN/LOC*"))&gt;=1,"SIM","")</f>
        <v>#REF!</v>
      </c>
    </row>
    <row r="780" spans="1:20">
      <c r="A780" s="24" t="s">
        <v>2159</v>
      </c>
      <c r="B780" s="24" t="s">
        <v>2014</v>
      </c>
      <c r="C780" s="24" t="s">
        <v>2015</v>
      </c>
      <c r="D780" s="5" t="e">
        <f>IF((COUNTIFS(#REF!,$C780,#REF!,"*163*"))&gt;=1,"SIM","")</f>
        <v>#REF!</v>
      </c>
      <c r="E780" s="5" t="e">
        <f>IF((COUNTIFS(#REF!,$C780,#REF!,E$1))&gt;=1,"SIM","")</f>
        <v>#REF!</v>
      </c>
      <c r="F780" s="5" t="e">
        <f>IF((COUNTIFS(#REF!,$C780,#REF!,F$1))&gt;=1,"SIM","")</f>
        <v>#REF!</v>
      </c>
      <c r="G780" s="5" t="e">
        <f>IF((COUNTIFS(#REF!,$C780,#REF!,"*606*"))&gt;=1,"SIM","")</f>
        <v>#REF!</v>
      </c>
      <c r="H780" s="5" t="e">
        <f>IF((COUNTIFS(#REF!,$C780,#REF!,"*605*"))&gt;=1,"SIM","")</f>
        <v>#REF!</v>
      </c>
      <c r="I780" s="5" t="e">
        <f>IF((COUNTIFS(#REF!,$C780,#REF!,I$1))&gt;=1,"SIM","")</f>
        <v>#REF!</v>
      </c>
      <c r="J780" s="5" t="e">
        <f>IF((COUNTIFS(#REF!,$C780,#REF!,J$1))&gt;=1,"SIM","")</f>
        <v>#REF!</v>
      </c>
      <c r="K780" s="5" t="e">
        <f>IF((COUNTIFS(#REF!,$C780,#REF!,K$1))&gt;=1,"SIM","")</f>
        <v>#REF!</v>
      </c>
      <c r="L780" s="5" t="e">
        <f>IF((COUNTIFS(#REF!,$C780,#REF!,L$1))&gt;=1,"SIM","")</f>
        <v>#REF!</v>
      </c>
      <c r="M780" s="5" t="e">
        <f>IF((COUNTIFS(#REF!,$C780,#REF!,M$1))&gt;=1,"SIM","")</f>
        <v>#REF!</v>
      </c>
      <c r="N780" s="5" t="e">
        <f>IF((COUNTIFS(#REF!,$C780,#REF!,N$1))&gt;=1,"SIM","")</f>
        <v>#REF!</v>
      </c>
      <c r="O780" s="5"/>
      <c r="P780" s="5" t="e">
        <f>IF((COUNTIFS(#REF!,$C780,#REF!,P$1))&gt;=1,"SIM","")</f>
        <v>#REF!</v>
      </c>
      <c r="Q780" s="5" t="e">
        <f>IF((COUNTIFS(#REF!,$C780,#REF!,Q$1))&gt;=1,"SIM","")</f>
        <v>#REF!</v>
      </c>
      <c r="R780" s="5" t="e">
        <f>IF((COUNTIFS(#REF!,$C780,#REF!,"*CARTA*"))&gt;=1,"SIM","")</f>
        <v>#REF!</v>
      </c>
      <c r="S780" s="5" t="e">
        <f>IF((COUNTIFS(#REF!,$C780,#REF!,"*CARTA NOTIFICAÇÃO/DEVOL*"))&gt;=1,"SIM","")</f>
        <v>#REF!</v>
      </c>
      <c r="T780" s="5" t="e">
        <f>IF((COUNTIFS(#REF!,$C780,#REF!,"*LIGAÇÃO ATIVA DEV PRIN/LOC*"))&gt;=1,"SIM","")</f>
        <v>#REF!</v>
      </c>
    </row>
    <row r="781" spans="1:20">
      <c r="A781" s="24" t="s">
        <v>2159</v>
      </c>
      <c r="B781" s="24" t="s">
        <v>1033</v>
      </c>
      <c r="C781" s="24" t="s">
        <v>1034</v>
      </c>
      <c r="D781" s="5" t="e">
        <f>IF((COUNTIFS(#REF!,$C781,#REF!,"*163*"))&gt;=1,"SIM","")</f>
        <v>#REF!</v>
      </c>
      <c r="E781" s="5" t="e">
        <f>IF((COUNTIFS(#REF!,$C781,#REF!,E$1))&gt;=1,"SIM","")</f>
        <v>#REF!</v>
      </c>
      <c r="F781" s="5" t="e">
        <f>IF((COUNTIFS(#REF!,$C781,#REF!,F$1))&gt;=1,"SIM","")</f>
        <v>#REF!</v>
      </c>
      <c r="G781" s="5" t="e">
        <f>IF((COUNTIFS(#REF!,$C781,#REF!,"*606*"))&gt;=1,"SIM","")</f>
        <v>#REF!</v>
      </c>
      <c r="H781" s="5" t="e">
        <f>IF((COUNTIFS(#REF!,$C781,#REF!,"*605*"))&gt;=1,"SIM","")</f>
        <v>#REF!</v>
      </c>
      <c r="I781" s="5" t="e">
        <f>IF((COUNTIFS(#REF!,$C781,#REF!,I$1))&gt;=1,"SIM","")</f>
        <v>#REF!</v>
      </c>
      <c r="J781" s="5" t="e">
        <f>IF((COUNTIFS(#REF!,$C781,#REF!,J$1))&gt;=1,"SIM","")</f>
        <v>#REF!</v>
      </c>
      <c r="K781" s="5" t="e">
        <f>IF((COUNTIFS(#REF!,$C781,#REF!,K$1))&gt;=1,"SIM","")</f>
        <v>#REF!</v>
      </c>
      <c r="L781" s="5" t="e">
        <f>IF((COUNTIFS(#REF!,$C781,#REF!,L$1))&gt;=1,"SIM","")</f>
        <v>#REF!</v>
      </c>
      <c r="M781" s="5" t="e">
        <f>IF((COUNTIFS(#REF!,$C781,#REF!,M$1))&gt;=1,"SIM","")</f>
        <v>#REF!</v>
      </c>
      <c r="N781" s="5" t="e">
        <f>IF((COUNTIFS(#REF!,$C781,#REF!,N$1))&gt;=1,"SIM","")</f>
        <v>#REF!</v>
      </c>
      <c r="O781" s="5"/>
      <c r="P781" s="5" t="e">
        <f>IF((COUNTIFS(#REF!,$C781,#REF!,P$1))&gt;=1,"SIM","")</f>
        <v>#REF!</v>
      </c>
      <c r="Q781" s="5" t="e">
        <f>IF((COUNTIFS(#REF!,$C781,#REF!,Q$1))&gt;=1,"SIM","")</f>
        <v>#REF!</v>
      </c>
      <c r="R781" s="5" t="e">
        <f>IF((COUNTIFS(#REF!,$C781,#REF!,"*CARTA*"))&gt;=1,"SIM","")</f>
        <v>#REF!</v>
      </c>
      <c r="S781" s="5" t="e">
        <f>IF((COUNTIFS(#REF!,$C781,#REF!,"*CARTA NOTIFICAÇÃO/DEVOL*"))&gt;=1,"SIM","")</f>
        <v>#REF!</v>
      </c>
      <c r="T781" s="5" t="e">
        <f>IF((COUNTIFS(#REF!,$C781,#REF!,"*LIGAÇÃO ATIVA DEV PRIN/LOC*"))&gt;=1,"SIM","")</f>
        <v>#REF!</v>
      </c>
    </row>
    <row r="782" spans="1:20">
      <c r="A782" s="24" t="s">
        <v>2159</v>
      </c>
      <c r="B782" s="24" t="s">
        <v>900</v>
      </c>
      <c r="C782" s="24" t="s">
        <v>901</v>
      </c>
      <c r="D782" s="5" t="e">
        <f>IF((COUNTIFS(#REF!,$C782,#REF!,"*163*"))&gt;=1,"SIM","")</f>
        <v>#REF!</v>
      </c>
      <c r="E782" s="5" t="e">
        <f>IF((COUNTIFS(#REF!,$C782,#REF!,E$1))&gt;=1,"SIM","")</f>
        <v>#REF!</v>
      </c>
      <c r="F782" s="5" t="e">
        <f>IF((COUNTIFS(#REF!,$C782,#REF!,F$1))&gt;=1,"SIM","")</f>
        <v>#REF!</v>
      </c>
      <c r="G782" s="5" t="e">
        <f>IF((COUNTIFS(#REF!,$C782,#REF!,"*606*"))&gt;=1,"SIM","")</f>
        <v>#REF!</v>
      </c>
      <c r="H782" s="5" t="e">
        <f>IF((COUNTIFS(#REF!,$C782,#REF!,"*605*"))&gt;=1,"SIM","")</f>
        <v>#REF!</v>
      </c>
      <c r="I782" s="5" t="e">
        <f>IF((COUNTIFS(#REF!,$C782,#REF!,I$1))&gt;=1,"SIM","")</f>
        <v>#REF!</v>
      </c>
      <c r="J782" s="5" t="e">
        <f>IF((COUNTIFS(#REF!,$C782,#REF!,J$1))&gt;=1,"SIM","")</f>
        <v>#REF!</v>
      </c>
      <c r="K782" s="5" t="e">
        <f>IF((COUNTIFS(#REF!,$C782,#REF!,K$1))&gt;=1,"SIM","")</f>
        <v>#REF!</v>
      </c>
      <c r="L782" s="5" t="e">
        <f>IF((COUNTIFS(#REF!,$C782,#REF!,L$1))&gt;=1,"SIM","")</f>
        <v>#REF!</v>
      </c>
      <c r="M782" s="5" t="e">
        <f>IF((COUNTIFS(#REF!,$C782,#REF!,M$1))&gt;=1,"SIM","")</f>
        <v>#REF!</v>
      </c>
      <c r="N782" s="5" t="e">
        <f>IF((COUNTIFS(#REF!,$C782,#REF!,N$1))&gt;=1,"SIM","")</f>
        <v>#REF!</v>
      </c>
      <c r="O782" s="5"/>
      <c r="P782" s="5" t="e">
        <f>IF((COUNTIFS(#REF!,$C782,#REF!,P$1))&gt;=1,"SIM","")</f>
        <v>#REF!</v>
      </c>
      <c r="Q782" s="5" t="e">
        <f>IF((COUNTIFS(#REF!,$C782,#REF!,Q$1))&gt;=1,"SIM","")</f>
        <v>#REF!</v>
      </c>
      <c r="R782" s="5" t="e">
        <f>IF((COUNTIFS(#REF!,$C782,#REF!,"*CARTA*"))&gt;=1,"SIM","")</f>
        <v>#REF!</v>
      </c>
      <c r="S782" s="5" t="e">
        <f>IF((COUNTIFS(#REF!,$C782,#REF!,"*CARTA NOTIFICAÇÃO/DEVOL*"))&gt;=1,"SIM","")</f>
        <v>#REF!</v>
      </c>
      <c r="T782" s="5" t="e">
        <f>IF((COUNTIFS(#REF!,$C782,#REF!,"*LIGAÇÃO ATIVA DEV PRIN/LOC*"))&gt;=1,"SIM","")</f>
        <v>#REF!</v>
      </c>
    </row>
    <row r="783" spans="1:20">
      <c r="A783" s="24" t="s">
        <v>2158</v>
      </c>
      <c r="B783" s="24" t="s">
        <v>1720</v>
      </c>
      <c r="C783" s="24" t="s">
        <v>1721</v>
      </c>
      <c r="D783" s="5" t="e">
        <f>IF((COUNTIFS(#REF!,$C783,#REF!,"*163*"))&gt;=1,"SIM","")</f>
        <v>#REF!</v>
      </c>
      <c r="E783" s="5" t="e">
        <f>IF((COUNTIFS(#REF!,$C783,#REF!,E$1))&gt;=1,"SIM","")</f>
        <v>#REF!</v>
      </c>
      <c r="F783" s="5" t="e">
        <f>IF((COUNTIFS(#REF!,$C783,#REF!,F$1))&gt;=1,"SIM","")</f>
        <v>#REF!</v>
      </c>
      <c r="G783" s="5" t="e">
        <f>IF((COUNTIFS(#REF!,$C783,#REF!,"*606*"))&gt;=1,"SIM","")</f>
        <v>#REF!</v>
      </c>
      <c r="H783" s="5" t="e">
        <f>IF((COUNTIFS(#REF!,$C783,#REF!,"*605*"))&gt;=1,"SIM","")</f>
        <v>#REF!</v>
      </c>
      <c r="I783" s="5" t="e">
        <f>IF((COUNTIFS(#REF!,$C783,#REF!,I$1))&gt;=1,"SIM","")</f>
        <v>#REF!</v>
      </c>
      <c r="J783" s="5" t="e">
        <f>IF((COUNTIFS(#REF!,$C783,#REF!,J$1))&gt;=1,"SIM","")</f>
        <v>#REF!</v>
      </c>
      <c r="K783" s="5" t="e">
        <f>IF((COUNTIFS(#REF!,$C783,#REF!,K$1))&gt;=1,"SIM","")</f>
        <v>#REF!</v>
      </c>
      <c r="L783" s="5" t="e">
        <f>IF((COUNTIFS(#REF!,$C783,#REF!,L$1))&gt;=1,"SIM","")</f>
        <v>#REF!</v>
      </c>
      <c r="M783" s="5" t="e">
        <f>IF((COUNTIFS(#REF!,$C783,#REF!,M$1))&gt;=1,"SIM","")</f>
        <v>#REF!</v>
      </c>
      <c r="N783" s="5" t="e">
        <f>IF((COUNTIFS(#REF!,$C783,#REF!,N$1))&gt;=1,"SIM","")</f>
        <v>#REF!</v>
      </c>
      <c r="O783" s="5"/>
      <c r="P783" s="5" t="e">
        <f>IF((COUNTIFS(#REF!,$C783,#REF!,P$1))&gt;=1,"SIM","")</f>
        <v>#REF!</v>
      </c>
      <c r="Q783" s="5" t="e">
        <f>IF((COUNTIFS(#REF!,$C783,#REF!,Q$1))&gt;=1,"SIM","")</f>
        <v>#REF!</v>
      </c>
      <c r="R783" s="5" t="e">
        <f>IF((COUNTIFS(#REF!,$C783,#REF!,"*CARTA*"))&gt;=1,"SIM","")</f>
        <v>#REF!</v>
      </c>
      <c r="S783" s="5" t="e">
        <f>IF((COUNTIFS(#REF!,$C783,#REF!,"*CARTA NOTIFICAÇÃO/DEVOL*"))&gt;=1,"SIM","")</f>
        <v>#REF!</v>
      </c>
      <c r="T783" s="5" t="e">
        <f>IF((COUNTIFS(#REF!,$C783,#REF!,"*LIGAÇÃO ATIVA DEV PRIN/LOC*"))&gt;=1,"SIM","")</f>
        <v>#REF!</v>
      </c>
    </row>
  </sheetData>
  <autoFilter ref="A1:T783" xr:uid="{00000000-0009-0000-0000-000007000000}"/>
  <sortState xmlns:xlrd2="http://schemas.microsoft.com/office/spreadsheetml/2017/richdata2" ref="A2:C783">
    <sortCondition ref="C2:C783"/>
  </sortState>
  <pageMargins left="0.31496062992126" right="0.31496062992126" top="0.74803149606299202" bottom="0.74803149606299202" header="0.31496062992126" footer="0.31496062992126"/>
  <pageSetup paperSize="9" scale="55" orientation="landscape" r:id="rId1"/>
  <headerFooter>
    <oddFooter>&amp;CPágina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C295"/>
  <sheetViews>
    <sheetView showGridLines="0" tabSelected="1" zoomScale="70" zoomScaleNormal="70" workbookViewId="0">
      <pane ySplit="1" topLeftCell="A252" activePane="bottomLeft" state="frozen"/>
      <selection activeCell="E1" sqref="E1"/>
      <selection pane="bottomLeft" activeCell="C271" sqref="C271"/>
    </sheetView>
  </sheetViews>
  <sheetFormatPr defaultColWidth="9.140625" defaultRowHeight="15"/>
  <cols>
    <col min="1" max="1" width="27.140625" style="2" customWidth="1"/>
    <col min="2" max="2" width="27.85546875" style="16" customWidth="1"/>
    <col min="3" max="3" width="95.42578125" style="2" customWidth="1"/>
    <col min="4" max="4" width="16.85546875" style="2" customWidth="1"/>
    <col min="5" max="5" width="17" style="2" customWidth="1"/>
    <col min="6" max="6" width="21" style="7" customWidth="1"/>
    <col min="7" max="7" width="16.85546875" style="115" customWidth="1"/>
    <col min="8" max="8" width="18.42578125" style="7" customWidth="1"/>
    <col min="9" max="9" width="15.42578125" style="7" customWidth="1"/>
    <col min="10" max="10" width="18.42578125" style="7" customWidth="1"/>
    <col min="11" max="12" width="18" style="7" customWidth="1"/>
    <col min="13" max="13" width="17.140625" style="7" customWidth="1"/>
    <col min="14" max="14" width="18" style="7" customWidth="1"/>
    <col min="15" max="15" width="21" style="7" customWidth="1"/>
    <col min="16" max="16" width="39" style="7" customWidth="1"/>
    <col min="17" max="17" width="191.7109375" style="132" customWidth="1"/>
    <col min="18" max="18" width="10.140625" style="95" bestFit="1" customWidth="1"/>
    <col min="19" max="19" width="11.42578125" style="95" customWidth="1"/>
    <col min="20" max="44" width="9.140625" style="95"/>
    <col min="45" max="45" width="9.140625" style="95" customWidth="1"/>
    <col min="46" max="887" width="9.140625" style="95"/>
    <col min="888" max="16384" width="9.140625" style="2"/>
  </cols>
  <sheetData>
    <row r="1" spans="1:887" ht="54.75" customHeight="1">
      <c r="A1" s="143" t="s">
        <v>0</v>
      </c>
      <c r="B1" s="144" t="s">
        <v>1728</v>
      </c>
      <c r="C1" s="51" t="s">
        <v>2648</v>
      </c>
      <c r="D1" s="52" t="s">
        <v>2683</v>
      </c>
      <c r="E1" s="48" t="s">
        <v>2682</v>
      </c>
      <c r="F1" s="60" t="s">
        <v>2744</v>
      </c>
      <c r="G1" s="53" t="s">
        <v>2527</v>
      </c>
      <c r="H1" s="54" t="s">
        <v>2529</v>
      </c>
      <c r="I1" s="54" t="s">
        <v>2528</v>
      </c>
      <c r="J1" s="54" t="s">
        <v>3002</v>
      </c>
      <c r="K1" s="55" t="s">
        <v>2161</v>
      </c>
      <c r="L1" s="55" t="s">
        <v>2164</v>
      </c>
      <c r="M1" s="55" t="s">
        <v>2162</v>
      </c>
      <c r="N1" s="55" t="s">
        <v>2163</v>
      </c>
      <c r="O1" s="54" t="s">
        <v>2399</v>
      </c>
      <c r="P1" s="54" t="s">
        <v>2685</v>
      </c>
      <c r="Q1" s="131" t="s">
        <v>1742</v>
      </c>
    </row>
    <row r="2" spans="1:887" ht="20.100000000000001" customHeight="1">
      <c r="A2" s="191" t="str">
        <f>VLOOKUP(C2,'BASE DE DADOS'!A:B,2,FALSE)</f>
        <v>PREPARA INATIVOS</v>
      </c>
      <c r="B2" s="90" t="s">
        <v>481</v>
      </c>
      <c r="C2" s="191" t="s">
        <v>482</v>
      </c>
      <c r="D2" s="75">
        <v>247592.84</v>
      </c>
      <c r="E2" s="98">
        <v>98657.32</v>
      </c>
      <c r="F2" s="103"/>
      <c r="G2" s="192"/>
      <c r="H2" s="193"/>
      <c r="I2" s="193"/>
      <c r="J2" s="193"/>
      <c r="K2" s="193"/>
      <c r="L2" s="193"/>
      <c r="M2" s="193"/>
      <c r="N2" s="193" t="s">
        <v>1743</v>
      </c>
      <c r="O2" s="194">
        <v>44607</v>
      </c>
      <c r="P2" s="146" t="s">
        <v>2746</v>
      </c>
      <c r="Q2" s="195"/>
    </row>
    <row r="3" spans="1:887" ht="20.100000000000001" customHeight="1">
      <c r="A3" s="191" t="str">
        <f>VLOOKUP(C3,'BASE DE DADOS'!A:B,2,FALSE)</f>
        <v>ENSINA MAIS INATIVOS</v>
      </c>
      <c r="B3" s="90" t="s">
        <v>69</v>
      </c>
      <c r="C3" s="191" t="s">
        <v>70</v>
      </c>
      <c r="D3" s="75">
        <v>10764.75</v>
      </c>
      <c r="E3" s="75">
        <v>23372.31</v>
      </c>
      <c r="F3" s="103"/>
      <c r="G3" s="192"/>
      <c r="H3" s="193"/>
      <c r="I3" s="193"/>
      <c r="J3" s="193"/>
      <c r="K3" s="193"/>
      <c r="L3" s="193"/>
      <c r="M3" s="193"/>
      <c r="N3" s="193" t="s">
        <v>1743</v>
      </c>
      <c r="O3" s="194">
        <v>44818</v>
      </c>
      <c r="P3" s="146" t="s">
        <v>2780</v>
      </c>
      <c r="Q3" s="195" t="s">
        <v>2281</v>
      </c>
    </row>
    <row r="4" spans="1:887" ht="20.100000000000001" customHeight="1">
      <c r="A4" s="191" t="str">
        <f>VLOOKUP(C4,'BASE DE DADOS'!A:B,2,FALSE)</f>
        <v>PREPARA INATIVOS</v>
      </c>
      <c r="B4" s="90" t="s">
        <v>498</v>
      </c>
      <c r="C4" s="191" t="s">
        <v>499</v>
      </c>
      <c r="D4" s="75">
        <v>88418.25</v>
      </c>
      <c r="E4" s="76">
        <v>22921.63</v>
      </c>
      <c r="F4" s="103"/>
      <c r="G4" s="192"/>
      <c r="H4" s="193"/>
      <c r="I4" s="193"/>
      <c r="J4" s="193"/>
      <c r="K4" s="193"/>
      <c r="L4" s="193"/>
      <c r="M4" s="193"/>
      <c r="N4" s="193" t="s">
        <v>1743</v>
      </c>
      <c r="O4" s="194">
        <v>44721</v>
      </c>
      <c r="P4" s="146" t="s">
        <v>2747</v>
      </c>
      <c r="Q4" s="195"/>
    </row>
    <row r="5" spans="1:887" ht="20.100000000000001" customHeight="1">
      <c r="A5" s="191" t="str">
        <f>VLOOKUP(C5,'BASE DE DADOS'!A:B,2,FALSE)</f>
        <v>ENSINA MAIS INATIVOS</v>
      </c>
      <c r="B5" s="90" t="s">
        <v>2173</v>
      </c>
      <c r="C5" s="191" t="s">
        <v>14</v>
      </c>
      <c r="D5" s="75">
        <v>96836.46</v>
      </c>
      <c r="E5" s="76">
        <v>117836.36</v>
      </c>
      <c r="F5" s="103"/>
      <c r="G5" s="192"/>
      <c r="H5" s="193"/>
      <c r="I5" s="193"/>
      <c r="J5" s="193"/>
      <c r="K5" s="193"/>
      <c r="L5" s="193"/>
      <c r="M5" s="193"/>
      <c r="N5" s="193" t="s">
        <v>1743</v>
      </c>
      <c r="O5" s="194">
        <v>44516</v>
      </c>
      <c r="P5" s="146" t="s">
        <v>2748</v>
      </c>
      <c r="Q5" s="195"/>
      <c r="R5" s="109"/>
      <c r="S5" s="110"/>
    </row>
    <row r="6" spans="1:887" s="141" customFormat="1" ht="20.100000000000001" customHeight="1">
      <c r="A6" s="133" t="s">
        <v>2153</v>
      </c>
      <c r="B6" s="134" t="s">
        <v>384</v>
      </c>
      <c r="C6" s="133" t="s">
        <v>3532</v>
      </c>
      <c r="D6" s="135">
        <v>19916.34</v>
      </c>
      <c r="E6" s="136">
        <v>34097.47</v>
      </c>
      <c r="F6" s="137"/>
      <c r="G6" s="121"/>
      <c r="H6" s="64"/>
      <c r="I6" s="64"/>
      <c r="J6" s="64"/>
      <c r="K6" s="64"/>
      <c r="L6" s="64"/>
      <c r="M6" s="64"/>
      <c r="N6" s="64" t="s">
        <v>1743</v>
      </c>
      <c r="O6" s="142">
        <v>44645</v>
      </c>
      <c r="P6" s="150" t="s">
        <v>2751</v>
      </c>
      <c r="Q6" s="139" t="s">
        <v>2745</v>
      </c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0"/>
      <c r="BY6" s="140"/>
      <c r="BZ6" s="140"/>
      <c r="CA6" s="140"/>
      <c r="CB6" s="140"/>
      <c r="CC6" s="140"/>
      <c r="CD6" s="140"/>
      <c r="CE6" s="140"/>
      <c r="CF6" s="140"/>
      <c r="CG6" s="140"/>
      <c r="CH6" s="140"/>
      <c r="CI6" s="140"/>
      <c r="CJ6" s="140"/>
      <c r="CK6" s="140"/>
      <c r="CL6" s="140"/>
      <c r="CM6" s="140"/>
      <c r="CN6" s="140"/>
      <c r="CO6" s="140"/>
      <c r="CP6" s="140"/>
      <c r="CQ6" s="140"/>
      <c r="CR6" s="140"/>
      <c r="CS6" s="140"/>
      <c r="CT6" s="140"/>
      <c r="CU6" s="140"/>
      <c r="CV6" s="140"/>
      <c r="CW6" s="140"/>
      <c r="CX6" s="140"/>
      <c r="CY6" s="140"/>
      <c r="CZ6" s="140"/>
      <c r="DA6" s="140"/>
      <c r="DB6" s="140"/>
      <c r="DC6" s="140"/>
      <c r="DD6" s="140"/>
      <c r="DE6" s="140"/>
      <c r="DF6" s="140"/>
      <c r="DG6" s="140"/>
      <c r="DH6" s="140"/>
      <c r="DI6" s="140"/>
      <c r="DJ6" s="140"/>
      <c r="DK6" s="140"/>
      <c r="DL6" s="140"/>
      <c r="DM6" s="140"/>
      <c r="DN6" s="140"/>
      <c r="DO6" s="140"/>
      <c r="DP6" s="140"/>
      <c r="DQ6" s="140"/>
      <c r="DR6" s="140"/>
      <c r="DS6" s="140"/>
      <c r="DT6" s="140"/>
      <c r="DU6" s="140"/>
      <c r="DV6" s="140"/>
      <c r="DW6" s="140"/>
      <c r="DX6" s="140"/>
      <c r="DY6" s="140"/>
      <c r="DZ6" s="140"/>
      <c r="EA6" s="140"/>
      <c r="EB6" s="140"/>
      <c r="EC6" s="140"/>
      <c r="ED6" s="140"/>
      <c r="EE6" s="140"/>
      <c r="EF6" s="140"/>
      <c r="EG6" s="140"/>
      <c r="EH6" s="140"/>
      <c r="EI6" s="140"/>
      <c r="EJ6" s="140"/>
      <c r="EK6" s="140"/>
      <c r="EL6" s="140"/>
      <c r="EM6" s="140"/>
      <c r="EN6" s="140"/>
      <c r="EO6" s="140"/>
      <c r="EP6" s="140"/>
      <c r="EQ6" s="140"/>
      <c r="ER6" s="140"/>
      <c r="ES6" s="140"/>
      <c r="ET6" s="140"/>
      <c r="EU6" s="140"/>
      <c r="EV6" s="140"/>
      <c r="EW6" s="140"/>
      <c r="EX6" s="140"/>
      <c r="EY6" s="140"/>
      <c r="EZ6" s="140"/>
      <c r="FA6" s="140"/>
      <c r="FB6" s="140"/>
      <c r="FC6" s="140"/>
      <c r="FD6" s="140"/>
      <c r="FE6" s="140"/>
      <c r="FF6" s="140"/>
      <c r="FG6" s="140"/>
      <c r="FH6" s="140"/>
      <c r="FI6" s="140"/>
      <c r="FJ6" s="140"/>
      <c r="FK6" s="140"/>
      <c r="FL6" s="140"/>
      <c r="FM6" s="140"/>
      <c r="FN6" s="140"/>
      <c r="FO6" s="140"/>
      <c r="FP6" s="140"/>
      <c r="FQ6" s="140"/>
      <c r="FR6" s="140"/>
      <c r="FS6" s="140"/>
      <c r="FT6" s="140"/>
      <c r="FU6" s="140"/>
      <c r="FV6" s="140"/>
      <c r="FW6" s="140"/>
      <c r="FX6" s="140"/>
      <c r="FY6" s="140"/>
      <c r="FZ6" s="140"/>
      <c r="GA6" s="140"/>
      <c r="GB6" s="140"/>
      <c r="GC6" s="140"/>
      <c r="GD6" s="140"/>
      <c r="GE6" s="140"/>
      <c r="GF6" s="140"/>
      <c r="GG6" s="140"/>
      <c r="GH6" s="140"/>
      <c r="GI6" s="140"/>
      <c r="GJ6" s="140"/>
      <c r="GK6" s="140"/>
      <c r="GL6" s="140"/>
      <c r="GM6" s="140"/>
      <c r="GN6" s="140"/>
      <c r="GO6" s="140"/>
      <c r="GP6" s="140"/>
      <c r="GQ6" s="140"/>
      <c r="GR6" s="140"/>
      <c r="GS6" s="140"/>
      <c r="GT6" s="140"/>
      <c r="GU6" s="140"/>
      <c r="GV6" s="140"/>
      <c r="GW6" s="140"/>
      <c r="GX6" s="140"/>
      <c r="GY6" s="140"/>
      <c r="GZ6" s="140"/>
      <c r="HA6" s="140"/>
      <c r="HB6" s="140"/>
      <c r="HC6" s="140"/>
      <c r="HD6" s="140"/>
      <c r="HE6" s="140"/>
      <c r="HF6" s="140"/>
      <c r="HG6" s="140"/>
      <c r="HH6" s="140"/>
      <c r="HI6" s="140"/>
      <c r="HJ6" s="140"/>
      <c r="HK6" s="140"/>
      <c r="HL6" s="140"/>
      <c r="HM6" s="140"/>
      <c r="HN6" s="140"/>
      <c r="HO6" s="140"/>
      <c r="HP6" s="140"/>
      <c r="HQ6" s="140"/>
      <c r="HR6" s="140"/>
      <c r="HS6" s="140"/>
      <c r="HT6" s="140"/>
      <c r="HU6" s="140"/>
      <c r="HV6" s="140"/>
      <c r="HW6" s="140"/>
      <c r="HX6" s="140"/>
      <c r="HY6" s="140"/>
      <c r="HZ6" s="140"/>
      <c r="IA6" s="140"/>
      <c r="IB6" s="140"/>
      <c r="IC6" s="140"/>
      <c r="ID6" s="140"/>
      <c r="IE6" s="140"/>
      <c r="IF6" s="140"/>
      <c r="IG6" s="140"/>
      <c r="IH6" s="140"/>
      <c r="II6" s="140"/>
      <c r="IJ6" s="140"/>
      <c r="IK6" s="140"/>
      <c r="IL6" s="140"/>
      <c r="IM6" s="140"/>
      <c r="IN6" s="140"/>
      <c r="IO6" s="140"/>
      <c r="IP6" s="140"/>
      <c r="IQ6" s="140"/>
      <c r="IR6" s="140"/>
      <c r="IS6" s="140"/>
      <c r="IT6" s="140"/>
      <c r="IU6" s="140"/>
      <c r="IV6" s="140"/>
      <c r="IW6" s="140"/>
      <c r="IX6" s="140"/>
      <c r="IY6" s="140"/>
      <c r="IZ6" s="140"/>
      <c r="JA6" s="140"/>
      <c r="JB6" s="140"/>
      <c r="JC6" s="140"/>
      <c r="JD6" s="140"/>
      <c r="JE6" s="140"/>
      <c r="JF6" s="140"/>
      <c r="JG6" s="140"/>
      <c r="JH6" s="140"/>
      <c r="JI6" s="140"/>
      <c r="JJ6" s="140"/>
      <c r="JK6" s="140"/>
      <c r="JL6" s="140"/>
      <c r="JM6" s="140"/>
      <c r="JN6" s="140"/>
      <c r="JO6" s="140"/>
      <c r="JP6" s="140"/>
      <c r="JQ6" s="140"/>
      <c r="JR6" s="140"/>
      <c r="JS6" s="140"/>
      <c r="JT6" s="140"/>
      <c r="JU6" s="140"/>
      <c r="JV6" s="140"/>
      <c r="JW6" s="140"/>
      <c r="JX6" s="140"/>
      <c r="JY6" s="140"/>
      <c r="JZ6" s="140"/>
      <c r="KA6" s="140"/>
      <c r="KB6" s="140"/>
      <c r="KC6" s="140"/>
      <c r="KD6" s="140"/>
      <c r="KE6" s="140"/>
      <c r="KF6" s="140"/>
      <c r="KG6" s="140"/>
      <c r="KH6" s="140"/>
      <c r="KI6" s="140"/>
      <c r="KJ6" s="140"/>
      <c r="KK6" s="140"/>
      <c r="KL6" s="140"/>
      <c r="KM6" s="140"/>
      <c r="KN6" s="140"/>
      <c r="KO6" s="140"/>
      <c r="KP6" s="140"/>
      <c r="KQ6" s="140"/>
      <c r="KR6" s="140"/>
      <c r="KS6" s="140"/>
      <c r="KT6" s="140"/>
      <c r="KU6" s="140"/>
      <c r="KV6" s="140"/>
      <c r="KW6" s="140"/>
      <c r="KX6" s="140"/>
      <c r="KY6" s="140"/>
      <c r="KZ6" s="140"/>
      <c r="LA6" s="140"/>
      <c r="LB6" s="140"/>
      <c r="LC6" s="140"/>
      <c r="LD6" s="140"/>
      <c r="LE6" s="140"/>
      <c r="LF6" s="140"/>
      <c r="LG6" s="140"/>
      <c r="LH6" s="140"/>
      <c r="LI6" s="140"/>
      <c r="LJ6" s="140"/>
      <c r="LK6" s="140"/>
      <c r="LL6" s="140"/>
      <c r="LM6" s="140"/>
      <c r="LN6" s="140"/>
      <c r="LO6" s="140"/>
      <c r="LP6" s="140"/>
      <c r="LQ6" s="140"/>
      <c r="LR6" s="140"/>
      <c r="LS6" s="140"/>
      <c r="LT6" s="140"/>
      <c r="LU6" s="140"/>
      <c r="LV6" s="140"/>
      <c r="LW6" s="140"/>
      <c r="LX6" s="140"/>
      <c r="LY6" s="140"/>
      <c r="LZ6" s="140"/>
      <c r="MA6" s="140"/>
      <c r="MB6" s="140"/>
      <c r="MC6" s="140"/>
      <c r="MD6" s="140"/>
      <c r="ME6" s="140"/>
      <c r="MF6" s="140"/>
      <c r="MG6" s="140"/>
      <c r="MH6" s="140"/>
      <c r="MI6" s="140"/>
      <c r="MJ6" s="140"/>
      <c r="MK6" s="140"/>
      <c r="ML6" s="140"/>
      <c r="MM6" s="140"/>
      <c r="MN6" s="140"/>
      <c r="MO6" s="140"/>
      <c r="MP6" s="140"/>
      <c r="MQ6" s="140"/>
      <c r="MR6" s="140"/>
      <c r="MS6" s="140"/>
      <c r="MT6" s="140"/>
      <c r="MU6" s="140"/>
      <c r="MV6" s="140"/>
      <c r="MW6" s="140"/>
      <c r="MX6" s="140"/>
      <c r="MY6" s="140"/>
      <c r="MZ6" s="140"/>
      <c r="NA6" s="140"/>
      <c r="NB6" s="140"/>
      <c r="NC6" s="140"/>
      <c r="ND6" s="140"/>
      <c r="NE6" s="140"/>
      <c r="NF6" s="140"/>
      <c r="NG6" s="140"/>
      <c r="NH6" s="140"/>
      <c r="NI6" s="140"/>
      <c r="NJ6" s="140"/>
      <c r="NK6" s="140"/>
      <c r="NL6" s="140"/>
      <c r="NM6" s="140"/>
      <c r="NN6" s="140"/>
      <c r="NO6" s="140"/>
      <c r="NP6" s="140"/>
      <c r="NQ6" s="140"/>
      <c r="NR6" s="140"/>
      <c r="NS6" s="140"/>
      <c r="NT6" s="140"/>
      <c r="NU6" s="140"/>
      <c r="NV6" s="140"/>
      <c r="NW6" s="140"/>
      <c r="NX6" s="140"/>
      <c r="NY6" s="140"/>
      <c r="NZ6" s="140"/>
      <c r="OA6" s="140"/>
      <c r="OB6" s="140"/>
      <c r="OC6" s="140"/>
      <c r="OD6" s="140"/>
      <c r="OE6" s="140"/>
      <c r="OF6" s="140"/>
      <c r="OG6" s="140"/>
      <c r="OH6" s="140"/>
      <c r="OI6" s="140"/>
      <c r="OJ6" s="140"/>
      <c r="OK6" s="140"/>
      <c r="OL6" s="140"/>
      <c r="OM6" s="140"/>
      <c r="ON6" s="140"/>
      <c r="OO6" s="140"/>
      <c r="OP6" s="140"/>
      <c r="OQ6" s="140"/>
      <c r="OR6" s="140"/>
      <c r="OS6" s="140"/>
      <c r="OT6" s="140"/>
      <c r="OU6" s="140"/>
      <c r="OV6" s="140"/>
      <c r="OW6" s="140"/>
      <c r="OX6" s="140"/>
      <c r="OY6" s="140"/>
      <c r="OZ6" s="140"/>
      <c r="PA6" s="140"/>
      <c r="PB6" s="140"/>
      <c r="PC6" s="140"/>
      <c r="PD6" s="140"/>
      <c r="PE6" s="140"/>
      <c r="PF6" s="140"/>
      <c r="PG6" s="140"/>
      <c r="PH6" s="140"/>
      <c r="PI6" s="140"/>
      <c r="PJ6" s="140"/>
      <c r="PK6" s="140"/>
      <c r="PL6" s="140"/>
      <c r="PM6" s="140"/>
      <c r="PN6" s="140"/>
      <c r="PO6" s="140"/>
      <c r="PP6" s="140"/>
      <c r="PQ6" s="140"/>
      <c r="PR6" s="140"/>
      <c r="PS6" s="140"/>
      <c r="PT6" s="140"/>
      <c r="PU6" s="140"/>
      <c r="PV6" s="140"/>
      <c r="PW6" s="140"/>
      <c r="PX6" s="140"/>
      <c r="PY6" s="140"/>
      <c r="PZ6" s="140"/>
      <c r="QA6" s="140"/>
      <c r="QB6" s="140"/>
      <c r="QC6" s="140"/>
      <c r="QD6" s="140"/>
      <c r="QE6" s="140"/>
      <c r="QF6" s="140"/>
      <c r="QG6" s="140"/>
      <c r="QH6" s="140"/>
      <c r="QI6" s="140"/>
      <c r="QJ6" s="140"/>
      <c r="QK6" s="140"/>
      <c r="QL6" s="140"/>
      <c r="QM6" s="140"/>
      <c r="QN6" s="140"/>
      <c r="QO6" s="140"/>
      <c r="QP6" s="140"/>
      <c r="QQ6" s="140"/>
      <c r="QR6" s="140"/>
      <c r="QS6" s="140"/>
      <c r="QT6" s="140"/>
      <c r="QU6" s="140"/>
      <c r="QV6" s="140"/>
      <c r="QW6" s="140"/>
      <c r="QX6" s="140"/>
      <c r="QY6" s="140"/>
      <c r="QZ6" s="140"/>
      <c r="RA6" s="140"/>
      <c r="RB6" s="140"/>
      <c r="RC6" s="140"/>
      <c r="RD6" s="140"/>
      <c r="RE6" s="140"/>
      <c r="RF6" s="140"/>
      <c r="RG6" s="140"/>
      <c r="RH6" s="140"/>
      <c r="RI6" s="140"/>
      <c r="RJ6" s="140"/>
      <c r="RK6" s="140"/>
      <c r="RL6" s="140"/>
      <c r="RM6" s="140"/>
      <c r="RN6" s="140"/>
      <c r="RO6" s="140"/>
      <c r="RP6" s="140"/>
      <c r="RQ6" s="140"/>
      <c r="RR6" s="140"/>
      <c r="RS6" s="140"/>
      <c r="RT6" s="140"/>
      <c r="RU6" s="140"/>
      <c r="RV6" s="140"/>
      <c r="RW6" s="140"/>
      <c r="RX6" s="140"/>
      <c r="RY6" s="140"/>
      <c r="RZ6" s="140"/>
      <c r="SA6" s="140"/>
      <c r="SB6" s="140"/>
      <c r="SC6" s="140"/>
      <c r="SD6" s="140"/>
      <c r="SE6" s="140"/>
      <c r="SF6" s="140"/>
      <c r="SG6" s="140"/>
      <c r="SH6" s="140"/>
      <c r="SI6" s="140"/>
      <c r="SJ6" s="140"/>
      <c r="SK6" s="140"/>
      <c r="SL6" s="140"/>
      <c r="SM6" s="140"/>
      <c r="SN6" s="140"/>
      <c r="SO6" s="140"/>
      <c r="SP6" s="140"/>
      <c r="SQ6" s="140"/>
      <c r="SR6" s="140"/>
      <c r="SS6" s="140"/>
      <c r="ST6" s="140"/>
      <c r="SU6" s="140"/>
      <c r="SV6" s="140"/>
      <c r="SW6" s="140"/>
      <c r="SX6" s="140"/>
      <c r="SY6" s="140"/>
      <c r="SZ6" s="140"/>
      <c r="TA6" s="140"/>
      <c r="TB6" s="140"/>
      <c r="TC6" s="140"/>
      <c r="TD6" s="140"/>
      <c r="TE6" s="140"/>
      <c r="TF6" s="140"/>
      <c r="TG6" s="140"/>
      <c r="TH6" s="140"/>
      <c r="TI6" s="140"/>
      <c r="TJ6" s="140"/>
      <c r="TK6" s="140"/>
      <c r="TL6" s="140"/>
      <c r="TM6" s="140"/>
      <c r="TN6" s="140"/>
      <c r="TO6" s="140"/>
      <c r="TP6" s="140"/>
      <c r="TQ6" s="140"/>
      <c r="TR6" s="140"/>
      <c r="TS6" s="140"/>
      <c r="TT6" s="140"/>
      <c r="TU6" s="140"/>
      <c r="TV6" s="140"/>
      <c r="TW6" s="140"/>
      <c r="TX6" s="140"/>
      <c r="TY6" s="140"/>
      <c r="TZ6" s="140"/>
      <c r="UA6" s="140"/>
      <c r="UB6" s="140"/>
      <c r="UC6" s="140"/>
      <c r="UD6" s="140"/>
      <c r="UE6" s="140"/>
      <c r="UF6" s="140"/>
      <c r="UG6" s="140"/>
      <c r="UH6" s="140"/>
      <c r="UI6" s="140"/>
      <c r="UJ6" s="140"/>
      <c r="UK6" s="140"/>
      <c r="UL6" s="140"/>
      <c r="UM6" s="140"/>
      <c r="UN6" s="140"/>
      <c r="UO6" s="140"/>
      <c r="UP6" s="140"/>
      <c r="UQ6" s="140"/>
      <c r="UR6" s="140"/>
      <c r="US6" s="140"/>
      <c r="UT6" s="140"/>
      <c r="UU6" s="140"/>
      <c r="UV6" s="140"/>
      <c r="UW6" s="140"/>
      <c r="UX6" s="140"/>
      <c r="UY6" s="140"/>
      <c r="UZ6" s="140"/>
      <c r="VA6" s="140"/>
      <c r="VB6" s="140"/>
      <c r="VC6" s="140"/>
      <c r="VD6" s="140"/>
      <c r="VE6" s="140"/>
      <c r="VF6" s="140"/>
      <c r="VG6" s="140"/>
      <c r="VH6" s="140"/>
      <c r="VI6" s="140"/>
      <c r="VJ6" s="140"/>
      <c r="VK6" s="140"/>
      <c r="VL6" s="140"/>
      <c r="VM6" s="140"/>
      <c r="VN6" s="140"/>
      <c r="VO6" s="140"/>
      <c r="VP6" s="140"/>
      <c r="VQ6" s="140"/>
      <c r="VR6" s="140"/>
      <c r="VS6" s="140"/>
      <c r="VT6" s="140"/>
      <c r="VU6" s="140"/>
      <c r="VV6" s="140"/>
      <c r="VW6" s="140"/>
      <c r="VX6" s="140"/>
      <c r="VY6" s="140"/>
      <c r="VZ6" s="140"/>
      <c r="WA6" s="140"/>
      <c r="WB6" s="140"/>
      <c r="WC6" s="140"/>
      <c r="WD6" s="140"/>
      <c r="WE6" s="140"/>
      <c r="WF6" s="140"/>
      <c r="WG6" s="140"/>
      <c r="WH6" s="140"/>
      <c r="WI6" s="140"/>
      <c r="WJ6" s="140"/>
      <c r="WK6" s="140"/>
      <c r="WL6" s="140"/>
      <c r="WM6" s="140"/>
      <c r="WN6" s="140"/>
      <c r="WO6" s="140"/>
      <c r="WP6" s="140"/>
      <c r="WQ6" s="140"/>
      <c r="WR6" s="140"/>
      <c r="WS6" s="140"/>
      <c r="WT6" s="140"/>
      <c r="WU6" s="140"/>
      <c r="WV6" s="140"/>
      <c r="WW6" s="140"/>
      <c r="WX6" s="140"/>
      <c r="WY6" s="140"/>
      <c r="WZ6" s="140"/>
      <c r="XA6" s="140"/>
      <c r="XB6" s="140"/>
      <c r="XC6" s="140"/>
      <c r="XD6" s="140"/>
      <c r="XE6" s="140"/>
      <c r="XF6" s="140"/>
      <c r="XG6" s="140"/>
      <c r="XH6" s="140"/>
      <c r="XI6" s="140"/>
      <c r="XJ6" s="140"/>
      <c r="XK6" s="140"/>
      <c r="XL6" s="140"/>
      <c r="XM6" s="140"/>
      <c r="XN6" s="140"/>
      <c r="XO6" s="140"/>
      <c r="XP6" s="140"/>
      <c r="XQ6" s="140"/>
      <c r="XR6" s="140"/>
      <c r="XS6" s="140"/>
      <c r="XT6" s="140"/>
      <c r="XU6" s="140"/>
      <c r="XV6" s="140"/>
      <c r="XW6" s="140"/>
      <c r="XX6" s="140"/>
      <c r="XY6" s="140"/>
      <c r="XZ6" s="140"/>
      <c r="YA6" s="140"/>
      <c r="YB6" s="140"/>
      <c r="YC6" s="140"/>
      <c r="YD6" s="140"/>
      <c r="YE6" s="140"/>
      <c r="YF6" s="140"/>
      <c r="YG6" s="140"/>
      <c r="YH6" s="140"/>
      <c r="YI6" s="140"/>
      <c r="YJ6" s="140"/>
      <c r="YK6" s="140"/>
      <c r="YL6" s="140"/>
      <c r="YM6" s="140"/>
      <c r="YN6" s="140"/>
      <c r="YO6" s="140"/>
      <c r="YP6" s="140"/>
      <c r="YQ6" s="140"/>
      <c r="YR6" s="140"/>
      <c r="YS6" s="140"/>
      <c r="YT6" s="140"/>
      <c r="YU6" s="140"/>
      <c r="YV6" s="140"/>
      <c r="YW6" s="140"/>
      <c r="YX6" s="140"/>
      <c r="YY6" s="140"/>
      <c r="YZ6" s="140"/>
      <c r="ZA6" s="140"/>
      <c r="ZB6" s="140"/>
      <c r="ZC6" s="140"/>
      <c r="ZD6" s="140"/>
      <c r="ZE6" s="140"/>
      <c r="ZF6" s="140"/>
      <c r="ZG6" s="140"/>
      <c r="ZH6" s="140"/>
      <c r="ZI6" s="140"/>
      <c r="ZJ6" s="140"/>
      <c r="ZK6" s="140"/>
      <c r="ZL6" s="140"/>
      <c r="ZM6" s="140"/>
      <c r="ZN6" s="140"/>
      <c r="ZO6" s="140"/>
      <c r="ZP6" s="140"/>
      <c r="ZQ6" s="140"/>
      <c r="ZR6" s="140"/>
      <c r="ZS6" s="140"/>
      <c r="ZT6" s="140"/>
      <c r="ZU6" s="140"/>
      <c r="ZV6" s="140"/>
      <c r="ZW6" s="140"/>
      <c r="ZX6" s="140"/>
      <c r="ZY6" s="140"/>
      <c r="ZZ6" s="140"/>
      <c r="AAA6" s="140"/>
      <c r="AAB6" s="140"/>
      <c r="AAC6" s="140"/>
      <c r="AAD6" s="140"/>
      <c r="AAE6" s="140"/>
      <c r="AAF6" s="140"/>
      <c r="AAG6" s="140"/>
      <c r="AAH6" s="140"/>
      <c r="AAI6" s="140"/>
      <c r="AAJ6" s="140"/>
      <c r="AAK6" s="140"/>
      <c r="AAL6" s="140"/>
      <c r="AAM6" s="140"/>
      <c r="AAN6" s="140"/>
      <c r="AAO6" s="140"/>
      <c r="AAP6" s="140"/>
      <c r="AAQ6" s="140"/>
      <c r="AAR6" s="140"/>
      <c r="AAS6" s="140"/>
      <c r="AAT6" s="140"/>
      <c r="AAU6" s="140"/>
      <c r="AAV6" s="140"/>
      <c r="AAW6" s="140"/>
      <c r="AAX6" s="140"/>
      <c r="AAY6" s="140"/>
      <c r="AAZ6" s="140"/>
      <c r="ABA6" s="140"/>
      <c r="ABB6" s="140"/>
      <c r="ABC6" s="140"/>
      <c r="ABD6" s="140"/>
      <c r="ABE6" s="140"/>
      <c r="ABF6" s="140"/>
      <c r="ABG6" s="140"/>
      <c r="ABH6" s="140"/>
      <c r="ABI6" s="140"/>
      <c r="ABJ6" s="140"/>
      <c r="ABK6" s="140"/>
      <c r="ABL6" s="140"/>
      <c r="ABM6" s="140"/>
      <c r="ABN6" s="140"/>
      <c r="ABO6" s="140"/>
      <c r="ABP6" s="140"/>
      <c r="ABQ6" s="140"/>
      <c r="ABR6" s="140"/>
      <c r="ABS6" s="140"/>
      <c r="ABT6" s="140"/>
      <c r="ABU6" s="140"/>
      <c r="ABV6" s="140"/>
      <c r="ABW6" s="140"/>
      <c r="ABX6" s="140"/>
      <c r="ABY6" s="140"/>
      <c r="ABZ6" s="140"/>
      <c r="ACA6" s="140"/>
      <c r="ACB6" s="140"/>
      <c r="ACC6" s="140"/>
      <c r="ACD6" s="140"/>
      <c r="ACE6" s="140"/>
      <c r="ACF6" s="140"/>
      <c r="ACG6" s="140"/>
      <c r="ACH6" s="140"/>
      <c r="ACI6" s="140"/>
      <c r="ACJ6" s="140"/>
      <c r="ACK6" s="140"/>
      <c r="ACL6" s="140"/>
      <c r="ACM6" s="140"/>
      <c r="ACN6" s="140"/>
      <c r="ACO6" s="140"/>
      <c r="ACP6" s="140"/>
      <c r="ACQ6" s="140"/>
      <c r="ACR6" s="140"/>
      <c r="ACS6" s="140"/>
      <c r="ACT6" s="140"/>
      <c r="ACU6" s="140"/>
      <c r="ACV6" s="140"/>
      <c r="ACW6" s="140"/>
      <c r="ACX6" s="140"/>
      <c r="ACY6" s="140"/>
      <c r="ACZ6" s="140"/>
      <c r="ADA6" s="140"/>
      <c r="ADB6" s="140"/>
      <c r="ADC6" s="140"/>
      <c r="ADD6" s="140"/>
      <c r="ADE6" s="140"/>
      <c r="ADF6" s="140"/>
      <c r="ADG6" s="140"/>
      <c r="ADH6" s="140"/>
      <c r="ADI6" s="140"/>
      <c r="ADJ6" s="140"/>
      <c r="ADK6" s="140"/>
      <c r="ADL6" s="140"/>
      <c r="ADM6" s="140"/>
      <c r="ADN6" s="140"/>
      <c r="ADO6" s="140"/>
      <c r="ADP6" s="140"/>
      <c r="ADQ6" s="140"/>
      <c r="ADR6" s="140"/>
      <c r="ADS6" s="140"/>
      <c r="ADT6" s="140"/>
      <c r="ADU6" s="140"/>
      <c r="ADV6" s="140"/>
      <c r="ADW6" s="140"/>
      <c r="ADX6" s="140"/>
      <c r="ADY6" s="140"/>
      <c r="ADZ6" s="140"/>
      <c r="AEA6" s="140"/>
      <c r="AEB6" s="140"/>
      <c r="AEC6" s="140"/>
      <c r="AED6" s="140"/>
      <c r="AEE6" s="140"/>
      <c r="AEF6" s="140"/>
      <c r="AEG6" s="140"/>
      <c r="AEH6" s="140"/>
      <c r="AEI6" s="140"/>
      <c r="AEJ6" s="140"/>
      <c r="AEK6" s="140"/>
      <c r="AEL6" s="140"/>
      <c r="AEM6" s="140"/>
      <c r="AEN6" s="140"/>
      <c r="AEO6" s="140"/>
      <c r="AEP6" s="140"/>
      <c r="AEQ6" s="140"/>
      <c r="AER6" s="140"/>
      <c r="AES6" s="140"/>
      <c r="AET6" s="140"/>
      <c r="AEU6" s="140"/>
      <c r="AEV6" s="140"/>
      <c r="AEW6" s="140"/>
      <c r="AEX6" s="140"/>
      <c r="AEY6" s="140"/>
      <c r="AEZ6" s="140"/>
      <c r="AFA6" s="140"/>
      <c r="AFB6" s="140"/>
      <c r="AFC6" s="140"/>
      <c r="AFD6" s="140"/>
      <c r="AFE6" s="140"/>
      <c r="AFF6" s="140"/>
      <c r="AFG6" s="140"/>
      <c r="AFH6" s="140"/>
      <c r="AFI6" s="140"/>
      <c r="AFJ6" s="140"/>
      <c r="AFK6" s="140"/>
      <c r="AFL6" s="140"/>
      <c r="AFM6" s="140"/>
      <c r="AFN6" s="140"/>
      <c r="AFO6" s="140"/>
      <c r="AFP6" s="140"/>
      <c r="AFQ6" s="140"/>
      <c r="AFR6" s="140"/>
      <c r="AFS6" s="140"/>
      <c r="AFT6" s="140"/>
      <c r="AFU6" s="140"/>
      <c r="AFV6" s="140"/>
      <c r="AFW6" s="140"/>
      <c r="AFX6" s="140"/>
      <c r="AFY6" s="140"/>
      <c r="AFZ6" s="140"/>
      <c r="AGA6" s="140"/>
      <c r="AGB6" s="140"/>
      <c r="AGC6" s="140"/>
      <c r="AGD6" s="140"/>
      <c r="AGE6" s="140"/>
      <c r="AGF6" s="140"/>
      <c r="AGG6" s="140"/>
      <c r="AGH6" s="140"/>
      <c r="AGI6" s="140"/>
      <c r="AGJ6" s="140"/>
      <c r="AGK6" s="140"/>
      <c r="AGL6" s="140"/>
      <c r="AGM6" s="140"/>
      <c r="AGN6" s="140"/>
      <c r="AGO6" s="140"/>
      <c r="AGP6" s="140"/>
      <c r="AGQ6" s="140"/>
      <c r="AGR6" s="140"/>
      <c r="AGS6" s="140"/>
      <c r="AGT6" s="140"/>
      <c r="AGU6" s="140"/>
      <c r="AGV6" s="140"/>
      <c r="AGW6" s="140"/>
      <c r="AGX6" s="140"/>
      <c r="AGY6" s="140"/>
      <c r="AGZ6" s="140"/>
      <c r="AHA6" s="140"/>
      <c r="AHB6" s="140"/>
      <c r="AHC6" s="140"/>
    </row>
    <row r="7" spans="1:887" ht="20.100000000000001" customHeight="1">
      <c r="A7" s="191" t="str">
        <f>VLOOKUP(C7,'BASE DE DADOS'!A:B,2,FALSE)</f>
        <v>PREPARA INATIVOS</v>
      </c>
      <c r="B7" s="90" t="s">
        <v>592</v>
      </c>
      <c r="C7" s="191" t="s">
        <v>593</v>
      </c>
      <c r="D7" s="75">
        <v>50921</v>
      </c>
      <c r="E7" s="76">
        <v>14750.62</v>
      </c>
      <c r="F7" s="103"/>
      <c r="G7" s="192"/>
      <c r="H7" s="193"/>
      <c r="I7" s="193"/>
      <c r="J7" s="193"/>
      <c r="K7" s="193"/>
      <c r="L7" s="193"/>
      <c r="M7" s="193"/>
      <c r="N7" s="193" t="s">
        <v>1743</v>
      </c>
      <c r="O7" s="194">
        <v>44853</v>
      </c>
      <c r="P7" s="146" t="s">
        <v>2749</v>
      </c>
      <c r="Q7" s="195" t="s">
        <v>2352</v>
      </c>
    </row>
    <row r="8" spans="1:887" ht="20.100000000000001" customHeight="1">
      <c r="A8" s="191" t="str">
        <f>VLOOKUP(C8,'BASE DE DADOS'!A:B,2,FALSE)</f>
        <v>PREPARA INATIVOS</v>
      </c>
      <c r="B8" s="90" t="s">
        <v>342</v>
      </c>
      <c r="C8" s="191" t="s">
        <v>343</v>
      </c>
      <c r="D8" s="75">
        <v>26244.5</v>
      </c>
      <c r="E8" s="76">
        <v>8997.1200000000008</v>
      </c>
      <c r="F8" s="103"/>
      <c r="G8" s="192"/>
      <c r="H8" s="193"/>
      <c r="I8" s="193"/>
      <c r="J8" s="193"/>
      <c r="K8" s="193"/>
      <c r="L8" s="193"/>
      <c r="M8" s="193"/>
      <c r="N8" s="193" t="s">
        <v>1743</v>
      </c>
      <c r="O8" s="194">
        <v>45084</v>
      </c>
      <c r="P8" s="146" t="s">
        <v>2781</v>
      </c>
      <c r="Q8" s="195" t="s">
        <v>2405</v>
      </c>
    </row>
    <row r="9" spans="1:887" ht="20.100000000000001" customHeight="1">
      <c r="A9" s="191" t="str">
        <f>VLOOKUP(C9,'BASE DE DADOS'!A:B,2,FALSE)</f>
        <v>PREPARA INATIVOS</v>
      </c>
      <c r="B9" s="90" t="s">
        <v>880</v>
      </c>
      <c r="C9" s="196" t="s">
        <v>881</v>
      </c>
      <c r="D9" s="75">
        <v>87519.41</v>
      </c>
      <c r="E9" s="76">
        <v>79056.87</v>
      </c>
      <c r="F9" s="103"/>
      <c r="G9" s="192"/>
      <c r="H9" s="193"/>
      <c r="I9" s="193"/>
      <c r="J9" s="193"/>
      <c r="K9" s="193"/>
      <c r="L9" s="193"/>
      <c r="M9" s="61"/>
      <c r="N9" s="193" t="s">
        <v>1743</v>
      </c>
      <c r="O9" s="102">
        <v>45682</v>
      </c>
      <c r="P9" s="146" t="s">
        <v>2750</v>
      </c>
      <c r="Q9" s="197" t="s">
        <v>2605</v>
      </c>
    </row>
    <row r="10" spans="1:887" ht="20.100000000000001" customHeight="1">
      <c r="A10" s="191" t="str">
        <f>VLOOKUP(C10,'BASE DE DADOS'!A:B,2,FALSE)</f>
        <v>MICROLINS INATIVOS</v>
      </c>
      <c r="B10" s="90" t="s">
        <v>1175</v>
      </c>
      <c r="C10" s="191" t="s">
        <v>1176</v>
      </c>
      <c r="D10" s="75">
        <v>142117.20000000001</v>
      </c>
      <c r="E10" s="76">
        <v>236518.82</v>
      </c>
      <c r="F10" s="103"/>
      <c r="G10" s="192"/>
      <c r="H10" s="193"/>
      <c r="I10" s="193"/>
      <c r="J10" s="193"/>
      <c r="K10" s="193"/>
      <c r="L10" s="193"/>
      <c r="M10" s="193"/>
      <c r="N10" s="193" t="s">
        <v>1743</v>
      </c>
      <c r="O10" s="194">
        <v>44691</v>
      </c>
      <c r="P10" s="146" t="s">
        <v>2752</v>
      </c>
      <c r="Q10" s="195"/>
    </row>
    <row r="11" spans="1:887" ht="20.100000000000001" customHeight="1">
      <c r="A11" s="198" t="str">
        <f>VLOOKUP(C11,'BASE DE DADOS'!A:B,2,FALSE)</f>
        <v>PREPARA INATIVOS</v>
      </c>
      <c r="B11" s="199" t="s">
        <v>542</v>
      </c>
      <c r="C11" s="198" t="s">
        <v>543</v>
      </c>
      <c r="D11" s="162">
        <v>100000</v>
      </c>
      <c r="E11" s="162"/>
      <c r="F11" s="163"/>
      <c r="G11" s="200"/>
      <c r="H11" s="201"/>
      <c r="I11" s="201"/>
      <c r="J11" s="201" t="s">
        <v>1743</v>
      </c>
      <c r="K11" s="201"/>
      <c r="L11" s="201"/>
      <c r="M11" s="201"/>
      <c r="N11" s="201"/>
      <c r="O11" s="201"/>
      <c r="P11" s="157"/>
      <c r="Q11" s="195" t="s">
        <v>2421</v>
      </c>
    </row>
    <row r="12" spans="1:887" ht="20.100000000000001" customHeight="1">
      <c r="A12" s="191" t="str">
        <f>VLOOKUP(C12,'BASE DE DADOS'!A:B,2,FALSE)</f>
        <v>PREPARA INATIVOS</v>
      </c>
      <c r="B12" s="90" t="s">
        <v>87</v>
      </c>
      <c r="C12" s="191" t="s">
        <v>88</v>
      </c>
      <c r="D12" s="75">
        <v>10468.48</v>
      </c>
      <c r="E12" s="98">
        <v>18217.98</v>
      </c>
      <c r="F12" s="103"/>
      <c r="G12" s="192"/>
      <c r="H12" s="193"/>
      <c r="I12" s="193"/>
      <c r="J12" s="193"/>
      <c r="K12" s="193"/>
      <c r="L12" s="193"/>
      <c r="M12" s="193"/>
      <c r="N12" s="193" t="s">
        <v>1743</v>
      </c>
      <c r="O12" s="202">
        <v>44573</v>
      </c>
      <c r="P12" s="145" t="s">
        <v>2753</v>
      </c>
      <c r="Q12" s="195"/>
    </row>
    <row r="13" spans="1:887" ht="20.100000000000001" customHeight="1">
      <c r="A13" s="198" t="str">
        <f>VLOOKUP(C13,'BASE DE DADOS'!A:B,2,FALSE)</f>
        <v>PREPARA INATIVOS</v>
      </c>
      <c r="B13" s="199" t="s">
        <v>348</v>
      </c>
      <c r="C13" s="198" t="s">
        <v>349</v>
      </c>
      <c r="D13" s="162">
        <v>166771.65</v>
      </c>
      <c r="E13" s="162"/>
      <c r="F13" s="163"/>
      <c r="G13" s="200"/>
      <c r="H13" s="201"/>
      <c r="I13" s="201"/>
      <c r="J13" s="201" t="s">
        <v>1743</v>
      </c>
      <c r="K13" s="201"/>
      <c r="L13" s="201"/>
      <c r="M13" s="201"/>
      <c r="N13" s="201"/>
      <c r="O13" s="201"/>
      <c r="P13" s="157"/>
      <c r="Q13" s="195" t="s">
        <v>2359</v>
      </c>
    </row>
    <row r="14" spans="1:887" ht="20.100000000000001" customHeight="1">
      <c r="A14" s="191" t="str">
        <f>VLOOKUP(C14,'BASE DE DADOS'!A:B,2,FALSE)</f>
        <v>PREPARA INATIVOS</v>
      </c>
      <c r="B14" s="90" t="s">
        <v>750</v>
      </c>
      <c r="C14" s="191" t="s">
        <v>751</v>
      </c>
      <c r="D14" s="75">
        <v>20707.3</v>
      </c>
      <c r="E14" s="76">
        <v>30901.51</v>
      </c>
      <c r="F14" s="103"/>
      <c r="G14" s="192"/>
      <c r="H14" s="193"/>
      <c r="I14" s="193"/>
      <c r="J14" s="193"/>
      <c r="K14" s="193"/>
      <c r="L14" s="193"/>
      <c r="M14" s="193"/>
      <c r="N14" s="193" t="s">
        <v>1743</v>
      </c>
      <c r="O14" s="202">
        <v>44657</v>
      </c>
      <c r="P14" s="146" t="s">
        <v>2755</v>
      </c>
      <c r="Q14" s="195"/>
    </row>
    <row r="15" spans="1:887" ht="20.100000000000001" customHeight="1">
      <c r="A15" s="191" t="str">
        <f>VLOOKUP(C15,'BASE DE DADOS'!A:B,2,FALSE)</f>
        <v>ENSINA MAIS INATIVOS</v>
      </c>
      <c r="B15" s="90" t="s">
        <v>2174</v>
      </c>
      <c r="C15" s="62" t="s">
        <v>26</v>
      </c>
      <c r="D15" s="75">
        <v>14636.12</v>
      </c>
      <c r="E15" s="76">
        <v>83388.800000000003</v>
      </c>
      <c r="F15" s="103"/>
      <c r="G15" s="192"/>
      <c r="H15" s="193"/>
      <c r="I15" s="193"/>
      <c r="J15" s="193"/>
      <c r="K15" s="193"/>
      <c r="L15" s="193"/>
      <c r="M15" s="193"/>
      <c r="N15" s="193" t="s">
        <v>1743</v>
      </c>
      <c r="O15" s="202">
        <v>44494</v>
      </c>
      <c r="P15" s="146" t="s">
        <v>2785</v>
      </c>
      <c r="Q15" s="195"/>
      <c r="R15" s="109">
        <v>83388.800000000003</v>
      </c>
      <c r="S15" s="95" t="s">
        <v>2639</v>
      </c>
    </row>
    <row r="16" spans="1:887" ht="20.100000000000001" customHeight="1">
      <c r="A16" s="191" t="str">
        <f>VLOOKUP(C16,'BASE DE DADOS'!A:B,2,FALSE)</f>
        <v>MICROLINS INATIVOS</v>
      </c>
      <c r="B16" s="90" t="s">
        <v>1312</v>
      </c>
      <c r="C16" s="191" t="s">
        <v>1313</v>
      </c>
      <c r="D16" s="75">
        <v>20254.849999999999</v>
      </c>
      <c r="E16" s="76">
        <v>23704.98</v>
      </c>
      <c r="F16" s="103"/>
      <c r="G16" s="192"/>
      <c r="H16" s="193"/>
      <c r="I16" s="193"/>
      <c r="J16" s="193"/>
      <c r="K16" s="193"/>
      <c r="L16" s="193"/>
      <c r="M16" s="193"/>
      <c r="N16" s="193" t="s">
        <v>1743</v>
      </c>
      <c r="O16" s="202">
        <v>44704</v>
      </c>
      <c r="P16" s="63" t="s">
        <v>2782</v>
      </c>
      <c r="Q16" s="195" t="s">
        <v>2232</v>
      </c>
    </row>
    <row r="17" spans="1:887" ht="20.100000000000001" customHeight="1">
      <c r="A17" s="191" t="str">
        <f>VLOOKUP(C17,'BASE DE DADOS'!A:B,2,FALSE)</f>
        <v>PREPARA INATIVOS</v>
      </c>
      <c r="B17" s="90" t="s">
        <v>4</v>
      </c>
      <c r="C17" s="191" t="s">
        <v>5</v>
      </c>
      <c r="D17" s="75">
        <v>31662.01</v>
      </c>
      <c r="E17" s="76">
        <v>81151.5</v>
      </c>
      <c r="F17" s="103"/>
      <c r="G17" s="192"/>
      <c r="H17" s="193"/>
      <c r="I17" s="193"/>
      <c r="J17" s="193"/>
      <c r="K17" s="193"/>
      <c r="L17" s="193"/>
      <c r="M17" s="193"/>
      <c r="N17" s="193" t="s">
        <v>1743</v>
      </c>
      <c r="O17" s="202">
        <v>44573</v>
      </c>
      <c r="P17" s="146" t="s">
        <v>2756</v>
      </c>
      <c r="Q17" s="195"/>
    </row>
    <row r="18" spans="1:887" ht="20.100000000000001" customHeight="1">
      <c r="A18" s="191" t="str">
        <f>VLOOKUP(C18,'BASE DE DADOS'!A:B,2,FALSE)</f>
        <v>PREPARA INATIVOS</v>
      </c>
      <c r="B18" s="90" t="s">
        <v>346</v>
      </c>
      <c r="C18" s="191" t="s">
        <v>347</v>
      </c>
      <c r="D18" s="75">
        <v>147520.14000000001</v>
      </c>
      <c r="E18" s="76">
        <v>99892.9</v>
      </c>
      <c r="F18" s="103"/>
      <c r="G18" s="192"/>
      <c r="H18" s="193"/>
      <c r="I18" s="193"/>
      <c r="J18" s="193"/>
      <c r="K18" s="193"/>
      <c r="L18" s="193"/>
      <c r="M18" s="193"/>
      <c r="N18" s="193" t="s">
        <v>1743</v>
      </c>
      <c r="O18" s="202">
        <v>44981</v>
      </c>
      <c r="P18" s="146" t="s">
        <v>2757</v>
      </c>
      <c r="Q18" s="195" t="s">
        <v>2427</v>
      </c>
    </row>
    <row r="19" spans="1:887" ht="20.100000000000001" customHeight="1">
      <c r="A19" s="191" t="str">
        <f>VLOOKUP(C19,'BASE DE DADOS'!A:B,2,FALSE)</f>
        <v>PREPARA INATIVOS</v>
      </c>
      <c r="B19" s="90" t="s">
        <v>346</v>
      </c>
      <c r="C19" s="191" t="s">
        <v>347</v>
      </c>
      <c r="D19" s="75">
        <v>89958.2</v>
      </c>
      <c r="E19" s="76">
        <v>89958.2</v>
      </c>
      <c r="F19" s="103"/>
      <c r="G19" s="192"/>
      <c r="H19" s="193"/>
      <c r="I19" s="193"/>
      <c r="J19" s="193"/>
      <c r="K19" s="193"/>
      <c r="L19" s="193"/>
      <c r="M19" s="193"/>
      <c r="N19" s="193" t="s">
        <v>1743</v>
      </c>
      <c r="O19" s="202">
        <v>45180</v>
      </c>
      <c r="P19" s="146" t="s">
        <v>2758</v>
      </c>
      <c r="Q19" s="195" t="s">
        <v>2509</v>
      </c>
    </row>
    <row r="20" spans="1:887" s="141" customFormat="1" ht="20.100000000000001" customHeight="1">
      <c r="A20" s="164" t="s">
        <v>2153</v>
      </c>
      <c r="B20" s="165" t="s">
        <v>666</v>
      </c>
      <c r="C20" s="164" t="s">
        <v>667</v>
      </c>
      <c r="D20" s="166">
        <v>20973.11</v>
      </c>
      <c r="E20" s="166"/>
      <c r="F20" s="167"/>
      <c r="G20" s="168"/>
      <c r="H20" s="169"/>
      <c r="I20" s="169"/>
      <c r="J20" s="169" t="s">
        <v>1743</v>
      </c>
      <c r="K20" s="169"/>
      <c r="L20" s="169"/>
      <c r="M20" s="169"/>
      <c r="N20" s="169"/>
      <c r="O20" s="169"/>
      <c r="P20" s="170"/>
      <c r="Q20" s="139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0"/>
      <c r="BN20" s="140"/>
      <c r="BO20" s="140"/>
      <c r="BP20" s="140"/>
      <c r="BQ20" s="140"/>
      <c r="BR20" s="140"/>
      <c r="BS20" s="140"/>
      <c r="BT20" s="140"/>
      <c r="BU20" s="140"/>
      <c r="BV20" s="140"/>
      <c r="BW20" s="140"/>
      <c r="BX20" s="140"/>
      <c r="BY20" s="140"/>
      <c r="BZ20" s="140"/>
      <c r="CA20" s="140"/>
      <c r="CB20" s="140"/>
      <c r="CC20" s="140"/>
      <c r="CD20" s="140"/>
      <c r="CE20" s="140"/>
      <c r="CF20" s="140"/>
      <c r="CG20" s="140"/>
      <c r="CH20" s="140"/>
      <c r="CI20" s="140"/>
      <c r="CJ20" s="140"/>
      <c r="CK20" s="140"/>
      <c r="CL20" s="140"/>
      <c r="CM20" s="140"/>
      <c r="CN20" s="140"/>
      <c r="CO20" s="140"/>
      <c r="CP20" s="140"/>
      <c r="CQ20" s="140"/>
      <c r="CR20" s="140"/>
      <c r="CS20" s="140"/>
      <c r="CT20" s="140"/>
      <c r="CU20" s="140"/>
      <c r="CV20" s="140"/>
      <c r="CW20" s="140"/>
      <c r="CX20" s="140"/>
      <c r="CY20" s="140"/>
      <c r="CZ20" s="140"/>
      <c r="DA20" s="140"/>
      <c r="DB20" s="140"/>
      <c r="DC20" s="140"/>
      <c r="DD20" s="140"/>
      <c r="DE20" s="140"/>
      <c r="DF20" s="140"/>
      <c r="DG20" s="140"/>
      <c r="DH20" s="140"/>
      <c r="DI20" s="140"/>
      <c r="DJ20" s="140"/>
      <c r="DK20" s="140"/>
      <c r="DL20" s="140"/>
      <c r="DM20" s="140"/>
      <c r="DN20" s="140"/>
      <c r="DO20" s="140"/>
      <c r="DP20" s="140"/>
      <c r="DQ20" s="140"/>
      <c r="DR20" s="140"/>
      <c r="DS20" s="140"/>
      <c r="DT20" s="140"/>
      <c r="DU20" s="140"/>
      <c r="DV20" s="140"/>
      <c r="DW20" s="140"/>
      <c r="DX20" s="140"/>
      <c r="DY20" s="140"/>
      <c r="DZ20" s="140"/>
      <c r="EA20" s="140"/>
      <c r="EB20" s="140"/>
      <c r="EC20" s="140"/>
      <c r="ED20" s="140"/>
      <c r="EE20" s="140"/>
      <c r="EF20" s="140"/>
      <c r="EG20" s="140"/>
      <c r="EH20" s="140"/>
      <c r="EI20" s="140"/>
      <c r="EJ20" s="140"/>
      <c r="EK20" s="140"/>
      <c r="EL20" s="140"/>
      <c r="EM20" s="140"/>
      <c r="EN20" s="140"/>
      <c r="EO20" s="140"/>
      <c r="EP20" s="140"/>
      <c r="EQ20" s="140"/>
      <c r="ER20" s="140"/>
      <c r="ES20" s="140"/>
      <c r="ET20" s="140"/>
      <c r="EU20" s="140"/>
      <c r="EV20" s="140"/>
      <c r="EW20" s="140"/>
      <c r="EX20" s="140"/>
      <c r="EY20" s="140"/>
      <c r="EZ20" s="140"/>
      <c r="FA20" s="140"/>
      <c r="FB20" s="140"/>
      <c r="FC20" s="140"/>
      <c r="FD20" s="140"/>
      <c r="FE20" s="140"/>
      <c r="FF20" s="140"/>
      <c r="FG20" s="140"/>
      <c r="FH20" s="140"/>
      <c r="FI20" s="140"/>
      <c r="FJ20" s="140"/>
      <c r="FK20" s="140"/>
      <c r="FL20" s="140"/>
      <c r="FM20" s="140"/>
      <c r="FN20" s="140"/>
      <c r="FO20" s="140"/>
      <c r="FP20" s="140"/>
      <c r="FQ20" s="140"/>
      <c r="FR20" s="140"/>
      <c r="FS20" s="140"/>
      <c r="FT20" s="140"/>
      <c r="FU20" s="140"/>
      <c r="FV20" s="140"/>
      <c r="FW20" s="140"/>
      <c r="FX20" s="140"/>
      <c r="FY20" s="140"/>
      <c r="FZ20" s="140"/>
      <c r="GA20" s="140"/>
      <c r="GB20" s="140"/>
      <c r="GC20" s="140"/>
      <c r="GD20" s="140"/>
      <c r="GE20" s="140"/>
      <c r="GF20" s="140"/>
      <c r="GG20" s="140"/>
      <c r="GH20" s="140"/>
      <c r="GI20" s="140"/>
      <c r="GJ20" s="140"/>
      <c r="GK20" s="140"/>
      <c r="GL20" s="140"/>
      <c r="GM20" s="140"/>
      <c r="GN20" s="140"/>
      <c r="GO20" s="140"/>
      <c r="GP20" s="140"/>
      <c r="GQ20" s="140"/>
      <c r="GR20" s="140"/>
      <c r="GS20" s="140"/>
      <c r="GT20" s="140"/>
      <c r="GU20" s="140"/>
      <c r="GV20" s="140"/>
      <c r="GW20" s="140"/>
      <c r="GX20" s="140"/>
      <c r="GY20" s="140"/>
      <c r="GZ20" s="140"/>
      <c r="HA20" s="140"/>
      <c r="HB20" s="140"/>
      <c r="HC20" s="140"/>
      <c r="HD20" s="140"/>
      <c r="HE20" s="140"/>
      <c r="HF20" s="140"/>
      <c r="HG20" s="140"/>
      <c r="HH20" s="140"/>
      <c r="HI20" s="140"/>
      <c r="HJ20" s="140"/>
      <c r="HK20" s="140"/>
      <c r="HL20" s="140"/>
      <c r="HM20" s="140"/>
      <c r="HN20" s="140"/>
      <c r="HO20" s="140"/>
      <c r="HP20" s="140"/>
      <c r="HQ20" s="140"/>
      <c r="HR20" s="140"/>
      <c r="HS20" s="140"/>
      <c r="HT20" s="140"/>
      <c r="HU20" s="140"/>
      <c r="HV20" s="140"/>
      <c r="HW20" s="140"/>
      <c r="HX20" s="140"/>
      <c r="HY20" s="140"/>
      <c r="HZ20" s="140"/>
      <c r="IA20" s="140"/>
      <c r="IB20" s="140"/>
      <c r="IC20" s="140"/>
      <c r="ID20" s="140"/>
      <c r="IE20" s="140"/>
      <c r="IF20" s="140"/>
      <c r="IG20" s="140"/>
      <c r="IH20" s="140"/>
      <c r="II20" s="140"/>
      <c r="IJ20" s="140"/>
      <c r="IK20" s="140"/>
      <c r="IL20" s="140"/>
      <c r="IM20" s="140"/>
      <c r="IN20" s="140"/>
      <c r="IO20" s="140"/>
      <c r="IP20" s="140"/>
      <c r="IQ20" s="140"/>
      <c r="IR20" s="140"/>
      <c r="IS20" s="140"/>
      <c r="IT20" s="140"/>
      <c r="IU20" s="140"/>
      <c r="IV20" s="140"/>
      <c r="IW20" s="140"/>
      <c r="IX20" s="140"/>
      <c r="IY20" s="140"/>
      <c r="IZ20" s="140"/>
      <c r="JA20" s="140"/>
      <c r="JB20" s="140"/>
      <c r="JC20" s="140"/>
      <c r="JD20" s="140"/>
      <c r="JE20" s="140"/>
      <c r="JF20" s="140"/>
      <c r="JG20" s="140"/>
      <c r="JH20" s="140"/>
      <c r="JI20" s="140"/>
      <c r="JJ20" s="140"/>
      <c r="JK20" s="140"/>
      <c r="JL20" s="140"/>
      <c r="JM20" s="140"/>
      <c r="JN20" s="140"/>
      <c r="JO20" s="140"/>
      <c r="JP20" s="140"/>
      <c r="JQ20" s="140"/>
      <c r="JR20" s="140"/>
      <c r="JS20" s="140"/>
      <c r="JT20" s="140"/>
      <c r="JU20" s="140"/>
      <c r="JV20" s="140"/>
      <c r="JW20" s="140"/>
      <c r="JX20" s="140"/>
      <c r="JY20" s="140"/>
      <c r="JZ20" s="140"/>
      <c r="KA20" s="140"/>
      <c r="KB20" s="140"/>
      <c r="KC20" s="140"/>
      <c r="KD20" s="140"/>
      <c r="KE20" s="140"/>
      <c r="KF20" s="140"/>
      <c r="KG20" s="140"/>
      <c r="KH20" s="140"/>
      <c r="KI20" s="140"/>
      <c r="KJ20" s="140"/>
      <c r="KK20" s="140"/>
      <c r="KL20" s="140"/>
      <c r="KM20" s="140"/>
      <c r="KN20" s="140"/>
      <c r="KO20" s="140"/>
      <c r="KP20" s="140"/>
      <c r="KQ20" s="140"/>
      <c r="KR20" s="140"/>
      <c r="KS20" s="140"/>
      <c r="KT20" s="140"/>
      <c r="KU20" s="140"/>
      <c r="KV20" s="140"/>
      <c r="KW20" s="140"/>
      <c r="KX20" s="140"/>
      <c r="KY20" s="140"/>
      <c r="KZ20" s="140"/>
      <c r="LA20" s="140"/>
      <c r="LB20" s="140"/>
      <c r="LC20" s="140"/>
      <c r="LD20" s="140"/>
      <c r="LE20" s="140"/>
      <c r="LF20" s="140"/>
      <c r="LG20" s="140"/>
      <c r="LH20" s="140"/>
      <c r="LI20" s="140"/>
      <c r="LJ20" s="140"/>
      <c r="LK20" s="140"/>
      <c r="LL20" s="140"/>
      <c r="LM20" s="140"/>
      <c r="LN20" s="140"/>
      <c r="LO20" s="140"/>
      <c r="LP20" s="140"/>
      <c r="LQ20" s="140"/>
      <c r="LR20" s="140"/>
      <c r="LS20" s="140"/>
      <c r="LT20" s="140"/>
      <c r="LU20" s="140"/>
      <c r="LV20" s="140"/>
      <c r="LW20" s="140"/>
      <c r="LX20" s="140"/>
      <c r="LY20" s="140"/>
      <c r="LZ20" s="140"/>
      <c r="MA20" s="140"/>
      <c r="MB20" s="140"/>
      <c r="MC20" s="140"/>
      <c r="MD20" s="140"/>
      <c r="ME20" s="140"/>
      <c r="MF20" s="140"/>
      <c r="MG20" s="140"/>
      <c r="MH20" s="140"/>
      <c r="MI20" s="140"/>
      <c r="MJ20" s="140"/>
      <c r="MK20" s="140"/>
      <c r="ML20" s="140"/>
      <c r="MM20" s="140"/>
      <c r="MN20" s="140"/>
      <c r="MO20" s="140"/>
      <c r="MP20" s="140"/>
      <c r="MQ20" s="140"/>
      <c r="MR20" s="140"/>
      <c r="MS20" s="140"/>
      <c r="MT20" s="140"/>
      <c r="MU20" s="140"/>
      <c r="MV20" s="140"/>
      <c r="MW20" s="140"/>
      <c r="MX20" s="140"/>
      <c r="MY20" s="140"/>
      <c r="MZ20" s="140"/>
      <c r="NA20" s="140"/>
      <c r="NB20" s="140"/>
      <c r="NC20" s="140"/>
      <c r="ND20" s="140"/>
      <c r="NE20" s="140"/>
      <c r="NF20" s="140"/>
      <c r="NG20" s="140"/>
      <c r="NH20" s="140"/>
      <c r="NI20" s="140"/>
      <c r="NJ20" s="140"/>
      <c r="NK20" s="140"/>
      <c r="NL20" s="140"/>
      <c r="NM20" s="140"/>
      <c r="NN20" s="140"/>
      <c r="NO20" s="140"/>
      <c r="NP20" s="140"/>
      <c r="NQ20" s="140"/>
      <c r="NR20" s="140"/>
      <c r="NS20" s="140"/>
      <c r="NT20" s="140"/>
      <c r="NU20" s="140"/>
      <c r="NV20" s="140"/>
      <c r="NW20" s="140"/>
      <c r="NX20" s="140"/>
      <c r="NY20" s="140"/>
      <c r="NZ20" s="140"/>
      <c r="OA20" s="140"/>
      <c r="OB20" s="140"/>
      <c r="OC20" s="140"/>
      <c r="OD20" s="140"/>
      <c r="OE20" s="140"/>
      <c r="OF20" s="140"/>
      <c r="OG20" s="140"/>
      <c r="OH20" s="140"/>
      <c r="OI20" s="140"/>
      <c r="OJ20" s="140"/>
      <c r="OK20" s="140"/>
      <c r="OL20" s="140"/>
      <c r="OM20" s="140"/>
      <c r="ON20" s="140"/>
      <c r="OO20" s="140"/>
      <c r="OP20" s="140"/>
      <c r="OQ20" s="140"/>
      <c r="OR20" s="140"/>
      <c r="OS20" s="140"/>
      <c r="OT20" s="140"/>
      <c r="OU20" s="140"/>
      <c r="OV20" s="140"/>
      <c r="OW20" s="140"/>
      <c r="OX20" s="140"/>
      <c r="OY20" s="140"/>
      <c r="OZ20" s="140"/>
      <c r="PA20" s="140"/>
      <c r="PB20" s="140"/>
      <c r="PC20" s="140"/>
      <c r="PD20" s="140"/>
      <c r="PE20" s="140"/>
      <c r="PF20" s="140"/>
      <c r="PG20" s="140"/>
      <c r="PH20" s="140"/>
      <c r="PI20" s="140"/>
      <c r="PJ20" s="140"/>
      <c r="PK20" s="140"/>
      <c r="PL20" s="140"/>
      <c r="PM20" s="140"/>
      <c r="PN20" s="140"/>
      <c r="PO20" s="140"/>
      <c r="PP20" s="140"/>
      <c r="PQ20" s="140"/>
      <c r="PR20" s="140"/>
      <c r="PS20" s="140"/>
      <c r="PT20" s="140"/>
      <c r="PU20" s="140"/>
      <c r="PV20" s="140"/>
      <c r="PW20" s="140"/>
      <c r="PX20" s="140"/>
      <c r="PY20" s="140"/>
      <c r="PZ20" s="140"/>
      <c r="QA20" s="140"/>
      <c r="QB20" s="140"/>
      <c r="QC20" s="140"/>
      <c r="QD20" s="140"/>
      <c r="QE20" s="140"/>
      <c r="QF20" s="140"/>
      <c r="QG20" s="140"/>
      <c r="QH20" s="140"/>
      <c r="QI20" s="140"/>
      <c r="QJ20" s="140"/>
      <c r="QK20" s="140"/>
      <c r="QL20" s="140"/>
      <c r="QM20" s="140"/>
      <c r="QN20" s="140"/>
      <c r="QO20" s="140"/>
      <c r="QP20" s="140"/>
      <c r="QQ20" s="140"/>
      <c r="QR20" s="140"/>
      <c r="QS20" s="140"/>
      <c r="QT20" s="140"/>
      <c r="QU20" s="140"/>
      <c r="QV20" s="140"/>
      <c r="QW20" s="140"/>
      <c r="QX20" s="140"/>
      <c r="QY20" s="140"/>
      <c r="QZ20" s="140"/>
      <c r="RA20" s="140"/>
      <c r="RB20" s="140"/>
      <c r="RC20" s="140"/>
      <c r="RD20" s="140"/>
      <c r="RE20" s="140"/>
      <c r="RF20" s="140"/>
      <c r="RG20" s="140"/>
      <c r="RH20" s="140"/>
      <c r="RI20" s="140"/>
      <c r="RJ20" s="140"/>
      <c r="RK20" s="140"/>
      <c r="RL20" s="140"/>
      <c r="RM20" s="140"/>
      <c r="RN20" s="140"/>
      <c r="RO20" s="140"/>
      <c r="RP20" s="140"/>
      <c r="RQ20" s="140"/>
      <c r="RR20" s="140"/>
      <c r="RS20" s="140"/>
      <c r="RT20" s="140"/>
      <c r="RU20" s="140"/>
      <c r="RV20" s="140"/>
      <c r="RW20" s="140"/>
      <c r="RX20" s="140"/>
      <c r="RY20" s="140"/>
      <c r="RZ20" s="140"/>
      <c r="SA20" s="140"/>
      <c r="SB20" s="140"/>
      <c r="SC20" s="140"/>
      <c r="SD20" s="140"/>
      <c r="SE20" s="140"/>
      <c r="SF20" s="140"/>
      <c r="SG20" s="140"/>
      <c r="SH20" s="140"/>
      <c r="SI20" s="140"/>
      <c r="SJ20" s="140"/>
      <c r="SK20" s="140"/>
      <c r="SL20" s="140"/>
      <c r="SM20" s="140"/>
      <c r="SN20" s="140"/>
      <c r="SO20" s="140"/>
      <c r="SP20" s="140"/>
      <c r="SQ20" s="140"/>
      <c r="SR20" s="140"/>
      <c r="SS20" s="140"/>
      <c r="ST20" s="140"/>
      <c r="SU20" s="140"/>
      <c r="SV20" s="140"/>
      <c r="SW20" s="140"/>
      <c r="SX20" s="140"/>
      <c r="SY20" s="140"/>
      <c r="SZ20" s="140"/>
      <c r="TA20" s="140"/>
      <c r="TB20" s="140"/>
      <c r="TC20" s="140"/>
      <c r="TD20" s="140"/>
      <c r="TE20" s="140"/>
      <c r="TF20" s="140"/>
      <c r="TG20" s="140"/>
      <c r="TH20" s="140"/>
      <c r="TI20" s="140"/>
      <c r="TJ20" s="140"/>
      <c r="TK20" s="140"/>
      <c r="TL20" s="140"/>
      <c r="TM20" s="140"/>
      <c r="TN20" s="140"/>
      <c r="TO20" s="140"/>
      <c r="TP20" s="140"/>
      <c r="TQ20" s="140"/>
      <c r="TR20" s="140"/>
      <c r="TS20" s="140"/>
      <c r="TT20" s="140"/>
      <c r="TU20" s="140"/>
      <c r="TV20" s="140"/>
      <c r="TW20" s="140"/>
      <c r="TX20" s="140"/>
      <c r="TY20" s="140"/>
      <c r="TZ20" s="140"/>
      <c r="UA20" s="140"/>
      <c r="UB20" s="140"/>
      <c r="UC20" s="140"/>
      <c r="UD20" s="140"/>
      <c r="UE20" s="140"/>
      <c r="UF20" s="140"/>
      <c r="UG20" s="140"/>
      <c r="UH20" s="140"/>
      <c r="UI20" s="140"/>
      <c r="UJ20" s="140"/>
      <c r="UK20" s="140"/>
      <c r="UL20" s="140"/>
      <c r="UM20" s="140"/>
      <c r="UN20" s="140"/>
      <c r="UO20" s="140"/>
      <c r="UP20" s="140"/>
      <c r="UQ20" s="140"/>
      <c r="UR20" s="140"/>
      <c r="US20" s="140"/>
      <c r="UT20" s="140"/>
      <c r="UU20" s="140"/>
      <c r="UV20" s="140"/>
      <c r="UW20" s="140"/>
      <c r="UX20" s="140"/>
      <c r="UY20" s="140"/>
      <c r="UZ20" s="140"/>
      <c r="VA20" s="140"/>
      <c r="VB20" s="140"/>
      <c r="VC20" s="140"/>
      <c r="VD20" s="140"/>
      <c r="VE20" s="140"/>
      <c r="VF20" s="140"/>
      <c r="VG20" s="140"/>
      <c r="VH20" s="140"/>
      <c r="VI20" s="140"/>
      <c r="VJ20" s="140"/>
      <c r="VK20" s="140"/>
      <c r="VL20" s="140"/>
      <c r="VM20" s="140"/>
      <c r="VN20" s="140"/>
      <c r="VO20" s="140"/>
      <c r="VP20" s="140"/>
      <c r="VQ20" s="140"/>
      <c r="VR20" s="140"/>
      <c r="VS20" s="140"/>
      <c r="VT20" s="140"/>
      <c r="VU20" s="140"/>
      <c r="VV20" s="140"/>
      <c r="VW20" s="140"/>
      <c r="VX20" s="140"/>
      <c r="VY20" s="140"/>
      <c r="VZ20" s="140"/>
      <c r="WA20" s="140"/>
      <c r="WB20" s="140"/>
      <c r="WC20" s="140"/>
      <c r="WD20" s="140"/>
      <c r="WE20" s="140"/>
      <c r="WF20" s="140"/>
      <c r="WG20" s="140"/>
      <c r="WH20" s="140"/>
      <c r="WI20" s="140"/>
      <c r="WJ20" s="140"/>
      <c r="WK20" s="140"/>
      <c r="WL20" s="140"/>
      <c r="WM20" s="140"/>
      <c r="WN20" s="140"/>
      <c r="WO20" s="140"/>
      <c r="WP20" s="140"/>
      <c r="WQ20" s="140"/>
      <c r="WR20" s="140"/>
      <c r="WS20" s="140"/>
      <c r="WT20" s="140"/>
      <c r="WU20" s="140"/>
      <c r="WV20" s="140"/>
      <c r="WW20" s="140"/>
      <c r="WX20" s="140"/>
      <c r="WY20" s="140"/>
      <c r="WZ20" s="140"/>
      <c r="XA20" s="140"/>
      <c r="XB20" s="140"/>
      <c r="XC20" s="140"/>
      <c r="XD20" s="140"/>
      <c r="XE20" s="140"/>
      <c r="XF20" s="140"/>
      <c r="XG20" s="140"/>
      <c r="XH20" s="140"/>
      <c r="XI20" s="140"/>
      <c r="XJ20" s="140"/>
      <c r="XK20" s="140"/>
      <c r="XL20" s="140"/>
      <c r="XM20" s="140"/>
      <c r="XN20" s="140"/>
      <c r="XO20" s="140"/>
      <c r="XP20" s="140"/>
      <c r="XQ20" s="140"/>
      <c r="XR20" s="140"/>
      <c r="XS20" s="140"/>
      <c r="XT20" s="140"/>
      <c r="XU20" s="140"/>
      <c r="XV20" s="140"/>
      <c r="XW20" s="140"/>
      <c r="XX20" s="140"/>
      <c r="XY20" s="140"/>
      <c r="XZ20" s="140"/>
      <c r="YA20" s="140"/>
      <c r="YB20" s="140"/>
      <c r="YC20" s="140"/>
      <c r="YD20" s="140"/>
      <c r="YE20" s="140"/>
      <c r="YF20" s="140"/>
      <c r="YG20" s="140"/>
      <c r="YH20" s="140"/>
      <c r="YI20" s="140"/>
      <c r="YJ20" s="140"/>
      <c r="YK20" s="140"/>
      <c r="YL20" s="140"/>
      <c r="YM20" s="140"/>
      <c r="YN20" s="140"/>
      <c r="YO20" s="140"/>
      <c r="YP20" s="140"/>
      <c r="YQ20" s="140"/>
      <c r="YR20" s="140"/>
      <c r="YS20" s="140"/>
      <c r="YT20" s="140"/>
      <c r="YU20" s="140"/>
      <c r="YV20" s="140"/>
      <c r="YW20" s="140"/>
      <c r="YX20" s="140"/>
      <c r="YY20" s="140"/>
      <c r="YZ20" s="140"/>
      <c r="ZA20" s="140"/>
      <c r="ZB20" s="140"/>
      <c r="ZC20" s="140"/>
      <c r="ZD20" s="140"/>
      <c r="ZE20" s="140"/>
      <c r="ZF20" s="140"/>
      <c r="ZG20" s="140"/>
      <c r="ZH20" s="140"/>
      <c r="ZI20" s="140"/>
      <c r="ZJ20" s="140"/>
      <c r="ZK20" s="140"/>
      <c r="ZL20" s="140"/>
      <c r="ZM20" s="140"/>
      <c r="ZN20" s="140"/>
      <c r="ZO20" s="140"/>
      <c r="ZP20" s="140"/>
      <c r="ZQ20" s="140"/>
      <c r="ZR20" s="140"/>
      <c r="ZS20" s="140"/>
      <c r="ZT20" s="140"/>
      <c r="ZU20" s="140"/>
      <c r="ZV20" s="140"/>
      <c r="ZW20" s="140"/>
      <c r="ZX20" s="140"/>
      <c r="ZY20" s="140"/>
      <c r="ZZ20" s="140"/>
      <c r="AAA20" s="140"/>
      <c r="AAB20" s="140"/>
      <c r="AAC20" s="140"/>
      <c r="AAD20" s="140"/>
      <c r="AAE20" s="140"/>
      <c r="AAF20" s="140"/>
      <c r="AAG20" s="140"/>
      <c r="AAH20" s="140"/>
      <c r="AAI20" s="140"/>
      <c r="AAJ20" s="140"/>
      <c r="AAK20" s="140"/>
      <c r="AAL20" s="140"/>
      <c r="AAM20" s="140"/>
      <c r="AAN20" s="140"/>
      <c r="AAO20" s="140"/>
      <c r="AAP20" s="140"/>
      <c r="AAQ20" s="140"/>
      <c r="AAR20" s="140"/>
      <c r="AAS20" s="140"/>
      <c r="AAT20" s="140"/>
      <c r="AAU20" s="140"/>
      <c r="AAV20" s="140"/>
      <c r="AAW20" s="140"/>
      <c r="AAX20" s="140"/>
      <c r="AAY20" s="140"/>
      <c r="AAZ20" s="140"/>
      <c r="ABA20" s="140"/>
      <c r="ABB20" s="140"/>
      <c r="ABC20" s="140"/>
      <c r="ABD20" s="140"/>
      <c r="ABE20" s="140"/>
      <c r="ABF20" s="140"/>
      <c r="ABG20" s="140"/>
      <c r="ABH20" s="140"/>
      <c r="ABI20" s="140"/>
      <c r="ABJ20" s="140"/>
      <c r="ABK20" s="140"/>
      <c r="ABL20" s="140"/>
      <c r="ABM20" s="140"/>
      <c r="ABN20" s="140"/>
      <c r="ABO20" s="140"/>
      <c r="ABP20" s="140"/>
      <c r="ABQ20" s="140"/>
      <c r="ABR20" s="140"/>
      <c r="ABS20" s="140"/>
      <c r="ABT20" s="140"/>
      <c r="ABU20" s="140"/>
      <c r="ABV20" s="140"/>
      <c r="ABW20" s="140"/>
      <c r="ABX20" s="140"/>
      <c r="ABY20" s="140"/>
      <c r="ABZ20" s="140"/>
      <c r="ACA20" s="140"/>
      <c r="ACB20" s="140"/>
      <c r="ACC20" s="140"/>
      <c r="ACD20" s="140"/>
      <c r="ACE20" s="140"/>
      <c r="ACF20" s="140"/>
      <c r="ACG20" s="140"/>
      <c r="ACH20" s="140"/>
      <c r="ACI20" s="140"/>
      <c r="ACJ20" s="140"/>
      <c r="ACK20" s="140"/>
      <c r="ACL20" s="140"/>
      <c r="ACM20" s="140"/>
      <c r="ACN20" s="140"/>
      <c r="ACO20" s="140"/>
      <c r="ACP20" s="140"/>
      <c r="ACQ20" s="140"/>
      <c r="ACR20" s="140"/>
      <c r="ACS20" s="140"/>
      <c r="ACT20" s="140"/>
      <c r="ACU20" s="140"/>
      <c r="ACV20" s="140"/>
      <c r="ACW20" s="140"/>
      <c r="ACX20" s="140"/>
      <c r="ACY20" s="140"/>
      <c r="ACZ20" s="140"/>
      <c r="ADA20" s="140"/>
      <c r="ADB20" s="140"/>
      <c r="ADC20" s="140"/>
      <c r="ADD20" s="140"/>
      <c r="ADE20" s="140"/>
      <c r="ADF20" s="140"/>
      <c r="ADG20" s="140"/>
      <c r="ADH20" s="140"/>
      <c r="ADI20" s="140"/>
      <c r="ADJ20" s="140"/>
      <c r="ADK20" s="140"/>
      <c r="ADL20" s="140"/>
      <c r="ADM20" s="140"/>
      <c r="ADN20" s="140"/>
      <c r="ADO20" s="140"/>
      <c r="ADP20" s="140"/>
      <c r="ADQ20" s="140"/>
      <c r="ADR20" s="140"/>
      <c r="ADS20" s="140"/>
      <c r="ADT20" s="140"/>
      <c r="ADU20" s="140"/>
      <c r="ADV20" s="140"/>
      <c r="ADW20" s="140"/>
      <c r="ADX20" s="140"/>
      <c r="ADY20" s="140"/>
      <c r="ADZ20" s="140"/>
      <c r="AEA20" s="140"/>
      <c r="AEB20" s="140"/>
      <c r="AEC20" s="140"/>
      <c r="AED20" s="140"/>
      <c r="AEE20" s="140"/>
      <c r="AEF20" s="140"/>
      <c r="AEG20" s="140"/>
      <c r="AEH20" s="140"/>
      <c r="AEI20" s="140"/>
      <c r="AEJ20" s="140"/>
      <c r="AEK20" s="140"/>
      <c r="AEL20" s="140"/>
      <c r="AEM20" s="140"/>
      <c r="AEN20" s="140"/>
      <c r="AEO20" s="140"/>
      <c r="AEP20" s="140"/>
      <c r="AEQ20" s="140"/>
      <c r="AER20" s="140"/>
      <c r="AES20" s="140"/>
      <c r="AET20" s="140"/>
      <c r="AEU20" s="140"/>
      <c r="AEV20" s="140"/>
      <c r="AEW20" s="140"/>
      <c r="AEX20" s="140"/>
      <c r="AEY20" s="140"/>
      <c r="AEZ20" s="140"/>
      <c r="AFA20" s="140"/>
      <c r="AFB20" s="140"/>
      <c r="AFC20" s="140"/>
      <c r="AFD20" s="140"/>
      <c r="AFE20" s="140"/>
      <c r="AFF20" s="140"/>
      <c r="AFG20" s="140"/>
      <c r="AFH20" s="140"/>
      <c r="AFI20" s="140"/>
      <c r="AFJ20" s="140"/>
      <c r="AFK20" s="140"/>
      <c r="AFL20" s="140"/>
      <c r="AFM20" s="140"/>
      <c r="AFN20" s="140"/>
      <c r="AFO20" s="140"/>
      <c r="AFP20" s="140"/>
      <c r="AFQ20" s="140"/>
      <c r="AFR20" s="140"/>
      <c r="AFS20" s="140"/>
      <c r="AFT20" s="140"/>
      <c r="AFU20" s="140"/>
      <c r="AFV20" s="140"/>
      <c r="AFW20" s="140"/>
      <c r="AFX20" s="140"/>
      <c r="AFY20" s="140"/>
      <c r="AFZ20" s="140"/>
      <c r="AGA20" s="140"/>
      <c r="AGB20" s="140"/>
      <c r="AGC20" s="140"/>
      <c r="AGD20" s="140"/>
      <c r="AGE20" s="140"/>
      <c r="AGF20" s="140"/>
      <c r="AGG20" s="140"/>
      <c r="AGH20" s="140"/>
      <c r="AGI20" s="140"/>
      <c r="AGJ20" s="140"/>
      <c r="AGK20" s="140"/>
      <c r="AGL20" s="140"/>
      <c r="AGM20" s="140"/>
      <c r="AGN20" s="140"/>
      <c r="AGO20" s="140"/>
      <c r="AGP20" s="140"/>
      <c r="AGQ20" s="140"/>
      <c r="AGR20" s="140"/>
      <c r="AGS20" s="140"/>
      <c r="AGT20" s="140"/>
      <c r="AGU20" s="140"/>
      <c r="AGV20" s="140"/>
      <c r="AGW20" s="140"/>
      <c r="AGX20" s="140"/>
      <c r="AGY20" s="140"/>
      <c r="AGZ20" s="140"/>
      <c r="AHA20" s="140"/>
      <c r="AHB20" s="140"/>
      <c r="AHC20" s="140"/>
    </row>
    <row r="21" spans="1:887" ht="20.100000000000001" customHeight="1">
      <c r="A21" s="191" t="str">
        <f>VLOOKUP(C21,'BASE DE DADOS'!A:B,2,FALSE)</f>
        <v>PREPARA INATIVOS</v>
      </c>
      <c r="B21" s="90" t="s">
        <v>454</v>
      </c>
      <c r="C21" s="191" t="s">
        <v>455</v>
      </c>
      <c r="D21" s="75">
        <v>75618.75</v>
      </c>
      <c r="E21" s="76">
        <v>42032.01</v>
      </c>
      <c r="F21" s="103"/>
      <c r="G21" s="192"/>
      <c r="H21" s="193"/>
      <c r="I21" s="193"/>
      <c r="J21" s="193"/>
      <c r="K21" s="193"/>
      <c r="L21" s="193"/>
      <c r="M21" s="193"/>
      <c r="N21" s="193" t="s">
        <v>1743</v>
      </c>
      <c r="O21" s="202">
        <v>44649</v>
      </c>
      <c r="P21" s="146" t="s">
        <v>2759</v>
      </c>
      <c r="Q21" s="195"/>
    </row>
    <row r="22" spans="1:887" ht="20.100000000000001" customHeight="1">
      <c r="A22" s="191" t="str">
        <f>VLOOKUP(C22,'BASE DE DADOS'!A:B,2,FALSE)</f>
        <v>PREPARA INATIVOS</v>
      </c>
      <c r="B22" s="90" t="s">
        <v>317</v>
      </c>
      <c r="C22" s="191" t="s">
        <v>2635</v>
      </c>
      <c r="D22" s="75">
        <v>120625.82</v>
      </c>
      <c r="E22" s="76">
        <v>37881.1</v>
      </c>
      <c r="F22" s="103"/>
      <c r="G22" s="192"/>
      <c r="H22" s="193"/>
      <c r="I22" s="193"/>
      <c r="J22" s="193"/>
      <c r="K22" s="193"/>
      <c r="L22" s="193"/>
      <c r="M22" s="193"/>
      <c r="N22" s="193" t="s">
        <v>1743</v>
      </c>
      <c r="O22" s="202">
        <v>44721</v>
      </c>
      <c r="P22" s="146" t="s">
        <v>2784</v>
      </c>
      <c r="Q22" s="203" t="s">
        <v>2316</v>
      </c>
    </row>
    <row r="23" spans="1:887" ht="20.100000000000001" customHeight="1">
      <c r="A23" s="191" t="str">
        <f>VLOOKUP(C23,'BASE DE DADOS'!A:B,2,FALSE)</f>
        <v>PREPARA INATIVOS</v>
      </c>
      <c r="B23" s="90" t="s">
        <v>317</v>
      </c>
      <c r="C23" s="191" t="s">
        <v>2635</v>
      </c>
      <c r="D23" s="75">
        <v>56301.599999999999</v>
      </c>
      <c r="E23" s="76">
        <v>56301.599999999999</v>
      </c>
      <c r="F23" s="103"/>
      <c r="G23" s="192"/>
      <c r="H23" s="193"/>
      <c r="I23" s="193"/>
      <c r="J23" s="193"/>
      <c r="K23" s="193"/>
      <c r="L23" s="193"/>
      <c r="M23" s="193"/>
      <c r="N23" s="193" t="s">
        <v>1743</v>
      </c>
      <c r="O23" s="202">
        <v>45014</v>
      </c>
      <c r="P23" s="146" t="s">
        <v>2783</v>
      </c>
      <c r="Q23" s="195" t="s">
        <v>2516</v>
      </c>
    </row>
    <row r="24" spans="1:887" ht="20.100000000000001" customHeight="1">
      <c r="A24" s="191" t="str">
        <f>VLOOKUP(C24,'BASE DE DADOS'!A:B,2,FALSE)</f>
        <v>PREPARA INATIVOS</v>
      </c>
      <c r="B24" s="90" t="s">
        <v>259</v>
      </c>
      <c r="C24" s="191" t="s">
        <v>260</v>
      </c>
      <c r="D24" s="75">
        <v>242985.27</v>
      </c>
      <c r="E24" s="76">
        <v>28938.63</v>
      </c>
      <c r="F24" s="103"/>
      <c r="G24" s="192"/>
      <c r="H24" s="193"/>
      <c r="I24" s="193"/>
      <c r="J24" s="193"/>
      <c r="K24" s="193"/>
      <c r="L24" s="193"/>
      <c r="M24" s="193"/>
      <c r="N24" s="193" t="s">
        <v>1743</v>
      </c>
      <c r="O24" s="202">
        <v>44791</v>
      </c>
      <c r="P24" s="146" t="s">
        <v>2760</v>
      </c>
      <c r="Q24" s="195" t="s">
        <v>2524</v>
      </c>
    </row>
    <row r="25" spans="1:887" ht="20.100000000000001" customHeight="1">
      <c r="A25" s="191" t="str">
        <f>VLOOKUP(C25,'BASE DE DADOS'!A:B,2,FALSE)</f>
        <v>PREPARA INATIVOS</v>
      </c>
      <c r="B25" s="90" t="s">
        <v>259</v>
      </c>
      <c r="C25" s="191" t="s">
        <v>260</v>
      </c>
      <c r="D25" s="75">
        <v>347653.83</v>
      </c>
      <c r="E25" s="76">
        <v>347653.83</v>
      </c>
      <c r="F25" s="103"/>
      <c r="G25" s="192"/>
      <c r="H25" s="193"/>
      <c r="I25" s="193"/>
      <c r="J25" s="193"/>
      <c r="K25" s="193"/>
      <c r="L25" s="193"/>
      <c r="M25" s="193"/>
      <c r="N25" s="193" t="s">
        <v>1743</v>
      </c>
      <c r="O25" s="202">
        <v>45061</v>
      </c>
      <c r="P25" s="146" t="s">
        <v>2761</v>
      </c>
      <c r="Q25" s="195" t="s">
        <v>2512</v>
      </c>
    </row>
    <row r="26" spans="1:887" ht="20.100000000000001" customHeight="1">
      <c r="A26" s="191" t="str">
        <f>VLOOKUP(C26,'BASE DE DADOS'!A:B,2,FALSE)</f>
        <v>PREPARA INATIVOS</v>
      </c>
      <c r="B26" s="90" t="s">
        <v>298</v>
      </c>
      <c r="C26" s="191" t="s">
        <v>299</v>
      </c>
      <c r="D26" s="75">
        <v>105921.83</v>
      </c>
      <c r="E26" s="76">
        <v>138189.10999999999</v>
      </c>
      <c r="F26" s="103"/>
      <c r="G26" s="192"/>
      <c r="H26" s="193"/>
      <c r="I26" s="193"/>
      <c r="J26" s="193"/>
      <c r="K26" s="193"/>
      <c r="L26" s="193"/>
      <c r="M26" s="193"/>
      <c r="N26" s="193" t="s">
        <v>1743</v>
      </c>
      <c r="O26" s="202">
        <v>45107</v>
      </c>
      <c r="P26" s="146" t="s">
        <v>2762</v>
      </c>
      <c r="Q26" s="195"/>
    </row>
    <row r="27" spans="1:887" s="141" customFormat="1" ht="20.100000000000001" customHeight="1">
      <c r="A27" s="164" t="s">
        <v>2159</v>
      </c>
      <c r="B27" s="165" t="s">
        <v>2278</v>
      </c>
      <c r="C27" s="164" t="s">
        <v>2279</v>
      </c>
      <c r="D27" s="166">
        <v>379.08</v>
      </c>
      <c r="E27" s="166"/>
      <c r="F27" s="167"/>
      <c r="G27" s="168"/>
      <c r="H27" s="169"/>
      <c r="I27" s="169"/>
      <c r="J27" s="169" t="s">
        <v>1743</v>
      </c>
      <c r="K27" s="169"/>
      <c r="L27" s="169"/>
      <c r="M27" s="169"/>
      <c r="N27" s="169"/>
      <c r="O27" s="169"/>
      <c r="P27" s="170"/>
      <c r="Q27" s="139" t="s">
        <v>2360</v>
      </c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0"/>
      <c r="BN27" s="140"/>
      <c r="BO27" s="140"/>
      <c r="BP27" s="140"/>
      <c r="BQ27" s="140"/>
      <c r="BR27" s="140"/>
      <c r="BS27" s="140"/>
      <c r="BT27" s="140"/>
      <c r="BU27" s="140"/>
      <c r="BV27" s="140"/>
      <c r="BW27" s="140"/>
      <c r="BX27" s="140"/>
      <c r="BY27" s="140"/>
      <c r="BZ27" s="140"/>
      <c r="CA27" s="140"/>
      <c r="CB27" s="140"/>
      <c r="CC27" s="140"/>
      <c r="CD27" s="140"/>
      <c r="CE27" s="140"/>
      <c r="CF27" s="140"/>
      <c r="CG27" s="140"/>
      <c r="CH27" s="140"/>
      <c r="CI27" s="140"/>
      <c r="CJ27" s="140"/>
      <c r="CK27" s="140"/>
      <c r="CL27" s="140"/>
      <c r="CM27" s="140"/>
      <c r="CN27" s="140"/>
      <c r="CO27" s="140"/>
      <c r="CP27" s="140"/>
      <c r="CQ27" s="140"/>
      <c r="CR27" s="140"/>
      <c r="CS27" s="140"/>
      <c r="CT27" s="140"/>
      <c r="CU27" s="140"/>
      <c r="CV27" s="140"/>
      <c r="CW27" s="140"/>
      <c r="CX27" s="140"/>
      <c r="CY27" s="140"/>
      <c r="CZ27" s="140"/>
      <c r="DA27" s="140"/>
      <c r="DB27" s="140"/>
      <c r="DC27" s="140"/>
      <c r="DD27" s="140"/>
      <c r="DE27" s="140"/>
      <c r="DF27" s="140"/>
      <c r="DG27" s="140"/>
      <c r="DH27" s="140"/>
      <c r="DI27" s="140"/>
      <c r="DJ27" s="140"/>
      <c r="DK27" s="140"/>
      <c r="DL27" s="140"/>
      <c r="DM27" s="140"/>
      <c r="DN27" s="140"/>
      <c r="DO27" s="140"/>
      <c r="DP27" s="140"/>
      <c r="DQ27" s="140"/>
      <c r="DR27" s="140"/>
      <c r="DS27" s="140"/>
      <c r="DT27" s="140"/>
      <c r="DU27" s="140"/>
      <c r="DV27" s="140"/>
      <c r="DW27" s="140"/>
      <c r="DX27" s="140"/>
      <c r="DY27" s="140"/>
      <c r="DZ27" s="140"/>
      <c r="EA27" s="140"/>
      <c r="EB27" s="140"/>
      <c r="EC27" s="140"/>
      <c r="ED27" s="140"/>
      <c r="EE27" s="140"/>
      <c r="EF27" s="140"/>
      <c r="EG27" s="140"/>
      <c r="EH27" s="140"/>
      <c r="EI27" s="140"/>
      <c r="EJ27" s="140"/>
      <c r="EK27" s="140"/>
      <c r="EL27" s="140"/>
      <c r="EM27" s="140"/>
      <c r="EN27" s="140"/>
      <c r="EO27" s="140"/>
      <c r="EP27" s="140"/>
      <c r="EQ27" s="140"/>
      <c r="ER27" s="140"/>
      <c r="ES27" s="140"/>
      <c r="ET27" s="140"/>
      <c r="EU27" s="140"/>
      <c r="EV27" s="140"/>
      <c r="EW27" s="140"/>
      <c r="EX27" s="140"/>
      <c r="EY27" s="140"/>
      <c r="EZ27" s="140"/>
      <c r="FA27" s="140"/>
      <c r="FB27" s="140"/>
      <c r="FC27" s="140"/>
      <c r="FD27" s="140"/>
      <c r="FE27" s="140"/>
      <c r="FF27" s="140"/>
      <c r="FG27" s="140"/>
      <c r="FH27" s="140"/>
      <c r="FI27" s="140"/>
      <c r="FJ27" s="140"/>
      <c r="FK27" s="140"/>
      <c r="FL27" s="140"/>
      <c r="FM27" s="140"/>
      <c r="FN27" s="140"/>
      <c r="FO27" s="140"/>
      <c r="FP27" s="140"/>
      <c r="FQ27" s="140"/>
      <c r="FR27" s="140"/>
      <c r="FS27" s="140"/>
      <c r="FT27" s="140"/>
      <c r="FU27" s="140"/>
      <c r="FV27" s="140"/>
      <c r="FW27" s="140"/>
      <c r="FX27" s="140"/>
      <c r="FY27" s="140"/>
      <c r="FZ27" s="140"/>
      <c r="GA27" s="140"/>
      <c r="GB27" s="140"/>
      <c r="GC27" s="140"/>
      <c r="GD27" s="140"/>
      <c r="GE27" s="140"/>
      <c r="GF27" s="140"/>
      <c r="GG27" s="140"/>
      <c r="GH27" s="140"/>
      <c r="GI27" s="140"/>
      <c r="GJ27" s="140"/>
      <c r="GK27" s="140"/>
      <c r="GL27" s="140"/>
      <c r="GM27" s="140"/>
      <c r="GN27" s="140"/>
      <c r="GO27" s="140"/>
      <c r="GP27" s="140"/>
      <c r="GQ27" s="140"/>
      <c r="GR27" s="140"/>
      <c r="GS27" s="140"/>
      <c r="GT27" s="140"/>
      <c r="GU27" s="140"/>
      <c r="GV27" s="140"/>
      <c r="GW27" s="140"/>
      <c r="GX27" s="140"/>
      <c r="GY27" s="140"/>
      <c r="GZ27" s="140"/>
      <c r="HA27" s="140"/>
      <c r="HB27" s="140"/>
      <c r="HC27" s="140"/>
      <c r="HD27" s="140"/>
      <c r="HE27" s="140"/>
      <c r="HF27" s="140"/>
      <c r="HG27" s="140"/>
      <c r="HH27" s="140"/>
      <c r="HI27" s="140"/>
      <c r="HJ27" s="140"/>
      <c r="HK27" s="140"/>
      <c r="HL27" s="140"/>
      <c r="HM27" s="140"/>
      <c r="HN27" s="140"/>
      <c r="HO27" s="140"/>
      <c r="HP27" s="140"/>
      <c r="HQ27" s="140"/>
      <c r="HR27" s="140"/>
      <c r="HS27" s="140"/>
      <c r="HT27" s="140"/>
      <c r="HU27" s="140"/>
      <c r="HV27" s="140"/>
      <c r="HW27" s="140"/>
      <c r="HX27" s="140"/>
      <c r="HY27" s="140"/>
      <c r="HZ27" s="140"/>
      <c r="IA27" s="140"/>
      <c r="IB27" s="140"/>
      <c r="IC27" s="140"/>
      <c r="ID27" s="140"/>
      <c r="IE27" s="140"/>
      <c r="IF27" s="140"/>
      <c r="IG27" s="140"/>
      <c r="IH27" s="140"/>
      <c r="II27" s="140"/>
      <c r="IJ27" s="140"/>
      <c r="IK27" s="140"/>
      <c r="IL27" s="140"/>
      <c r="IM27" s="140"/>
      <c r="IN27" s="140"/>
      <c r="IO27" s="140"/>
      <c r="IP27" s="140"/>
      <c r="IQ27" s="140"/>
      <c r="IR27" s="140"/>
      <c r="IS27" s="140"/>
      <c r="IT27" s="140"/>
      <c r="IU27" s="140"/>
      <c r="IV27" s="140"/>
      <c r="IW27" s="140"/>
      <c r="IX27" s="140"/>
      <c r="IY27" s="140"/>
      <c r="IZ27" s="140"/>
      <c r="JA27" s="140"/>
      <c r="JB27" s="140"/>
      <c r="JC27" s="140"/>
      <c r="JD27" s="140"/>
      <c r="JE27" s="140"/>
      <c r="JF27" s="140"/>
      <c r="JG27" s="140"/>
      <c r="JH27" s="140"/>
      <c r="JI27" s="140"/>
      <c r="JJ27" s="140"/>
      <c r="JK27" s="140"/>
      <c r="JL27" s="140"/>
      <c r="JM27" s="140"/>
      <c r="JN27" s="140"/>
      <c r="JO27" s="140"/>
      <c r="JP27" s="140"/>
      <c r="JQ27" s="140"/>
      <c r="JR27" s="140"/>
      <c r="JS27" s="140"/>
      <c r="JT27" s="140"/>
      <c r="JU27" s="140"/>
      <c r="JV27" s="140"/>
      <c r="JW27" s="140"/>
      <c r="JX27" s="140"/>
      <c r="JY27" s="140"/>
      <c r="JZ27" s="140"/>
      <c r="KA27" s="140"/>
      <c r="KB27" s="140"/>
      <c r="KC27" s="140"/>
      <c r="KD27" s="140"/>
      <c r="KE27" s="140"/>
      <c r="KF27" s="140"/>
      <c r="KG27" s="140"/>
      <c r="KH27" s="140"/>
      <c r="KI27" s="140"/>
      <c r="KJ27" s="140"/>
      <c r="KK27" s="140"/>
      <c r="KL27" s="140"/>
      <c r="KM27" s="140"/>
      <c r="KN27" s="140"/>
      <c r="KO27" s="140"/>
      <c r="KP27" s="140"/>
      <c r="KQ27" s="140"/>
      <c r="KR27" s="140"/>
      <c r="KS27" s="140"/>
      <c r="KT27" s="140"/>
      <c r="KU27" s="140"/>
      <c r="KV27" s="140"/>
      <c r="KW27" s="140"/>
      <c r="KX27" s="140"/>
      <c r="KY27" s="140"/>
      <c r="KZ27" s="140"/>
      <c r="LA27" s="140"/>
      <c r="LB27" s="140"/>
      <c r="LC27" s="140"/>
      <c r="LD27" s="140"/>
      <c r="LE27" s="140"/>
      <c r="LF27" s="140"/>
      <c r="LG27" s="140"/>
      <c r="LH27" s="140"/>
      <c r="LI27" s="140"/>
      <c r="LJ27" s="140"/>
      <c r="LK27" s="140"/>
      <c r="LL27" s="140"/>
      <c r="LM27" s="140"/>
      <c r="LN27" s="140"/>
      <c r="LO27" s="140"/>
      <c r="LP27" s="140"/>
      <c r="LQ27" s="140"/>
      <c r="LR27" s="140"/>
      <c r="LS27" s="140"/>
      <c r="LT27" s="140"/>
      <c r="LU27" s="140"/>
      <c r="LV27" s="140"/>
      <c r="LW27" s="140"/>
      <c r="LX27" s="140"/>
      <c r="LY27" s="140"/>
      <c r="LZ27" s="140"/>
      <c r="MA27" s="140"/>
      <c r="MB27" s="140"/>
      <c r="MC27" s="140"/>
      <c r="MD27" s="140"/>
      <c r="ME27" s="140"/>
      <c r="MF27" s="140"/>
      <c r="MG27" s="140"/>
      <c r="MH27" s="140"/>
      <c r="MI27" s="140"/>
      <c r="MJ27" s="140"/>
      <c r="MK27" s="140"/>
      <c r="ML27" s="140"/>
      <c r="MM27" s="140"/>
      <c r="MN27" s="140"/>
      <c r="MO27" s="140"/>
      <c r="MP27" s="140"/>
      <c r="MQ27" s="140"/>
      <c r="MR27" s="140"/>
      <c r="MS27" s="140"/>
      <c r="MT27" s="140"/>
      <c r="MU27" s="140"/>
      <c r="MV27" s="140"/>
      <c r="MW27" s="140"/>
      <c r="MX27" s="140"/>
      <c r="MY27" s="140"/>
      <c r="MZ27" s="140"/>
      <c r="NA27" s="140"/>
      <c r="NB27" s="140"/>
      <c r="NC27" s="140"/>
      <c r="ND27" s="140"/>
      <c r="NE27" s="140"/>
      <c r="NF27" s="140"/>
      <c r="NG27" s="140"/>
      <c r="NH27" s="140"/>
      <c r="NI27" s="140"/>
      <c r="NJ27" s="140"/>
      <c r="NK27" s="140"/>
      <c r="NL27" s="140"/>
      <c r="NM27" s="140"/>
      <c r="NN27" s="140"/>
      <c r="NO27" s="140"/>
      <c r="NP27" s="140"/>
      <c r="NQ27" s="140"/>
      <c r="NR27" s="140"/>
      <c r="NS27" s="140"/>
      <c r="NT27" s="140"/>
      <c r="NU27" s="140"/>
      <c r="NV27" s="140"/>
      <c r="NW27" s="140"/>
      <c r="NX27" s="140"/>
      <c r="NY27" s="140"/>
      <c r="NZ27" s="140"/>
      <c r="OA27" s="140"/>
      <c r="OB27" s="140"/>
      <c r="OC27" s="140"/>
      <c r="OD27" s="140"/>
      <c r="OE27" s="140"/>
      <c r="OF27" s="140"/>
      <c r="OG27" s="140"/>
      <c r="OH27" s="140"/>
      <c r="OI27" s="140"/>
      <c r="OJ27" s="140"/>
      <c r="OK27" s="140"/>
      <c r="OL27" s="140"/>
      <c r="OM27" s="140"/>
      <c r="ON27" s="140"/>
      <c r="OO27" s="140"/>
      <c r="OP27" s="140"/>
      <c r="OQ27" s="140"/>
      <c r="OR27" s="140"/>
      <c r="OS27" s="140"/>
      <c r="OT27" s="140"/>
      <c r="OU27" s="140"/>
      <c r="OV27" s="140"/>
      <c r="OW27" s="140"/>
      <c r="OX27" s="140"/>
      <c r="OY27" s="140"/>
      <c r="OZ27" s="140"/>
      <c r="PA27" s="140"/>
      <c r="PB27" s="140"/>
      <c r="PC27" s="140"/>
      <c r="PD27" s="140"/>
      <c r="PE27" s="140"/>
      <c r="PF27" s="140"/>
      <c r="PG27" s="140"/>
      <c r="PH27" s="140"/>
      <c r="PI27" s="140"/>
      <c r="PJ27" s="140"/>
      <c r="PK27" s="140"/>
      <c r="PL27" s="140"/>
      <c r="PM27" s="140"/>
      <c r="PN27" s="140"/>
      <c r="PO27" s="140"/>
      <c r="PP27" s="140"/>
      <c r="PQ27" s="140"/>
      <c r="PR27" s="140"/>
      <c r="PS27" s="140"/>
      <c r="PT27" s="140"/>
      <c r="PU27" s="140"/>
      <c r="PV27" s="140"/>
      <c r="PW27" s="140"/>
      <c r="PX27" s="140"/>
      <c r="PY27" s="140"/>
      <c r="PZ27" s="140"/>
      <c r="QA27" s="140"/>
      <c r="QB27" s="140"/>
      <c r="QC27" s="140"/>
      <c r="QD27" s="140"/>
      <c r="QE27" s="140"/>
      <c r="QF27" s="140"/>
      <c r="QG27" s="140"/>
      <c r="QH27" s="140"/>
      <c r="QI27" s="140"/>
      <c r="QJ27" s="140"/>
      <c r="QK27" s="140"/>
      <c r="QL27" s="140"/>
      <c r="QM27" s="140"/>
      <c r="QN27" s="140"/>
      <c r="QO27" s="140"/>
      <c r="QP27" s="140"/>
      <c r="QQ27" s="140"/>
      <c r="QR27" s="140"/>
      <c r="QS27" s="140"/>
      <c r="QT27" s="140"/>
      <c r="QU27" s="140"/>
      <c r="QV27" s="140"/>
      <c r="QW27" s="140"/>
      <c r="QX27" s="140"/>
      <c r="QY27" s="140"/>
      <c r="QZ27" s="140"/>
      <c r="RA27" s="140"/>
      <c r="RB27" s="140"/>
      <c r="RC27" s="140"/>
      <c r="RD27" s="140"/>
      <c r="RE27" s="140"/>
      <c r="RF27" s="140"/>
      <c r="RG27" s="140"/>
      <c r="RH27" s="140"/>
      <c r="RI27" s="140"/>
      <c r="RJ27" s="140"/>
      <c r="RK27" s="140"/>
      <c r="RL27" s="140"/>
      <c r="RM27" s="140"/>
      <c r="RN27" s="140"/>
      <c r="RO27" s="140"/>
      <c r="RP27" s="140"/>
      <c r="RQ27" s="140"/>
      <c r="RR27" s="140"/>
      <c r="RS27" s="140"/>
      <c r="RT27" s="140"/>
      <c r="RU27" s="140"/>
      <c r="RV27" s="140"/>
      <c r="RW27" s="140"/>
      <c r="RX27" s="140"/>
      <c r="RY27" s="140"/>
      <c r="RZ27" s="140"/>
      <c r="SA27" s="140"/>
      <c r="SB27" s="140"/>
      <c r="SC27" s="140"/>
      <c r="SD27" s="140"/>
      <c r="SE27" s="140"/>
      <c r="SF27" s="140"/>
      <c r="SG27" s="140"/>
      <c r="SH27" s="140"/>
      <c r="SI27" s="140"/>
      <c r="SJ27" s="140"/>
      <c r="SK27" s="140"/>
      <c r="SL27" s="140"/>
      <c r="SM27" s="140"/>
      <c r="SN27" s="140"/>
      <c r="SO27" s="140"/>
      <c r="SP27" s="140"/>
      <c r="SQ27" s="140"/>
      <c r="SR27" s="140"/>
      <c r="SS27" s="140"/>
      <c r="ST27" s="140"/>
      <c r="SU27" s="140"/>
      <c r="SV27" s="140"/>
      <c r="SW27" s="140"/>
      <c r="SX27" s="140"/>
      <c r="SY27" s="140"/>
      <c r="SZ27" s="140"/>
      <c r="TA27" s="140"/>
      <c r="TB27" s="140"/>
      <c r="TC27" s="140"/>
      <c r="TD27" s="140"/>
      <c r="TE27" s="140"/>
      <c r="TF27" s="140"/>
      <c r="TG27" s="140"/>
      <c r="TH27" s="140"/>
      <c r="TI27" s="140"/>
      <c r="TJ27" s="140"/>
      <c r="TK27" s="140"/>
      <c r="TL27" s="140"/>
      <c r="TM27" s="140"/>
      <c r="TN27" s="140"/>
      <c r="TO27" s="140"/>
      <c r="TP27" s="140"/>
      <c r="TQ27" s="140"/>
      <c r="TR27" s="140"/>
      <c r="TS27" s="140"/>
      <c r="TT27" s="140"/>
      <c r="TU27" s="140"/>
      <c r="TV27" s="140"/>
      <c r="TW27" s="140"/>
      <c r="TX27" s="140"/>
      <c r="TY27" s="140"/>
      <c r="TZ27" s="140"/>
      <c r="UA27" s="140"/>
      <c r="UB27" s="140"/>
      <c r="UC27" s="140"/>
      <c r="UD27" s="140"/>
      <c r="UE27" s="140"/>
      <c r="UF27" s="140"/>
      <c r="UG27" s="140"/>
      <c r="UH27" s="140"/>
      <c r="UI27" s="140"/>
      <c r="UJ27" s="140"/>
      <c r="UK27" s="140"/>
      <c r="UL27" s="140"/>
      <c r="UM27" s="140"/>
      <c r="UN27" s="140"/>
      <c r="UO27" s="140"/>
      <c r="UP27" s="140"/>
      <c r="UQ27" s="140"/>
      <c r="UR27" s="140"/>
      <c r="US27" s="140"/>
      <c r="UT27" s="140"/>
      <c r="UU27" s="140"/>
      <c r="UV27" s="140"/>
      <c r="UW27" s="140"/>
      <c r="UX27" s="140"/>
      <c r="UY27" s="140"/>
      <c r="UZ27" s="140"/>
      <c r="VA27" s="140"/>
      <c r="VB27" s="140"/>
      <c r="VC27" s="140"/>
      <c r="VD27" s="140"/>
      <c r="VE27" s="140"/>
      <c r="VF27" s="140"/>
      <c r="VG27" s="140"/>
      <c r="VH27" s="140"/>
      <c r="VI27" s="140"/>
      <c r="VJ27" s="140"/>
      <c r="VK27" s="140"/>
      <c r="VL27" s="140"/>
      <c r="VM27" s="140"/>
      <c r="VN27" s="140"/>
      <c r="VO27" s="140"/>
      <c r="VP27" s="140"/>
      <c r="VQ27" s="140"/>
      <c r="VR27" s="140"/>
      <c r="VS27" s="140"/>
      <c r="VT27" s="140"/>
      <c r="VU27" s="140"/>
      <c r="VV27" s="140"/>
      <c r="VW27" s="140"/>
      <c r="VX27" s="140"/>
      <c r="VY27" s="140"/>
      <c r="VZ27" s="140"/>
      <c r="WA27" s="140"/>
      <c r="WB27" s="140"/>
      <c r="WC27" s="140"/>
      <c r="WD27" s="140"/>
      <c r="WE27" s="140"/>
      <c r="WF27" s="140"/>
      <c r="WG27" s="140"/>
      <c r="WH27" s="140"/>
      <c r="WI27" s="140"/>
      <c r="WJ27" s="140"/>
      <c r="WK27" s="140"/>
      <c r="WL27" s="140"/>
      <c r="WM27" s="140"/>
      <c r="WN27" s="140"/>
      <c r="WO27" s="140"/>
      <c r="WP27" s="140"/>
      <c r="WQ27" s="140"/>
      <c r="WR27" s="140"/>
      <c r="WS27" s="140"/>
      <c r="WT27" s="140"/>
      <c r="WU27" s="140"/>
      <c r="WV27" s="140"/>
      <c r="WW27" s="140"/>
      <c r="WX27" s="140"/>
      <c r="WY27" s="140"/>
      <c r="WZ27" s="140"/>
      <c r="XA27" s="140"/>
      <c r="XB27" s="140"/>
      <c r="XC27" s="140"/>
      <c r="XD27" s="140"/>
      <c r="XE27" s="140"/>
      <c r="XF27" s="140"/>
      <c r="XG27" s="140"/>
      <c r="XH27" s="140"/>
      <c r="XI27" s="140"/>
      <c r="XJ27" s="140"/>
      <c r="XK27" s="140"/>
      <c r="XL27" s="140"/>
      <c r="XM27" s="140"/>
      <c r="XN27" s="140"/>
      <c r="XO27" s="140"/>
      <c r="XP27" s="140"/>
      <c r="XQ27" s="140"/>
      <c r="XR27" s="140"/>
      <c r="XS27" s="140"/>
      <c r="XT27" s="140"/>
      <c r="XU27" s="140"/>
      <c r="XV27" s="140"/>
      <c r="XW27" s="140"/>
      <c r="XX27" s="140"/>
      <c r="XY27" s="140"/>
      <c r="XZ27" s="140"/>
      <c r="YA27" s="140"/>
      <c r="YB27" s="140"/>
      <c r="YC27" s="140"/>
      <c r="YD27" s="140"/>
      <c r="YE27" s="140"/>
      <c r="YF27" s="140"/>
      <c r="YG27" s="140"/>
      <c r="YH27" s="140"/>
      <c r="YI27" s="140"/>
      <c r="YJ27" s="140"/>
      <c r="YK27" s="140"/>
      <c r="YL27" s="140"/>
      <c r="YM27" s="140"/>
      <c r="YN27" s="140"/>
      <c r="YO27" s="140"/>
      <c r="YP27" s="140"/>
      <c r="YQ27" s="140"/>
      <c r="YR27" s="140"/>
      <c r="YS27" s="140"/>
      <c r="YT27" s="140"/>
      <c r="YU27" s="140"/>
      <c r="YV27" s="140"/>
      <c r="YW27" s="140"/>
      <c r="YX27" s="140"/>
      <c r="YY27" s="140"/>
      <c r="YZ27" s="140"/>
      <c r="ZA27" s="140"/>
      <c r="ZB27" s="140"/>
      <c r="ZC27" s="140"/>
      <c r="ZD27" s="140"/>
      <c r="ZE27" s="140"/>
      <c r="ZF27" s="140"/>
      <c r="ZG27" s="140"/>
      <c r="ZH27" s="140"/>
      <c r="ZI27" s="140"/>
      <c r="ZJ27" s="140"/>
      <c r="ZK27" s="140"/>
      <c r="ZL27" s="140"/>
      <c r="ZM27" s="140"/>
      <c r="ZN27" s="140"/>
      <c r="ZO27" s="140"/>
      <c r="ZP27" s="140"/>
      <c r="ZQ27" s="140"/>
      <c r="ZR27" s="140"/>
      <c r="ZS27" s="140"/>
      <c r="ZT27" s="140"/>
      <c r="ZU27" s="140"/>
      <c r="ZV27" s="140"/>
      <c r="ZW27" s="140"/>
      <c r="ZX27" s="140"/>
      <c r="ZY27" s="140"/>
      <c r="ZZ27" s="140"/>
      <c r="AAA27" s="140"/>
      <c r="AAB27" s="140"/>
      <c r="AAC27" s="140"/>
      <c r="AAD27" s="140"/>
      <c r="AAE27" s="140"/>
      <c r="AAF27" s="140"/>
      <c r="AAG27" s="140"/>
      <c r="AAH27" s="140"/>
      <c r="AAI27" s="140"/>
      <c r="AAJ27" s="140"/>
      <c r="AAK27" s="140"/>
      <c r="AAL27" s="140"/>
      <c r="AAM27" s="140"/>
      <c r="AAN27" s="140"/>
      <c r="AAO27" s="140"/>
      <c r="AAP27" s="140"/>
      <c r="AAQ27" s="140"/>
      <c r="AAR27" s="140"/>
      <c r="AAS27" s="140"/>
      <c r="AAT27" s="140"/>
      <c r="AAU27" s="140"/>
      <c r="AAV27" s="140"/>
      <c r="AAW27" s="140"/>
      <c r="AAX27" s="140"/>
      <c r="AAY27" s="140"/>
      <c r="AAZ27" s="140"/>
      <c r="ABA27" s="140"/>
      <c r="ABB27" s="140"/>
      <c r="ABC27" s="140"/>
      <c r="ABD27" s="140"/>
      <c r="ABE27" s="140"/>
      <c r="ABF27" s="140"/>
      <c r="ABG27" s="140"/>
      <c r="ABH27" s="140"/>
      <c r="ABI27" s="140"/>
      <c r="ABJ27" s="140"/>
      <c r="ABK27" s="140"/>
      <c r="ABL27" s="140"/>
      <c r="ABM27" s="140"/>
      <c r="ABN27" s="140"/>
      <c r="ABO27" s="140"/>
      <c r="ABP27" s="140"/>
      <c r="ABQ27" s="140"/>
      <c r="ABR27" s="140"/>
      <c r="ABS27" s="140"/>
      <c r="ABT27" s="140"/>
      <c r="ABU27" s="140"/>
      <c r="ABV27" s="140"/>
      <c r="ABW27" s="140"/>
      <c r="ABX27" s="140"/>
      <c r="ABY27" s="140"/>
      <c r="ABZ27" s="140"/>
      <c r="ACA27" s="140"/>
      <c r="ACB27" s="140"/>
      <c r="ACC27" s="140"/>
      <c r="ACD27" s="140"/>
      <c r="ACE27" s="140"/>
      <c r="ACF27" s="140"/>
      <c r="ACG27" s="140"/>
      <c r="ACH27" s="140"/>
      <c r="ACI27" s="140"/>
      <c r="ACJ27" s="140"/>
      <c r="ACK27" s="140"/>
      <c r="ACL27" s="140"/>
      <c r="ACM27" s="140"/>
      <c r="ACN27" s="140"/>
      <c r="ACO27" s="140"/>
      <c r="ACP27" s="140"/>
      <c r="ACQ27" s="140"/>
      <c r="ACR27" s="140"/>
      <c r="ACS27" s="140"/>
      <c r="ACT27" s="140"/>
      <c r="ACU27" s="140"/>
      <c r="ACV27" s="140"/>
      <c r="ACW27" s="140"/>
      <c r="ACX27" s="140"/>
      <c r="ACY27" s="140"/>
      <c r="ACZ27" s="140"/>
      <c r="ADA27" s="140"/>
      <c r="ADB27" s="140"/>
      <c r="ADC27" s="140"/>
      <c r="ADD27" s="140"/>
      <c r="ADE27" s="140"/>
      <c r="ADF27" s="140"/>
      <c r="ADG27" s="140"/>
      <c r="ADH27" s="140"/>
      <c r="ADI27" s="140"/>
      <c r="ADJ27" s="140"/>
      <c r="ADK27" s="140"/>
      <c r="ADL27" s="140"/>
      <c r="ADM27" s="140"/>
      <c r="ADN27" s="140"/>
      <c r="ADO27" s="140"/>
      <c r="ADP27" s="140"/>
      <c r="ADQ27" s="140"/>
      <c r="ADR27" s="140"/>
      <c r="ADS27" s="140"/>
      <c r="ADT27" s="140"/>
      <c r="ADU27" s="140"/>
      <c r="ADV27" s="140"/>
      <c r="ADW27" s="140"/>
      <c r="ADX27" s="140"/>
      <c r="ADY27" s="140"/>
      <c r="ADZ27" s="140"/>
      <c r="AEA27" s="140"/>
      <c r="AEB27" s="140"/>
      <c r="AEC27" s="140"/>
      <c r="AED27" s="140"/>
      <c r="AEE27" s="140"/>
      <c r="AEF27" s="140"/>
      <c r="AEG27" s="140"/>
      <c r="AEH27" s="140"/>
      <c r="AEI27" s="140"/>
      <c r="AEJ27" s="140"/>
      <c r="AEK27" s="140"/>
      <c r="AEL27" s="140"/>
      <c r="AEM27" s="140"/>
      <c r="AEN27" s="140"/>
      <c r="AEO27" s="140"/>
      <c r="AEP27" s="140"/>
      <c r="AEQ27" s="140"/>
      <c r="AER27" s="140"/>
      <c r="AES27" s="140"/>
      <c r="AET27" s="140"/>
      <c r="AEU27" s="140"/>
      <c r="AEV27" s="140"/>
      <c r="AEW27" s="140"/>
      <c r="AEX27" s="140"/>
      <c r="AEY27" s="140"/>
      <c r="AEZ27" s="140"/>
      <c r="AFA27" s="140"/>
      <c r="AFB27" s="140"/>
      <c r="AFC27" s="140"/>
      <c r="AFD27" s="140"/>
      <c r="AFE27" s="140"/>
      <c r="AFF27" s="140"/>
      <c r="AFG27" s="140"/>
      <c r="AFH27" s="140"/>
      <c r="AFI27" s="140"/>
      <c r="AFJ27" s="140"/>
      <c r="AFK27" s="140"/>
      <c r="AFL27" s="140"/>
      <c r="AFM27" s="140"/>
      <c r="AFN27" s="140"/>
      <c r="AFO27" s="140"/>
      <c r="AFP27" s="140"/>
      <c r="AFQ27" s="140"/>
      <c r="AFR27" s="140"/>
      <c r="AFS27" s="140"/>
      <c r="AFT27" s="140"/>
      <c r="AFU27" s="140"/>
      <c r="AFV27" s="140"/>
      <c r="AFW27" s="140"/>
      <c r="AFX27" s="140"/>
      <c r="AFY27" s="140"/>
      <c r="AFZ27" s="140"/>
      <c r="AGA27" s="140"/>
      <c r="AGB27" s="140"/>
      <c r="AGC27" s="140"/>
      <c r="AGD27" s="140"/>
      <c r="AGE27" s="140"/>
      <c r="AGF27" s="140"/>
      <c r="AGG27" s="140"/>
      <c r="AGH27" s="140"/>
      <c r="AGI27" s="140"/>
      <c r="AGJ27" s="140"/>
      <c r="AGK27" s="140"/>
      <c r="AGL27" s="140"/>
      <c r="AGM27" s="140"/>
      <c r="AGN27" s="140"/>
      <c r="AGO27" s="140"/>
      <c r="AGP27" s="140"/>
      <c r="AGQ27" s="140"/>
      <c r="AGR27" s="140"/>
      <c r="AGS27" s="140"/>
      <c r="AGT27" s="140"/>
      <c r="AGU27" s="140"/>
      <c r="AGV27" s="140"/>
      <c r="AGW27" s="140"/>
      <c r="AGX27" s="140"/>
      <c r="AGY27" s="140"/>
      <c r="AGZ27" s="140"/>
      <c r="AHA27" s="140"/>
      <c r="AHB27" s="140"/>
      <c r="AHC27" s="140"/>
    </row>
    <row r="28" spans="1:887" ht="20.100000000000001" customHeight="1">
      <c r="A28" s="191" t="str">
        <f>VLOOKUP(C28,'BASE DE DADOS'!A:B,2,FALSE)</f>
        <v>PREPARA INATIVOS</v>
      </c>
      <c r="B28" s="90" t="s">
        <v>198</v>
      </c>
      <c r="C28" s="191" t="s">
        <v>199</v>
      </c>
      <c r="D28" s="75">
        <v>63160.93</v>
      </c>
      <c r="E28" s="76">
        <v>70951.22</v>
      </c>
      <c r="F28" s="103"/>
      <c r="G28" s="192"/>
      <c r="H28" s="193"/>
      <c r="I28" s="193"/>
      <c r="J28" s="193"/>
      <c r="K28" s="193"/>
      <c r="L28" s="193"/>
      <c r="M28" s="193"/>
      <c r="N28" s="193" t="s">
        <v>1743</v>
      </c>
      <c r="O28" s="202">
        <v>45005</v>
      </c>
      <c r="P28" s="146" t="s">
        <v>2787</v>
      </c>
      <c r="Q28" s="112" t="s">
        <v>2790</v>
      </c>
    </row>
    <row r="29" spans="1:887" ht="20.100000000000001" customHeight="1">
      <c r="A29" s="191" t="str">
        <f>VLOOKUP(C29,'BASE DE DADOS'!A:B,2,FALSE)</f>
        <v>PREPARA INATIVOS</v>
      </c>
      <c r="B29" s="90" t="s">
        <v>528</v>
      </c>
      <c r="C29" s="191" t="s">
        <v>529</v>
      </c>
      <c r="D29" s="75">
        <v>30000</v>
      </c>
      <c r="E29" s="76">
        <v>84342.17</v>
      </c>
      <c r="F29" s="103"/>
      <c r="G29" s="192"/>
      <c r="H29" s="193"/>
      <c r="I29" s="193"/>
      <c r="J29" s="193"/>
      <c r="K29" s="193"/>
      <c r="L29" s="193"/>
      <c r="M29" s="193"/>
      <c r="N29" s="193" t="s">
        <v>1743</v>
      </c>
      <c r="O29" s="202">
        <v>45036</v>
      </c>
      <c r="P29" s="146" t="s">
        <v>2763</v>
      </c>
      <c r="Q29" s="204" t="s">
        <v>2465</v>
      </c>
    </row>
    <row r="30" spans="1:887" ht="20.100000000000001" customHeight="1">
      <c r="A30" s="198" t="str">
        <f>VLOOKUP(C30,'BASE DE DADOS'!A:B,2,FALSE)</f>
        <v>ENSINA MAIS INATIVOS</v>
      </c>
      <c r="B30" s="199" t="s">
        <v>45</v>
      </c>
      <c r="C30" s="198" t="s">
        <v>46</v>
      </c>
      <c r="D30" s="162">
        <v>67989.67</v>
      </c>
      <c r="E30" s="162"/>
      <c r="F30" s="163"/>
      <c r="G30" s="200"/>
      <c r="H30" s="201"/>
      <c r="I30" s="201"/>
      <c r="J30" s="201" t="s">
        <v>1743</v>
      </c>
      <c r="K30" s="201"/>
      <c r="L30" s="201"/>
      <c r="M30" s="201"/>
      <c r="N30" s="201"/>
      <c r="O30" s="201"/>
      <c r="P30" s="157"/>
      <c r="Q30" s="195"/>
    </row>
    <row r="31" spans="1:887" ht="20.100000000000001" customHeight="1">
      <c r="A31" s="191" t="str">
        <f>VLOOKUP(C31,'BASE DE DADOS'!A:B,2,FALSE)</f>
        <v>PREPARA INATIVOS</v>
      </c>
      <c r="B31" s="90" t="s">
        <v>926</v>
      </c>
      <c r="C31" s="191" t="s">
        <v>927</v>
      </c>
      <c r="D31" s="75">
        <v>11905.33</v>
      </c>
      <c r="E31" s="76">
        <v>11905.33</v>
      </c>
      <c r="F31" s="103"/>
      <c r="G31" s="192"/>
      <c r="H31" s="193"/>
      <c r="I31" s="193"/>
      <c r="J31" s="193"/>
      <c r="K31" s="193"/>
      <c r="L31" s="193"/>
      <c r="M31" s="193"/>
      <c r="N31" s="193" t="s">
        <v>1743</v>
      </c>
      <c r="O31" s="202">
        <v>44844</v>
      </c>
      <c r="P31" s="146" t="s">
        <v>2765</v>
      </c>
      <c r="Q31" s="195" t="s">
        <v>2424</v>
      </c>
    </row>
    <row r="32" spans="1:887" ht="20.100000000000001" customHeight="1">
      <c r="A32" s="191" t="str">
        <f>VLOOKUP(C32,'BASE DE DADOS'!A:B,2,FALSE)</f>
        <v>PREPARA INATIVOS</v>
      </c>
      <c r="B32" s="90" t="s">
        <v>926</v>
      </c>
      <c r="C32" s="191" t="s">
        <v>927</v>
      </c>
      <c r="D32" s="75">
        <v>77663.75</v>
      </c>
      <c r="E32" s="76">
        <v>77663.75</v>
      </c>
      <c r="F32" s="103"/>
      <c r="G32" s="192"/>
      <c r="H32" s="193"/>
      <c r="I32" s="193"/>
      <c r="J32" s="193"/>
      <c r="K32" s="193"/>
      <c r="L32" s="193"/>
      <c r="M32" s="193"/>
      <c r="N32" s="193" t="s">
        <v>1743</v>
      </c>
      <c r="O32" s="202">
        <v>44895</v>
      </c>
      <c r="P32" s="146" t="s">
        <v>2764</v>
      </c>
      <c r="Q32" s="195" t="s">
        <v>2425</v>
      </c>
    </row>
    <row r="33" spans="1:887" ht="20.100000000000001" customHeight="1">
      <c r="A33" s="191" t="str">
        <f>VLOOKUP(C33,'BASE DE DADOS'!A:B,2,FALSE)</f>
        <v>PREPARA INATIVOS</v>
      </c>
      <c r="B33" s="90" t="s">
        <v>433</v>
      </c>
      <c r="C33" s="191" t="s">
        <v>434</v>
      </c>
      <c r="D33" s="75">
        <v>104731.37</v>
      </c>
      <c r="E33" s="76">
        <v>119146.27</v>
      </c>
      <c r="F33" s="103"/>
      <c r="G33" s="192"/>
      <c r="H33" s="193"/>
      <c r="I33" s="193"/>
      <c r="J33" s="193"/>
      <c r="K33" s="193"/>
      <c r="L33" s="193"/>
      <c r="M33" s="193"/>
      <c r="N33" s="193" t="s">
        <v>1743</v>
      </c>
      <c r="O33" s="202">
        <v>44973</v>
      </c>
      <c r="P33" s="146" t="s">
        <v>2766</v>
      </c>
      <c r="Q33" s="195"/>
    </row>
    <row r="34" spans="1:887" ht="20.100000000000001" customHeight="1">
      <c r="A34" s="191" t="str">
        <f>VLOOKUP(C34,'BASE DE DADOS'!A:B,2,FALSE)</f>
        <v>MICROLINS</v>
      </c>
      <c r="B34" s="90" t="s">
        <v>1827</v>
      </c>
      <c r="C34" s="191" t="s">
        <v>1828</v>
      </c>
      <c r="D34" s="75">
        <v>71640.23</v>
      </c>
      <c r="E34" s="98">
        <v>121945.92</v>
      </c>
      <c r="F34" s="103"/>
      <c r="G34" s="192"/>
      <c r="H34" s="193"/>
      <c r="I34" s="193"/>
      <c r="J34" s="193"/>
      <c r="K34" s="193"/>
      <c r="L34" s="193"/>
      <c r="M34" s="193"/>
      <c r="N34" s="193" t="s">
        <v>1743</v>
      </c>
      <c r="O34" s="202">
        <v>45026</v>
      </c>
      <c r="P34" s="146" t="s">
        <v>2775</v>
      </c>
      <c r="Q34" s="205" t="s">
        <v>2402</v>
      </c>
    </row>
    <row r="35" spans="1:887" ht="20.100000000000001" customHeight="1">
      <c r="A35" s="191" t="str">
        <f>VLOOKUP(C35,'BASE DE DADOS'!A:B,2,FALSE)</f>
        <v>PREPARA INATIVOS</v>
      </c>
      <c r="B35" s="90" t="s">
        <v>580</v>
      </c>
      <c r="C35" s="191" t="s">
        <v>581</v>
      </c>
      <c r="D35" s="75">
        <v>91403.57</v>
      </c>
      <c r="E35" s="76">
        <v>46632.69</v>
      </c>
      <c r="F35" s="103"/>
      <c r="G35" s="192"/>
      <c r="H35" s="193"/>
      <c r="I35" s="193"/>
      <c r="J35" s="193"/>
      <c r="K35" s="193"/>
      <c r="L35" s="193"/>
      <c r="M35" s="193"/>
      <c r="N35" s="193" t="s">
        <v>1743</v>
      </c>
      <c r="O35" s="202">
        <v>44777</v>
      </c>
      <c r="P35" s="146" t="s">
        <v>2768</v>
      </c>
      <c r="Q35" s="195"/>
    </row>
    <row r="36" spans="1:887" ht="20.100000000000001" customHeight="1">
      <c r="A36" s="191" t="str">
        <f>VLOOKUP(C36,'BASE DE DADOS'!A:B,2,FALSE)</f>
        <v>ENSINA MAIS INATIVOS</v>
      </c>
      <c r="B36" s="90" t="s">
        <v>49</v>
      </c>
      <c r="C36" s="191" t="s">
        <v>50</v>
      </c>
      <c r="D36" s="75">
        <v>35148.15</v>
      </c>
      <c r="E36" s="76">
        <v>51061.57</v>
      </c>
      <c r="F36" s="103"/>
      <c r="G36" s="192"/>
      <c r="H36" s="193"/>
      <c r="I36" s="193"/>
      <c r="J36" s="193"/>
      <c r="K36" s="193"/>
      <c r="L36" s="193"/>
      <c r="M36" s="193"/>
      <c r="N36" s="193" t="s">
        <v>1743</v>
      </c>
      <c r="O36" s="202">
        <v>44524</v>
      </c>
      <c r="P36" s="146" t="s">
        <v>2769</v>
      </c>
      <c r="Q36" s="195"/>
      <c r="S36" s="111" t="s">
        <v>2640</v>
      </c>
    </row>
    <row r="37" spans="1:887" ht="20.100000000000001" customHeight="1">
      <c r="A37" s="198" t="str">
        <f>VLOOKUP(C37,'BASE DE DADOS'!A:B,2,FALSE)</f>
        <v>PREPARA INATIVOS</v>
      </c>
      <c r="B37" s="199" t="s">
        <v>1098</v>
      </c>
      <c r="C37" s="198" t="s">
        <v>1099</v>
      </c>
      <c r="D37" s="162">
        <v>20863.7</v>
      </c>
      <c r="E37" s="162"/>
      <c r="F37" s="163"/>
      <c r="G37" s="200"/>
      <c r="H37" s="201"/>
      <c r="I37" s="201"/>
      <c r="J37" s="201" t="s">
        <v>1743</v>
      </c>
      <c r="K37" s="201"/>
      <c r="L37" s="201"/>
      <c r="M37" s="201"/>
      <c r="N37" s="201"/>
      <c r="O37" s="201"/>
      <c r="P37" s="157"/>
      <c r="Q37" s="195" t="s">
        <v>2476</v>
      </c>
    </row>
    <row r="38" spans="1:887" s="141" customFormat="1" ht="20.100000000000001" customHeight="1">
      <c r="A38" s="164" t="s">
        <v>2159</v>
      </c>
      <c r="B38" s="165" t="s">
        <v>811</v>
      </c>
      <c r="C38" s="164" t="s">
        <v>3534</v>
      </c>
      <c r="D38" s="166">
        <v>21061.78</v>
      </c>
      <c r="E38" s="166"/>
      <c r="F38" s="167"/>
      <c r="G38" s="168"/>
      <c r="H38" s="169"/>
      <c r="I38" s="169"/>
      <c r="J38" s="169" t="s">
        <v>1743</v>
      </c>
      <c r="K38" s="169"/>
      <c r="L38" s="169"/>
      <c r="M38" s="169"/>
      <c r="N38" s="169"/>
      <c r="O38" s="169"/>
      <c r="P38" s="170"/>
      <c r="Q38" s="139" t="s">
        <v>2377</v>
      </c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40"/>
      <c r="BI38" s="140"/>
      <c r="BJ38" s="140"/>
      <c r="BK38" s="140"/>
      <c r="BL38" s="140"/>
      <c r="BM38" s="140"/>
      <c r="BN38" s="140"/>
      <c r="BO38" s="140"/>
      <c r="BP38" s="140"/>
      <c r="BQ38" s="140"/>
      <c r="BR38" s="140"/>
      <c r="BS38" s="140"/>
      <c r="BT38" s="140"/>
      <c r="BU38" s="140"/>
      <c r="BV38" s="140"/>
      <c r="BW38" s="140"/>
      <c r="BX38" s="140"/>
      <c r="BY38" s="140"/>
      <c r="BZ38" s="140"/>
      <c r="CA38" s="140"/>
      <c r="CB38" s="140"/>
      <c r="CC38" s="140"/>
      <c r="CD38" s="140"/>
      <c r="CE38" s="140"/>
      <c r="CF38" s="140"/>
      <c r="CG38" s="140"/>
      <c r="CH38" s="140"/>
      <c r="CI38" s="140"/>
      <c r="CJ38" s="140"/>
      <c r="CK38" s="140"/>
      <c r="CL38" s="140"/>
      <c r="CM38" s="140"/>
      <c r="CN38" s="140"/>
      <c r="CO38" s="140"/>
      <c r="CP38" s="140"/>
      <c r="CQ38" s="140"/>
      <c r="CR38" s="140"/>
      <c r="CS38" s="140"/>
      <c r="CT38" s="140"/>
      <c r="CU38" s="140"/>
      <c r="CV38" s="140"/>
      <c r="CW38" s="140"/>
      <c r="CX38" s="140"/>
      <c r="CY38" s="140"/>
      <c r="CZ38" s="140"/>
      <c r="DA38" s="140"/>
      <c r="DB38" s="140"/>
      <c r="DC38" s="140"/>
      <c r="DD38" s="140"/>
      <c r="DE38" s="140"/>
      <c r="DF38" s="140"/>
      <c r="DG38" s="140"/>
      <c r="DH38" s="140"/>
      <c r="DI38" s="140"/>
      <c r="DJ38" s="140"/>
      <c r="DK38" s="140"/>
      <c r="DL38" s="140"/>
      <c r="DM38" s="140"/>
      <c r="DN38" s="140"/>
      <c r="DO38" s="140"/>
      <c r="DP38" s="140"/>
      <c r="DQ38" s="140"/>
      <c r="DR38" s="140"/>
      <c r="DS38" s="140"/>
      <c r="DT38" s="140"/>
      <c r="DU38" s="140"/>
      <c r="DV38" s="140"/>
      <c r="DW38" s="140"/>
      <c r="DX38" s="140"/>
      <c r="DY38" s="140"/>
      <c r="DZ38" s="140"/>
      <c r="EA38" s="140"/>
      <c r="EB38" s="140"/>
      <c r="EC38" s="140"/>
      <c r="ED38" s="140"/>
      <c r="EE38" s="140"/>
      <c r="EF38" s="140"/>
      <c r="EG38" s="140"/>
      <c r="EH38" s="140"/>
      <c r="EI38" s="140"/>
      <c r="EJ38" s="140"/>
      <c r="EK38" s="140"/>
      <c r="EL38" s="140"/>
      <c r="EM38" s="140"/>
      <c r="EN38" s="140"/>
      <c r="EO38" s="140"/>
      <c r="EP38" s="140"/>
      <c r="EQ38" s="140"/>
      <c r="ER38" s="140"/>
      <c r="ES38" s="140"/>
      <c r="ET38" s="140"/>
      <c r="EU38" s="140"/>
      <c r="EV38" s="140"/>
      <c r="EW38" s="140"/>
      <c r="EX38" s="140"/>
      <c r="EY38" s="140"/>
      <c r="EZ38" s="140"/>
      <c r="FA38" s="140"/>
      <c r="FB38" s="140"/>
      <c r="FC38" s="140"/>
      <c r="FD38" s="140"/>
      <c r="FE38" s="140"/>
      <c r="FF38" s="140"/>
      <c r="FG38" s="140"/>
      <c r="FH38" s="140"/>
      <c r="FI38" s="140"/>
      <c r="FJ38" s="140"/>
      <c r="FK38" s="140"/>
      <c r="FL38" s="140"/>
      <c r="FM38" s="140"/>
      <c r="FN38" s="140"/>
      <c r="FO38" s="140"/>
      <c r="FP38" s="140"/>
      <c r="FQ38" s="140"/>
      <c r="FR38" s="140"/>
      <c r="FS38" s="140"/>
      <c r="FT38" s="140"/>
      <c r="FU38" s="140"/>
      <c r="FV38" s="140"/>
      <c r="FW38" s="140"/>
      <c r="FX38" s="140"/>
      <c r="FY38" s="140"/>
      <c r="FZ38" s="140"/>
      <c r="GA38" s="140"/>
      <c r="GB38" s="140"/>
      <c r="GC38" s="140"/>
      <c r="GD38" s="140"/>
      <c r="GE38" s="140"/>
      <c r="GF38" s="140"/>
      <c r="GG38" s="140"/>
      <c r="GH38" s="140"/>
      <c r="GI38" s="140"/>
      <c r="GJ38" s="140"/>
      <c r="GK38" s="140"/>
      <c r="GL38" s="140"/>
      <c r="GM38" s="140"/>
      <c r="GN38" s="140"/>
      <c r="GO38" s="140"/>
      <c r="GP38" s="140"/>
      <c r="GQ38" s="140"/>
      <c r="GR38" s="140"/>
      <c r="GS38" s="140"/>
      <c r="GT38" s="140"/>
      <c r="GU38" s="140"/>
      <c r="GV38" s="140"/>
      <c r="GW38" s="140"/>
      <c r="GX38" s="140"/>
      <c r="GY38" s="140"/>
      <c r="GZ38" s="140"/>
      <c r="HA38" s="140"/>
      <c r="HB38" s="140"/>
      <c r="HC38" s="140"/>
      <c r="HD38" s="140"/>
      <c r="HE38" s="140"/>
      <c r="HF38" s="140"/>
      <c r="HG38" s="140"/>
      <c r="HH38" s="140"/>
      <c r="HI38" s="140"/>
      <c r="HJ38" s="140"/>
      <c r="HK38" s="140"/>
      <c r="HL38" s="140"/>
      <c r="HM38" s="140"/>
      <c r="HN38" s="140"/>
      <c r="HO38" s="140"/>
      <c r="HP38" s="140"/>
      <c r="HQ38" s="140"/>
      <c r="HR38" s="140"/>
      <c r="HS38" s="140"/>
      <c r="HT38" s="140"/>
      <c r="HU38" s="140"/>
      <c r="HV38" s="140"/>
      <c r="HW38" s="140"/>
      <c r="HX38" s="140"/>
      <c r="HY38" s="140"/>
      <c r="HZ38" s="140"/>
      <c r="IA38" s="140"/>
      <c r="IB38" s="140"/>
      <c r="IC38" s="140"/>
      <c r="ID38" s="140"/>
      <c r="IE38" s="140"/>
      <c r="IF38" s="140"/>
      <c r="IG38" s="140"/>
      <c r="IH38" s="140"/>
      <c r="II38" s="140"/>
      <c r="IJ38" s="140"/>
      <c r="IK38" s="140"/>
      <c r="IL38" s="140"/>
      <c r="IM38" s="140"/>
      <c r="IN38" s="140"/>
      <c r="IO38" s="140"/>
      <c r="IP38" s="140"/>
      <c r="IQ38" s="140"/>
      <c r="IR38" s="140"/>
      <c r="IS38" s="140"/>
      <c r="IT38" s="140"/>
      <c r="IU38" s="140"/>
      <c r="IV38" s="140"/>
      <c r="IW38" s="140"/>
      <c r="IX38" s="140"/>
      <c r="IY38" s="140"/>
      <c r="IZ38" s="140"/>
      <c r="JA38" s="140"/>
      <c r="JB38" s="140"/>
      <c r="JC38" s="140"/>
      <c r="JD38" s="140"/>
      <c r="JE38" s="140"/>
      <c r="JF38" s="140"/>
      <c r="JG38" s="140"/>
      <c r="JH38" s="140"/>
      <c r="JI38" s="140"/>
      <c r="JJ38" s="140"/>
      <c r="JK38" s="140"/>
      <c r="JL38" s="140"/>
      <c r="JM38" s="140"/>
      <c r="JN38" s="140"/>
      <c r="JO38" s="140"/>
      <c r="JP38" s="140"/>
      <c r="JQ38" s="140"/>
      <c r="JR38" s="140"/>
      <c r="JS38" s="140"/>
      <c r="JT38" s="140"/>
      <c r="JU38" s="140"/>
      <c r="JV38" s="140"/>
      <c r="JW38" s="140"/>
      <c r="JX38" s="140"/>
      <c r="JY38" s="140"/>
      <c r="JZ38" s="140"/>
      <c r="KA38" s="140"/>
      <c r="KB38" s="140"/>
      <c r="KC38" s="140"/>
      <c r="KD38" s="140"/>
      <c r="KE38" s="140"/>
      <c r="KF38" s="140"/>
      <c r="KG38" s="140"/>
      <c r="KH38" s="140"/>
      <c r="KI38" s="140"/>
      <c r="KJ38" s="140"/>
      <c r="KK38" s="140"/>
      <c r="KL38" s="140"/>
      <c r="KM38" s="140"/>
      <c r="KN38" s="140"/>
      <c r="KO38" s="140"/>
      <c r="KP38" s="140"/>
      <c r="KQ38" s="140"/>
      <c r="KR38" s="140"/>
      <c r="KS38" s="140"/>
      <c r="KT38" s="140"/>
      <c r="KU38" s="140"/>
      <c r="KV38" s="140"/>
      <c r="KW38" s="140"/>
      <c r="KX38" s="140"/>
      <c r="KY38" s="140"/>
      <c r="KZ38" s="140"/>
      <c r="LA38" s="140"/>
      <c r="LB38" s="140"/>
      <c r="LC38" s="140"/>
      <c r="LD38" s="140"/>
      <c r="LE38" s="140"/>
      <c r="LF38" s="140"/>
      <c r="LG38" s="140"/>
      <c r="LH38" s="140"/>
      <c r="LI38" s="140"/>
      <c r="LJ38" s="140"/>
      <c r="LK38" s="140"/>
      <c r="LL38" s="140"/>
      <c r="LM38" s="140"/>
      <c r="LN38" s="140"/>
      <c r="LO38" s="140"/>
      <c r="LP38" s="140"/>
      <c r="LQ38" s="140"/>
      <c r="LR38" s="140"/>
      <c r="LS38" s="140"/>
      <c r="LT38" s="140"/>
      <c r="LU38" s="140"/>
      <c r="LV38" s="140"/>
      <c r="LW38" s="140"/>
      <c r="LX38" s="140"/>
      <c r="LY38" s="140"/>
      <c r="LZ38" s="140"/>
      <c r="MA38" s="140"/>
      <c r="MB38" s="140"/>
      <c r="MC38" s="140"/>
      <c r="MD38" s="140"/>
      <c r="ME38" s="140"/>
      <c r="MF38" s="140"/>
      <c r="MG38" s="140"/>
      <c r="MH38" s="140"/>
      <c r="MI38" s="140"/>
      <c r="MJ38" s="140"/>
      <c r="MK38" s="140"/>
      <c r="ML38" s="140"/>
      <c r="MM38" s="140"/>
      <c r="MN38" s="140"/>
      <c r="MO38" s="140"/>
      <c r="MP38" s="140"/>
      <c r="MQ38" s="140"/>
      <c r="MR38" s="140"/>
      <c r="MS38" s="140"/>
      <c r="MT38" s="140"/>
      <c r="MU38" s="140"/>
      <c r="MV38" s="140"/>
      <c r="MW38" s="140"/>
      <c r="MX38" s="140"/>
      <c r="MY38" s="140"/>
      <c r="MZ38" s="140"/>
      <c r="NA38" s="140"/>
      <c r="NB38" s="140"/>
      <c r="NC38" s="140"/>
      <c r="ND38" s="140"/>
      <c r="NE38" s="140"/>
      <c r="NF38" s="140"/>
      <c r="NG38" s="140"/>
      <c r="NH38" s="140"/>
      <c r="NI38" s="140"/>
      <c r="NJ38" s="140"/>
      <c r="NK38" s="140"/>
      <c r="NL38" s="140"/>
      <c r="NM38" s="140"/>
      <c r="NN38" s="140"/>
      <c r="NO38" s="140"/>
      <c r="NP38" s="140"/>
      <c r="NQ38" s="140"/>
      <c r="NR38" s="140"/>
      <c r="NS38" s="140"/>
      <c r="NT38" s="140"/>
      <c r="NU38" s="140"/>
      <c r="NV38" s="140"/>
      <c r="NW38" s="140"/>
      <c r="NX38" s="140"/>
      <c r="NY38" s="140"/>
      <c r="NZ38" s="140"/>
      <c r="OA38" s="140"/>
      <c r="OB38" s="140"/>
      <c r="OC38" s="140"/>
      <c r="OD38" s="140"/>
      <c r="OE38" s="140"/>
      <c r="OF38" s="140"/>
      <c r="OG38" s="140"/>
      <c r="OH38" s="140"/>
      <c r="OI38" s="140"/>
      <c r="OJ38" s="140"/>
      <c r="OK38" s="140"/>
      <c r="OL38" s="140"/>
      <c r="OM38" s="140"/>
      <c r="ON38" s="140"/>
      <c r="OO38" s="140"/>
      <c r="OP38" s="140"/>
      <c r="OQ38" s="140"/>
      <c r="OR38" s="140"/>
      <c r="OS38" s="140"/>
      <c r="OT38" s="140"/>
      <c r="OU38" s="140"/>
      <c r="OV38" s="140"/>
      <c r="OW38" s="140"/>
      <c r="OX38" s="140"/>
      <c r="OY38" s="140"/>
      <c r="OZ38" s="140"/>
      <c r="PA38" s="140"/>
      <c r="PB38" s="140"/>
      <c r="PC38" s="140"/>
      <c r="PD38" s="140"/>
      <c r="PE38" s="140"/>
      <c r="PF38" s="140"/>
      <c r="PG38" s="140"/>
      <c r="PH38" s="140"/>
      <c r="PI38" s="140"/>
      <c r="PJ38" s="140"/>
      <c r="PK38" s="140"/>
      <c r="PL38" s="140"/>
      <c r="PM38" s="140"/>
      <c r="PN38" s="140"/>
      <c r="PO38" s="140"/>
      <c r="PP38" s="140"/>
      <c r="PQ38" s="140"/>
      <c r="PR38" s="140"/>
      <c r="PS38" s="140"/>
      <c r="PT38" s="140"/>
      <c r="PU38" s="140"/>
      <c r="PV38" s="140"/>
      <c r="PW38" s="140"/>
      <c r="PX38" s="140"/>
      <c r="PY38" s="140"/>
      <c r="PZ38" s="140"/>
      <c r="QA38" s="140"/>
      <c r="QB38" s="140"/>
      <c r="QC38" s="140"/>
      <c r="QD38" s="140"/>
      <c r="QE38" s="140"/>
      <c r="QF38" s="140"/>
      <c r="QG38" s="140"/>
      <c r="QH38" s="140"/>
      <c r="QI38" s="140"/>
      <c r="QJ38" s="140"/>
      <c r="QK38" s="140"/>
      <c r="QL38" s="140"/>
      <c r="QM38" s="140"/>
      <c r="QN38" s="140"/>
      <c r="QO38" s="140"/>
      <c r="QP38" s="140"/>
      <c r="QQ38" s="140"/>
      <c r="QR38" s="140"/>
      <c r="QS38" s="140"/>
      <c r="QT38" s="140"/>
      <c r="QU38" s="140"/>
      <c r="QV38" s="140"/>
      <c r="QW38" s="140"/>
      <c r="QX38" s="140"/>
      <c r="QY38" s="140"/>
      <c r="QZ38" s="140"/>
      <c r="RA38" s="140"/>
      <c r="RB38" s="140"/>
      <c r="RC38" s="140"/>
      <c r="RD38" s="140"/>
      <c r="RE38" s="140"/>
      <c r="RF38" s="140"/>
      <c r="RG38" s="140"/>
      <c r="RH38" s="140"/>
      <c r="RI38" s="140"/>
      <c r="RJ38" s="140"/>
      <c r="RK38" s="140"/>
      <c r="RL38" s="140"/>
      <c r="RM38" s="140"/>
      <c r="RN38" s="140"/>
      <c r="RO38" s="140"/>
      <c r="RP38" s="140"/>
      <c r="RQ38" s="140"/>
      <c r="RR38" s="140"/>
      <c r="RS38" s="140"/>
      <c r="RT38" s="140"/>
      <c r="RU38" s="140"/>
      <c r="RV38" s="140"/>
      <c r="RW38" s="140"/>
      <c r="RX38" s="140"/>
      <c r="RY38" s="140"/>
      <c r="RZ38" s="140"/>
      <c r="SA38" s="140"/>
      <c r="SB38" s="140"/>
      <c r="SC38" s="140"/>
      <c r="SD38" s="140"/>
      <c r="SE38" s="140"/>
      <c r="SF38" s="140"/>
      <c r="SG38" s="140"/>
      <c r="SH38" s="140"/>
      <c r="SI38" s="140"/>
      <c r="SJ38" s="140"/>
      <c r="SK38" s="140"/>
      <c r="SL38" s="140"/>
      <c r="SM38" s="140"/>
      <c r="SN38" s="140"/>
      <c r="SO38" s="140"/>
      <c r="SP38" s="140"/>
      <c r="SQ38" s="140"/>
      <c r="SR38" s="140"/>
      <c r="SS38" s="140"/>
      <c r="ST38" s="140"/>
      <c r="SU38" s="140"/>
      <c r="SV38" s="140"/>
      <c r="SW38" s="140"/>
      <c r="SX38" s="140"/>
      <c r="SY38" s="140"/>
      <c r="SZ38" s="140"/>
      <c r="TA38" s="140"/>
      <c r="TB38" s="140"/>
      <c r="TC38" s="140"/>
      <c r="TD38" s="140"/>
      <c r="TE38" s="140"/>
      <c r="TF38" s="140"/>
      <c r="TG38" s="140"/>
      <c r="TH38" s="140"/>
      <c r="TI38" s="140"/>
      <c r="TJ38" s="140"/>
      <c r="TK38" s="140"/>
      <c r="TL38" s="140"/>
      <c r="TM38" s="140"/>
      <c r="TN38" s="140"/>
      <c r="TO38" s="140"/>
      <c r="TP38" s="140"/>
      <c r="TQ38" s="140"/>
      <c r="TR38" s="140"/>
      <c r="TS38" s="140"/>
      <c r="TT38" s="140"/>
      <c r="TU38" s="140"/>
      <c r="TV38" s="140"/>
      <c r="TW38" s="140"/>
      <c r="TX38" s="140"/>
      <c r="TY38" s="140"/>
      <c r="TZ38" s="140"/>
      <c r="UA38" s="140"/>
      <c r="UB38" s="140"/>
      <c r="UC38" s="140"/>
      <c r="UD38" s="140"/>
      <c r="UE38" s="140"/>
      <c r="UF38" s="140"/>
      <c r="UG38" s="140"/>
      <c r="UH38" s="140"/>
      <c r="UI38" s="140"/>
      <c r="UJ38" s="140"/>
      <c r="UK38" s="140"/>
      <c r="UL38" s="140"/>
      <c r="UM38" s="140"/>
      <c r="UN38" s="140"/>
      <c r="UO38" s="140"/>
      <c r="UP38" s="140"/>
      <c r="UQ38" s="140"/>
      <c r="UR38" s="140"/>
      <c r="US38" s="140"/>
      <c r="UT38" s="140"/>
      <c r="UU38" s="140"/>
      <c r="UV38" s="140"/>
      <c r="UW38" s="140"/>
      <c r="UX38" s="140"/>
      <c r="UY38" s="140"/>
      <c r="UZ38" s="140"/>
      <c r="VA38" s="140"/>
      <c r="VB38" s="140"/>
      <c r="VC38" s="140"/>
      <c r="VD38" s="140"/>
      <c r="VE38" s="140"/>
      <c r="VF38" s="140"/>
      <c r="VG38" s="140"/>
      <c r="VH38" s="140"/>
      <c r="VI38" s="140"/>
      <c r="VJ38" s="140"/>
      <c r="VK38" s="140"/>
      <c r="VL38" s="140"/>
      <c r="VM38" s="140"/>
      <c r="VN38" s="140"/>
      <c r="VO38" s="140"/>
      <c r="VP38" s="140"/>
      <c r="VQ38" s="140"/>
      <c r="VR38" s="140"/>
      <c r="VS38" s="140"/>
      <c r="VT38" s="140"/>
      <c r="VU38" s="140"/>
      <c r="VV38" s="140"/>
      <c r="VW38" s="140"/>
      <c r="VX38" s="140"/>
      <c r="VY38" s="140"/>
      <c r="VZ38" s="140"/>
      <c r="WA38" s="140"/>
      <c r="WB38" s="140"/>
      <c r="WC38" s="140"/>
      <c r="WD38" s="140"/>
      <c r="WE38" s="140"/>
      <c r="WF38" s="140"/>
      <c r="WG38" s="140"/>
      <c r="WH38" s="140"/>
      <c r="WI38" s="140"/>
      <c r="WJ38" s="140"/>
      <c r="WK38" s="140"/>
      <c r="WL38" s="140"/>
      <c r="WM38" s="140"/>
      <c r="WN38" s="140"/>
      <c r="WO38" s="140"/>
      <c r="WP38" s="140"/>
      <c r="WQ38" s="140"/>
      <c r="WR38" s="140"/>
      <c r="WS38" s="140"/>
      <c r="WT38" s="140"/>
      <c r="WU38" s="140"/>
      <c r="WV38" s="140"/>
      <c r="WW38" s="140"/>
      <c r="WX38" s="140"/>
      <c r="WY38" s="140"/>
      <c r="WZ38" s="140"/>
      <c r="XA38" s="140"/>
      <c r="XB38" s="140"/>
      <c r="XC38" s="140"/>
      <c r="XD38" s="140"/>
      <c r="XE38" s="140"/>
      <c r="XF38" s="140"/>
      <c r="XG38" s="140"/>
      <c r="XH38" s="140"/>
      <c r="XI38" s="140"/>
      <c r="XJ38" s="140"/>
      <c r="XK38" s="140"/>
      <c r="XL38" s="140"/>
      <c r="XM38" s="140"/>
      <c r="XN38" s="140"/>
      <c r="XO38" s="140"/>
      <c r="XP38" s="140"/>
      <c r="XQ38" s="140"/>
      <c r="XR38" s="140"/>
      <c r="XS38" s="140"/>
      <c r="XT38" s="140"/>
      <c r="XU38" s="140"/>
      <c r="XV38" s="140"/>
      <c r="XW38" s="140"/>
      <c r="XX38" s="140"/>
      <c r="XY38" s="140"/>
      <c r="XZ38" s="140"/>
      <c r="YA38" s="140"/>
      <c r="YB38" s="140"/>
      <c r="YC38" s="140"/>
      <c r="YD38" s="140"/>
      <c r="YE38" s="140"/>
      <c r="YF38" s="140"/>
      <c r="YG38" s="140"/>
      <c r="YH38" s="140"/>
      <c r="YI38" s="140"/>
      <c r="YJ38" s="140"/>
      <c r="YK38" s="140"/>
      <c r="YL38" s="140"/>
      <c r="YM38" s="140"/>
      <c r="YN38" s="140"/>
      <c r="YO38" s="140"/>
      <c r="YP38" s="140"/>
      <c r="YQ38" s="140"/>
      <c r="YR38" s="140"/>
      <c r="YS38" s="140"/>
      <c r="YT38" s="140"/>
      <c r="YU38" s="140"/>
      <c r="YV38" s="140"/>
      <c r="YW38" s="140"/>
      <c r="YX38" s="140"/>
      <c r="YY38" s="140"/>
      <c r="YZ38" s="140"/>
      <c r="ZA38" s="140"/>
      <c r="ZB38" s="140"/>
      <c r="ZC38" s="140"/>
      <c r="ZD38" s="140"/>
      <c r="ZE38" s="140"/>
      <c r="ZF38" s="140"/>
      <c r="ZG38" s="140"/>
      <c r="ZH38" s="140"/>
      <c r="ZI38" s="140"/>
      <c r="ZJ38" s="140"/>
      <c r="ZK38" s="140"/>
      <c r="ZL38" s="140"/>
      <c r="ZM38" s="140"/>
      <c r="ZN38" s="140"/>
      <c r="ZO38" s="140"/>
      <c r="ZP38" s="140"/>
      <c r="ZQ38" s="140"/>
      <c r="ZR38" s="140"/>
      <c r="ZS38" s="140"/>
      <c r="ZT38" s="140"/>
      <c r="ZU38" s="140"/>
      <c r="ZV38" s="140"/>
      <c r="ZW38" s="140"/>
      <c r="ZX38" s="140"/>
      <c r="ZY38" s="140"/>
      <c r="ZZ38" s="140"/>
      <c r="AAA38" s="140"/>
      <c r="AAB38" s="140"/>
      <c r="AAC38" s="140"/>
      <c r="AAD38" s="140"/>
      <c r="AAE38" s="140"/>
      <c r="AAF38" s="140"/>
      <c r="AAG38" s="140"/>
      <c r="AAH38" s="140"/>
      <c r="AAI38" s="140"/>
      <c r="AAJ38" s="140"/>
      <c r="AAK38" s="140"/>
      <c r="AAL38" s="140"/>
      <c r="AAM38" s="140"/>
      <c r="AAN38" s="140"/>
      <c r="AAO38" s="140"/>
      <c r="AAP38" s="140"/>
      <c r="AAQ38" s="140"/>
      <c r="AAR38" s="140"/>
      <c r="AAS38" s="140"/>
      <c r="AAT38" s="140"/>
      <c r="AAU38" s="140"/>
      <c r="AAV38" s="140"/>
      <c r="AAW38" s="140"/>
      <c r="AAX38" s="140"/>
      <c r="AAY38" s="140"/>
      <c r="AAZ38" s="140"/>
      <c r="ABA38" s="140"/>
      <c r="ABB38" s="140"/>
      <c r="ABC38" s="140"/>
      <c r="ABD38" s="140"/>
      <c r="ABE38" s="140"/>
      <c r="ABF38" s="140"/>
      <c r="ABG38" s="140"/>
      <c r="ABH38" s="140"/>
      <c r="ABI38" s="140"/>
      <c r="ABJ38" s="140"/>
      <c r="ABK38" s="140"/>
      <c r="ABL38" s="140"/>
      <c r="ABM38" s="140"/>
      <c r="ABN38" s="140"/>
      <c r="ABO38" s="140"/>
      <c r="ABP38" s="140"/>
      <c r="ABQ38" s="140"/>
      <c r="ABR38" s="140"/>
      <c r="ABS38" s="140"/>
      <c r="ABT38" s="140"/>
      <c r="ABU38" s="140"/>
      <c r="ABV38" s="140"/>
      <c r="ABW38" s="140"/>
      <c r="ABX38" s="140"/>
      <c r="ABY38" s="140"/>
      <c r="ABZ38" s="140"/>
      <c r="ACA38" s="140"/>
      <c r="ACB38" s="140"/>
      <c r="ACC38" s="140"/>
      <c r="ACD38" s="140"/>
      <c r="ACE38" s="140"/>
      <c r="ACF38" s="140"/>
      <c r="ACG38" s="140"/>
      <c r="ACH38" s="140"/>
      <c r="ACI38" s="140"/>
      <c r="ACJ38" s="140"/>
      <c r="ACK38" s="140"/>
      <c r="ACL38" s="140"/>
      <c r="ACM38" s="140"/>
      <c r="ACN38" s="140"/>
      <c r="ACO38" s="140"/>
      <c r="ACP38" s="140"/>
      <c r="ACQ38" s="140"/>
      <c r="ACR38" s="140"/>
      <c r="ACS38" s="140"/>
      <c r="ACT38" s="140"/>
      <c r="ACU38" s="140"/>
      <c r="ACV38" s="140"/>
      <c r="ACW38" s="140"/>
      <c r="ACX38" s="140"/>
      <c r="ACY38" s="140"/>
      <c r="ACZ38" s="140"/>
      <c r="ADA38" s="140"/>
      <c r="ADB38" s="140"/>
      <c r="ADC38" s="140"/>
      <c r="ADD38" s="140"/>
      <c r="ADE38" s="140"/>
      <c r="ADF38" s="140"/>
      <c r="ADG38" s="140"/>
      <c r="ADH38" s="140"/>
      <c r="ADI38" s="140"/>
      <c r="ADJ38" s="140"/>
      <c r="ADK38" s="140"/>
      <c r="ADL38" s="140"/>
      <c r="ADM38" s="140"/>
      <c r="ADN38" s="140"/>
      <c r="ADO38" s="140"/>
      <c r="ADP38" s="140"/>
      <c r="ADQ38" s="140"/>
      <c r="ADR38" s="140"/>
      <c r="ADS38" s="140"/>
      <c r="ADT38" s="140"/>
      <c r="ADU38" s="140"/>
      <c r="ADV38" s="140"/>
      <c r="ADW38" s="140"/>
      <c r="ADX38" s="140"/>
      <c r="ADY38" s="140"/>
      <c r="ADZ38" s="140"/>
      <c r="AEA38" s="140"/>
      <c r="AEB38" s="140"/>
      <c r="AEC38" s="140"/>
      <c r="AED38" s="140"/>
      <c r="AEE38" s="140"/>
      <c r="AEF38" s="140"/>
      <c r="AEG38" s="140"/>
      <c r="AEH38" s="140"/>
      <c r="AEI38" s="140"/>
      <c r="AEJ38" s="140"/>
      <c r="AEK38" s="140"/>
      <c r="AEL38" s="140"/>
      <c r="AEM38" s="140"/>
      <c r="AEN38" s="140"/>
      <c r="AEO38" s="140"/>
      <c r="AEP38" s="140"/>
      <c r="AEQ38" s="140"/>
      <c r="AER38" s="140"/>
      <c r="AES38" s="140"/>
      <c r="AET38" s="140"/>
      <c r="AEU38" s="140"/>
      <c r="AEV38" s="140"/>
      <c r="AEW38" s="140"/>
      <c r="AEX38" s="140"/>
      <c r="AEY38" s="140"/>
      <c r="AEZ38" s="140"/>
      <c r="AFA38" s="140"/>
      <c r="AFB38" s="140"/>
      <c r="AFC38" s="140"/>
      <c r="AFD38" s="140"/>
      <c r="AFE38" s="140"/>
      <c r="AFF38" s="140"/>
      <c r="AFG38" s="140"/>
      <c r="AFH38" s="140"/>
      <c r="AFI38" s="140"/>
      <c r="AFJ38" s="140"/>
      <c r="AFK38" s="140"/>
      <c r="AFL38" s="140"/>
      <c r="AFM38" s="140"/>
      <c r="AFN38" s="140"/>
      <c r="AFO38" s="140"/>
      <c r="AFP38" s="140"/>
      <c r="AFQ38" s="140"/>
      <c r="AFR38" s="140"/>
      <c r="AFS38" s="140"/>
      <c r="AFT38" s="140"/>
      <c r="AFU38" s="140"/>
      <c r="AFV38" s="140"/>
      <c r="AFW38" s="140"/>
      <c r="AFX38" s="140"/>
      <c r="AFY38" s="140"/>
      <c r="AFZ38" s="140"/>
      <c r="AGA38" s="140"/>
      <c r="AGB38" s="140"/>
      <c r="AGC38" s="140"/>
      <c r="AGD38" s="140"/>
      <c r="AGE38" s="140"/>
      <c r="AGF38" s="140"/>
      <c r="AGG38" s="140"/>
      <c r="AGH38" s="140"/>
      <c r="AGI38" s="140"/>
      <c r="AGJ38" s="140"/>
      <c r="AGK38" s="140"/>
      <c r="AGL38" s="140"/>
      <c r="AGM38" s="140"/>
      <c r="AGN38" s="140"/>
      <c r="AGO38" s="140"/>
      <c r="AGP38" s="140"/>
      <c r="AGQ38" s="140"/>
      <c r="AGR38" s="140"/>
      <c r="AGS38" s="140"/>
      <c r="AGT38" s="140"/>
      <c r="AGU38" s="140"/>
      <c r="AGV38" s="140"/>
      <c r="AGW38" s="140"/>
      <c r="AGX38" s="140"/>
      <c r="AGY38" s="140"/>
      <c r="AGZ38" s="140"/>
      <c r="AHA38" s="140"/>
      <c r="AHB38" s="140"/>
      <c r="AHC38" s="140"/>
    </row>
    <row r="39" spans="1:887" ht="20.100000000000001" customHeight="1">
      <c r="A39" s="191" t="str">
        <f>VLOOKUP(C39,'BASE DE DADOS'!A:B,2,FALSE)</f>
        <v>PREPARA INATIVOS</v>
      </c>
      <c r="B39" s="90" t="s">
        <v>1159</v>
      </c>
      <c r="C39" s="191" t="s">
        <v>1160</v>
      </c>
      <c r="D39" s="75">
        <v>23436.3</v>
      </c>
      <c r="E39" s="98">
        <v>4537.88</v>
      </c>
      <c r="F39" s="103"/>
      <c r="G39" s="192"/>
      <c r="H39" s="193"/>
      <c r="I39" s="193"/>
      <c r="J39" s="193"/>
      <c r="K39" s="193"/>
      <c r="L39" s="193"/>
      <c r="M39" s="193"/>
      <c r="N39" s="193" t="s">
        <v>1743</v>
      </c>
      <c r="O39" s="202">
        <v>44848</v>
      </c>
      <c r="P39" s="145" t="s">
        <v>2770</v>
      </c>
      <c r="Q39" s="195" t="s">
        <v>2284</v>
      </c>
    </row>
    <row r="40" spans="1:887" s="141" customFormat="1" ht="20.100000000000001" customHeight="1">
      <c r="A40" s="164" t="s">
        <v>2159</v>
      </c>
      <c r="B40" s="165" t="s">
        <v>1788</v>
      </c>
      <c r="C40" s="164" t="s">
        <v>3524</v>
      </c>
      <c r="D40" s="166">
        <v>15561.28</v>
      </c>
      <c r="E40" s="166"/>
      <c r="F40" s="167"/>
      <c r="G40" s="168"/>
      <c r="H40" s="169"/>
      <c r="I40" s="169"/>
      <c r="J40" s="169" t="s">
        <v>1743</v>
      </c>
      <c r="K40" s="169"/>
      <c r="L40" s="169"/>
      <c r="M40" s="169"/>
      <c r="N40" s="169"/>
      <c r="O40" s="169"/>
      <c r="P40" s="169"/>
      <c r="Q40" s="139" t="s">
        <v>2276</v>
      </c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  <c r="CC40" s="140"/>
      <c r="CD40" s="140"/>
      <c r="CE40" s="140"/>
      <c r="CF40" s="140"/>
      <c r="CG40" s="140"/>
      <c r="CH40" s="140"/>
      <c r="CI40" s="140"/>
      <c r="CJ40" s="140"/>
      <c r="CK40" s="140"/>
      <c r="CL40" s="140"/>
      <c r="CM40" s="140"/>
      <c r="CN40" s="140"/>
      <c r="CO40" s="140"/>
      <c r="CP40" s="140"/>
      <c r="CQ40" s="140"/>
      <c r="CR40" s="140"/>
      <c r="CS40" s="140"/>
      <c r="CT40" s="140"/>
      <c r="CU40" s="140"/>
      <c r="CV40" s="140"/>
      <c r="CW40" s="140"/>
      <c r="CX40" s="140"/>
      <c r="CY40" s="140"/>
      <c r="CZ40" s="140"/>
      <c r="DA40" s="140"/>
      <c r="DB40" s="140"/>
      <c r="DC40" s="140"/>
      <c r="DD40" s="140"/>
      <c r="DE40" s="140"/>
      <c r="DF40" s="140"/>
      <c r="DG40" s="140"/>
      <c r="DH40" s="140"/>
      <c r="DI40" s="140"/>
      <c r="DJ40" s="140"/>
      <c r="DK40" s="140"/>
      <c r="DL40" s="140"/>
      <c r="DM40" s="140"/>
      <c r="DN40" s="140"/>
      <c r="DO40" s="140"/>
      <c r="DP40" s="140"/>
      <c r="DQ40" s="140"/>
      <c r="DR40" s="140"/>
      <c r="DS40" s="140"/>
      <c r="DT40" s="140"/>
      <c r="DU40" s="140"/>
      <c r="DV40" s="140"/>
      <c r="DW40" s="140"/>
      <c r="DX40" s="140"/>
      <c r="DY40" s="140"/>
      <c r="DZ40" s="140"/>
      <c r="EA40" s="140"/>
      <c r="EB40" s="140"/>
      <c r="EC40" s="140"/>
      <c r="ED40" s="140"/>
      <c r="EE40" s="140"/>
      <c r="EF40" s="140"/>
      <c r="EG40" s="140"/>
      <c r="EH40" s="140"/>
      <c r="EI40" s="140"/>
      <c r="EJ40" s="140"/>
      <c r="EK40" s="140"/>
      <c r="EL40" s="140"/>
      <c r="EM40" s="140"/>
      <c r="EN40" s="140"/>
      <c r="EO40" s="140"/>
      <c r="EP40" s="140"/>
      <c r="EQ40" s="140"/>
      <c r="ER40" s="140"/>
      <c r="ES40" s="140"/>
      <c r="ET40" s="140"/>
      <c r="EU40" s="140"/>
      <c r="EV40" s="140"/>
      <c r="EW40" s="140"/>
      <c r="EX40" s="140"/>
      <c r="EY40" s="140"/>
      <c r="EZ40" s="140"/>
      <c r="FA40" s="140"/>
      <c r="FB40" s="140"/>
      <c r="FC40" s="140"/>
      <c r="FD40" s="140"/>
      <c r="FE40" s="140"/>
      <c r="FF40" s="140"/>
      <c r="FG40" s="140"/>
      <c r="FH40" s="140"/>
      <c r="FI40" s="140"/>
      <c r="FJ40" s="140"/>
      <c r="FK40" s="140"/>
      <c r="FL40" s="140"/>
      <c r="FM40" s="140"/>
      <c r="FN40" s="140"/>
      <c r="FO40" s="140"/>
      <c r="FP40" s="140"/>
      <c r="FQ40" s="140"/>
      <c r="FR40" s="140"/>
      <c r="FS40" s="140"/>
      <c r="FT40" s="140"/>
      <c r="FU40" s="140"/>
      <c r="FV40" s="140"/>
      <c r="FW40" s="140"/>
      <c r="FX40" s="140"/>
      <c r="FY40" s="140"/>
      <c r="FZ40" s="140"/>
      <c r="GA40" s="140"/>
      <c r="GB40" s="140"/>
      <c r="GC40" s="140"/>
      <c r="GD40" s="140"/>
      <c r="GE40" s="140"/>
      <c r="GF40" s="140"/>
      <c r="GG40" s="140"/>
      <c r="GH40" s="140"/>
      <c r="GI40" s="140"/>
      <c r="GJ40" s="140"/>
      <c r="GK40" s="140"/>
      <c r="GL40" s="140"/>
      <c r="GM40" s="140"/>
      <c r="GN40" s="140"/>
      <c r="GO40" s="140"/>
      <c r="GP40" s="140"/>
      <c r="GQ40" s="140"/>
      <c r="GR40" s="140"/>
      <c r="GS40" s="140"/>
      <c r="GT40" s="140"/>
      <c r="GU40" s="140"/>
      <c r="GV40" s="140"/>
      <c r="GW40" s="140"/>
      <c r="GX40" s="140"/>
      <c r="GY40" s="140"/>
      <c r="GZ40" s="140"/>
      <c r="HA40" s="140"/>
      <c r="HB40" s="140"/>
      <c r="HC40" s="140"/>
      <c r="HD40" s="140"/>
      <c r="HE40" s="140"/>
      <c r="HF40" s="140"/>
      <c r="HG40" s="140"/>
      <c r="HH40" s="140"/>
      <c r="HI40" s="140"/>
      <c r="HJ40" s="140"/>
      <c r="HK40" s="140"/>
      <c r="HL40" s="140"/>
      <c r="HM40" s="140"/>
      <c r="HN40" s="140"/>
      <c r="HO40" s="140"/>
      <c r="HP40" s="140"/>
      <c r="HQ40" s="140"/>
      <c r="HR40" s="140"/>
      <c r="HS40" s="140"/>
      <c r="HT40" s="140"/>
      <c r="HU40" s="140"/>
      <c r="HV40" s="140"/>
      <c r="HW40" s="140"/>
      <c r="HX40" s="140"/>
      <c r="HY40" s="140"/>
      <c r="HZ40" s="140"/>
      <c r="IA40" s="140"/>
      <c r="IB40" s="140"/>
      <c r="IC40" s="140"/>
      <c r="ID40" s="140"/>
      <c r="IE40" s="140"/>
      <c r="IF40" s="140"/>
      <c r="IG40" s="140"/>
      <c r="IH40" s="140"/>
      <c r="II40" s="140"/>
      <c r="IJ40" s="140"/>
      <c r="IK40" s="140"/>
      <c r="IL40" s="140"/>
      <c r="IM40" s="140"/>
      <c r="IN40" s="140"/>
      <c r="IO40" s="140"/>
      <c r="IP40" s="140"/>
      <c r="IQ40" s="140"/>
      <c r="IR40" s="140"/>
      <c r="IS40" s="140"/>
      <c r="IT40" s="140"/>
      <c r="IU40" s="140"/>
      <c r="IV40" s="140"/>
      <c r="IW40" s="140"/>
      <c r="IX40" s="140"/>
      <c r="IY40" s="140"/>
      <c r="IZ40" s="140"/>
      <c r="JA40" s="140"/>
      <c r="JB40" s="140"/>
      <c r="JC40" s="140"/>
      <c r="JD40" s="140"/>
      <c r="JE40" s="140"/>
      <c r="JF40" s="140"/>
      <c r="JG40" s="140"/>
      <c r="JH40" s="140"/>
      <c r="JI40" s="140"/>
      <c r="JJ40" s="140"/>
      <c r="JK40" s="140"/>
      <c r="JL40" s="140"/>
      <c r="JM40" s="140"/>
      <c r="JN40" s="140"/>
      <c r="JO40" s="140"/>
      <c r="JP40" s="140"/>
      <c r="JQ40" s="140"/>
      <c r="JR40" s="140"/>
      <c r="JS40" s="140"/>
      <c r="JT40" s="140"/>
      <c r="JU40" s="140"/>
      <c r="JV40" s="140"/>
      <c r="JW40" s="140"/>
      <c r="JX40" s="140"/>
      <c r="JY40" s="140"/>
      <c r="JZ40" s="140"/>
      <c r="KA40" s="140"/>
      <c r="KB40" s="140"/>
      <c r="KC40" s="140"/>
      <c r="KD40" s="140"/>
      <c r="KE40" s="140"/>
      <c r="KF40" s="140"/>
      <c r="KG40" s="140"/>
      <c r="KH40" s="140"/>
      <c r="KI40" s="140"/>
      <c r="KJ40" s="140"/>
      <c r="KK40" s="140"/>
      <c r="KL40" s="140"/>
      <c r="KM40" s="140"/>
      <c r="KN40" s="140"/>
      <c r="KO40" s="140"/>
      <c r="KP40" s="140"/>
      <c r="KQ40" s="140"/>
      <c r="KR40" s="140"/>
      <c r="KS40" s="140"/>
      <c r="KT40" s="140"/>
      <c r="KU40" s="140"/>
      <c r="KV40" s="140"/>
      <c r="KW40" s="140"/>
      <c r="KX40" s="140"/>
      <c r="KY40" s="140"/>
      <c r="KZ40" s="140"/>
      <c r="LA40" s="140"/>
      <c r="LB40" s="140"/>
      <c r="LC40" s="140"/>
      <c r="LD40" s="140"/>
      <c r="LE40" s="140"/>
      <c r="LF40" s="140"/>
      <c r="LG40" s="140"/>
      <c r="LH40" s="140"/>
      <c r="LI40" s="140"/>
      <c r="LJ40" s="140"/>
      <c r="LK40" s="140"/>
      <c r="LL40" s="140"/>
      <c r="LM40" s="140"/>
      <c r="LN40" s="140"/>
      <c r="LO40" s="140"/>
      <c r="LP40" s="140"/>
      <c r="LQ40" s="140"/>
      <c r="LR40" s="140"/>
      <c r="LS40" s="140"/>
      <c r="LT40" s="140"/>
      <c r="LU40" s="140"/>
      <c r="LV40" s="140"/>
      <c r="LW40" s="140"/>
      <c r="LX40" s="140"/>
      <c r="LY40" s="140"/>
      <c r="LZ40" s="140"/>
      <c r="MA40" s="140"/>
      <c r="MB40" s="140"/>
      <c r="MC40" s="140"/>
      <c r="MD40" s="140"/>
      <c r="ME40" s="140"/>
      <c r="MF40" s="140"/>
      <c r="MG40" s="140"/>
      <c r="MH40" s="140"/>
      <c r="MI40" s="140"/>
      <c r="MJ40" s="140"/>
      <c r="MK40" s="140"/>
      <c r="ML40" s="140"/>
      <c r="MM40" s="140"/>
      <c r="MN40" s="140"/>
      <c r="MO40" s="140"/>
      <c r="MP40" s="140"/>
      <c r="MQ40" s="140"/>
      <c r="MR40" s="140"/>
      <c r="MS40" s="140"/>
      <c r="MT40" s="140"/>
      <c r="MU40" s="140"/>
      <c r="MV40" s="140"/>
      <c r="MW40" s="140"/>
      <c r="MX40" s="140"/>
      <c r="MY40" s="140"/>
      <c r="MZ40" s="140"/>
      <c r="NA40" s="140"/>
      <c r="NB40" s="140"/>
      <c r="NC40" s="140"/>
      <c r="ND40" s="140"/>
      <c r="NE40" s="140"/>
      <c r="NF40" s="140"/>
      <c r="NG40" s="140"/>
      <c r="NH40" s="140"/>
      <c r="NI40" s="140"/>
      <c r="NJ40" s="140"/>
      <c r="NK40" s="140"/>
      <c r="NL40" s="140"/>
      <c r="NM40" s="140"/>
      <c r="NN40" s="140"/>
      <c r="NO40" s="140"/>
      <c r="NP40" s="140"/>
      <c r="NQ40" s="140"/>
      <c r="NR40" s="140"/>
      <c r="NS40" s="140"/>
      <c r="NT40" s="140"/>
      <c r="NU40" s="140"/>
      <c r="NV40" s="140"/>
      <c r="NW40" s="140"/>
      <c r="NX40" s="140"/>
      <c r="NY40" s="140"/>
      <c r="NZ40" s="140"/>
      <c r="OA40" s="140"/>
      <c r="OB40" s="140"/>
      <c r="OC40" s="140"/>
      <c r="OD40" s="140"/>
      <c r="OE40" s="140"/>
      <c r="OF40" s="140"/>
      <c r="OG40" s="140"/>
      <c r="OH40" s="140"/>
      <c r="OI40" s="140"/>
      <c r="OJ40" s="140"/>
      <c r="OK40" s="140"/>
      <c r="OL40" s="140"/>
      <c r="OM40" s="140"/>
      <c r="ON40" s="140"/>
      <c r="OO40" s="140"/>
      <c r="OP40" s="140"/>
      <c r="OQ40" s="140"/>
      <c r="OR40" s="140"/>
      <c r="OS40" s="140"/>
      <c r="OT40" s="140"/>
      <c r="OU40" s="140"/>
      <c r="OV40" s="140"/>
      <c r="OW40" s="140"/>
      <c r="OX40" s="140"/>
      <c r="OY40" s="140"/>
      <c r="OZ40" s="140"/>
      <c r="PA40" s="140"/>
      <c r="PB40" s="140"/>
      <c r="PC40" s="140"/>
      <c r="PD40" s="140"/>
      <c r="PE40" s="140"/>
      <c r="PF40" s="140"/>
      <c r="PG40" s="140"/>
      <c r="PH40" s="140"/>
      <c r="PI40" s="140"/>
      <c r="PJ40" s="140"/>
      <c r="PK40" s="140"/>
      <c r="PL40" s="140"/>
      <c r="PM40" s="140"/>
      <c r="PN40" s="140"/>
      <c r="PO40" s="140"/>
      <c r="PP40" s="140"/>
      <c r="PQ40" s="140"/>
      <c r="PR40" s="140"/>
      <c r="PS40" s="140"/>
      <c r="PT40" s="140"/>
      <c r="PU40" s="140"/>
      <c r="PV40" s="140"/>
      <c r="PW40" s="140"/>
      <c r="PX40" s="140"/>
      <c r="PY40" s="140"/>
      <c r="PZ40" s="140"/>
      <c r="QA40" s="140"/>
      <c r="QB40" s="140"/>
      <c r="QC40" s="140"/>
      <c r="QD40" s="140"/>
      <c r="QE40" s="140"/>
      <c r="QF40" s="140"/>
      <c r="QG40" s="140"/>
      <c r="QH40" s="140"/>
      <c r="QI40" s="140"/>
      <c r="QJ40" s="140"/>
      <c r="QK40" s="140"/>
      <c r="QL40" s="140"/>
      <c r="QM40" s="140"/>
      <c r="QN40" s="140"/>
      <c r="QO40" s="140"/>
      <c r="QP40" s="140"/>
      <c r="QQ40" s="140"/>
      <c r="QR40" s="140"/>
      <c r="QS40" s="140"/>
      <c r="QT40" s="140"/>
      <c r="QU40" s="140"/>
      <c r="QV40" s="140"/>
      <c r="QW40" s="140"/>
      <c r="QX40" s="140"/>
      <c r="QY40" s="140"/>
      <c r="QZ40" s="140"/>
      <c r="RA40" s="140"/>
      <c r="RB40" s="140"/>
      <c r="RC40" s="140"/>
      <c r="RD40" s="140"/>
      <c r="RE40" s="140"/>
      <c r="RF40" s="140"/>
      <c r="RG40" s="140"/>
      <c r="RH40" s="140"/>
      <c r="RI40" s="140"/>
      <c r="RJ40" s="140"/>
      <c r="RK40" s="140"/>
      <c r="RL40" s="140"/>
      <c r="RM40" s="140"/>
      <c r="RN40" s="140"/>
      <c r="RO40" s="140"/>
      <c r="RP40" s="140"/>
      <c r="RQ40" s="140"/>
      <c r="RR40" s="140"/>
      <c r="RS40" s="140"/>
      <c r="RT40" s="140"/>
      <c r="RU40" s="140"/>
      <c r="RV40" s="140"/>
      <c r="RW40" s="140"/>
      <c r="RX40" s="140"/>
      <c r="RY40" s="140"/>
      <c r="RZ40" s="140"/>
      <c r="SA40" s="140"/>
      <c r="SB40" s="140"/>
      <c r="SC40" s="140"/>
      <c r="SD40" s="140"/>
      <c r="SE40" s="140"/>
      <c r="SF40" s="140"/>
      <c r="SG40" s="140"/>
      <c r="SH40" s="140"/>
      <c r="SI40" s="140"/>
      <c r="SJ40" s="140"/>
      <c r="SK40" s="140"/>
      <c r="SL40" s="140"/>
      <c r="SM40" s="140"/>
      <c r="SN40" s="140"/>
      <c r="SO40" s="140"/>
      <c r="SP40" s="140"/>
      <c r="SQ40" s="140"/>
      <c r="SR40" s="140"/>
      <c r="SS40" s="140"/>
      <c r="ST40" s="140"/>
      <c r="SU40" s="140"/>
      <c r="SV40" s="140"/>
      <c r="SW40" s="140"/>
      <c r="SX40" s="140"/>
      <c r="SY40" s="140"/>
      <c r="SZ40" s="140"/>
      <c r="TA40" s="140"/>
      <c r="TB40" s="140"/>
      <c r="TC40" s="140"/>
      <c r="TD40" s="140"/>
      <c r="TE40" s="140"/>
      <c r="TF40" s="140"/>
      <c r="TG40" s="140"/>
      <c r="TH40" s="140"/>
      <c r="TI40" s="140"/>
      <c r="TJ40" s="140"/>
      <c r="TK40" s="140"/>
      <c r="TL40" s="140"/>
      <c r="TM40" s="140"/>
      <c r="TN40" s="140"/>
      <c r="TO40" s="140"/>
      <c r="TP40" s="140"/>
      <c r="TQ40" s="140"/>
      <c r="TR40" s="140"/>
      <c r="TS40" s="140"/>
      <c r="TT40" s="140"/>
      <c r="TU40" s="140"/>
      <c r="TV40" s="140"/>
      <c r="TW40" s="140"/>
      <c r="TX40" s="140"/>
      <c r="TY40" s="140"/>
      <c r="TZ40" s="140"/>
      <c r="UA40" s="140"/>
      <c r="UB40" s="140"/>
      <c r="UC40" s="140"/>
      <c r="UD40" s="140"/>
      <c r="UE40" s="140"/>
      <c r="UF40" s="140"/>
      <c r="UG40" s="140"/>
      <c r="UH40" s="140"/>
      <c r="UI40" s="140"/>
      <c r="UJ40" s="140"/>
      <c r="UK40" s="140"/>
      <c r="UL40" s="140"/>
      <c r="UM40" s="140"/>
      <c r="UN40" s="140"/>
      <c r="UO40" s="140"/>
      <c r="UP40" s="140"/>
      <c r="UQ40" s="140"/>
      <c r="UR40" s="140"/>
      <c r="US40" s="140"/>
      <c r="UT40" s="140"/>
      <c r="UU40" s="140"/>
      <c r="UV40" s="140"/>
      <c r="UW40" s="140"/>
      <c r="UX40" s="140"/>
      <c r="UY40" s="140"/>
      <c r="UZ40" s="140"/>
      <c r="VA40" s="140"/>
      <c r="VB40" s="140"/>
      <c r="VC40" s="140"/>
      <c r="VD40" s="140"/>
      <c r="VE40" s="140"/>
      <c r="VF40" s="140"/>
      <c r="VG40" s="140"/>
      <c r="VH40" s="140"/>
      <c r="VI40" s="140"/>
      <c r="VJ40" s="140"/>
      <c r="VK40" s="140"/>
      <c r="VL40" s="140"/>
      <c r="VM40" s="140"/>
      <c r="VN40" s="140"/>
      <c r="VO40" s="140"/>
      <c r="VP40" s="140"/>
      <c r="VQ40" s="140"/>
      <c r="VR40" s="140"/>
      <c r="VS40" s="140"/>
      <c r="VT40" s="140"/>
      <c r="VU40" s="140"/>
      <c r="VV40" s="140"/>
      <c r="VW40" s="140"/>
      <c r="VX40" s="140"/>
      <c r="VY40" s="140"/>
      <c r="VZ40" s="140"/>
      <c r="WA40" s="140"/>
      <c r="WB40" s="140"/>
      <c r="WC40" s="140"/>
      <c r="WD40" s="140"/>
      <c r="WE40" s="140"/>
      <c r="WF40" s="140"/>
      <c r="WG40" s="140"/>
      <c r="WH40" s="140"/>
      <c r="WI40" s="140"/>
      <c r="WJ40" s="140"/>
      <c r="WK40" s="140"/>
      <c r="WL40" s="140"/>
      <c r="WM40" s="140"/>
      <c r="WN40" s="140"/>
      <c r="WO40" s="140"/>
      <c r="WP40" s="140"/>
      <c r="WQ40" s="140"/>
      <c r="WR40" s="140"/>
      <c r="WS40" s="140"/>
      <c r="WT40" s="140"/>
      <c r="WU40" s="140"/>
      <c r="WV40" s="140"/>
      <c r="WW40" s="140"/>
      <c r="WX40" s="140"/>
      <c r="WY40" s="140"/>
      <c r="WZ40" s="140"/>
      <c r="XA40" s="140"/>
      <c r="XB40" s="140"/>
      <c r="XC40" s="140"/>
      <c r="XD40" s="140"/>
      <c r="XE40" s="140"/>
      <c r="XF40" s="140"/>
      <c r="XG40" s="140"/>
      <c r="XH40" s="140"/>
      <c r="XI40" s="140"/>
      <c r="XJ40" s="140"/>
      <c r="XK40" s="140"/>
      <c r="XL40" s="140"/>
      <c r="XM40" s="140"/>
      <c r="XN40" s="140"/>
      <c r="XO40" s="140"/>
      <c r="XP40" s="140"/>
      <c r="XQ40" s="140"/>
      <c r="XR40" s="140"/>
      <c r="XS40" s="140"/>
      <c r="XT40" s="140"/>
      <c r="XU40" s="140"/>
      <c r="XV40" s="140"/>
      <c r="XW40" s="140"/>
      <c r="XX40" s="140"/>
      <c r="XY40" s="140"/>
      <c r="XZ40" s="140"/>
      <c r="YA40" s="140"/>
      <c r="YB40" s="140"/>
      <c r="YC40" s="140"/>
      <c r="YD40" s="140"/>
      <c r="YE40" s="140"/>
      <c r="YF40" s="140"/>
      <c r="YG40" s="140"/>
      <c r="YH40" s="140"/>
      <c r="YI40" s="140"/>
      <c r="YJ40" s="140"/>
      <c r="YK40" s="140"/>
      <c r="YL40" s="140"/>
      <c r="YM40" s="140"/>
      <c r="YN40" s="140"/>
      <c r="YO40" s="140"/>
      <c r="YP40" s="140"/>
      <c r="YQ40" s="140"/>
      <c r="YR40" s="140"/>
      <c r="YS40" s="140"/>
      <c r="YT40" s="140"/>
      <c r="YU40" s="140"/>
      <c r="YV40" s="140"/>
      <c r="YW40" s="140"/>
      <c r="YX40" s="140"/>
      <c r="YY40" s="140"/>
      <c r="YZ40" s="140"/>
      <c r="ZA40" s="140"/>
      <c r="ZB40" s="140"/>
      <c r="ZC40" s="140"/>
      <c r="ZD40" s="140"/>
      <c r="ZE40" s="140"/>
      <c r="ZF40" s="140"/>
      <c r="ZG40" s="140"/>
      <c r="ZH40" s="140"/>
      <c r="ZI40" s="140"/>
      <c r="ZJ40" s="140"/>
      <c r="ZK40" s="140"/>
      <c r="ZL40" s="140"/>
      <c r="ZM40" s="140"/>
      <c r="ZN40" s="140"/>
      <c r="ZO40" s="140"/>
      <c r="ZP40" s="140"/>
      <c r="ZQ40" s="140"/>
      <c r="ZR40" s="140"/>
      <c r="ZS40" s="140"/>
      <c r="ZT40" s="140"/>
      <c r="ZU40" s="140"/>
      <c r="ZV40" s="140"/>
      <c r="ZW40" s="140"/>
      <c r="ZX40" s="140"/>
      <c r="ZY40" s="140"/>
      <c r="ZZ40" s="140"/>
      <c r="AAA40" s="140"/>
      <c r="AAB40" s="140"/>
      <c r="AAC40" s="140"/>
      <c r="AAD40" s="140"/>
      <c r="AAE40" s="140"/>
      <c r="AAF40" s="140"/>
      <c r="AAG40" s="140"/>
      <c r="AAH40" s="140"/>
      <c r="AAI40" s="140"/>
      <c r="AAJ40" s="140"/>
      <c r="AAK40" s="140"/>
      <c r="AAL40" s="140"/>
      <c r="AAM40" s="140"/>
      <c r="AAN40" s="140"/>
      <c r="AAO40" s="140"/>
      <c r="AAP40" s="140"/>
      <c r="AAQ40" s="140"/>
      <c r="AAR40" s="140"/>
      <c r="AAS40" s="140"/>
      <c r="AAT40" s="140"/>
      <c r="AAU40" s="140"/>
      <c r="AAV40" s="140"/>
      <c r="AAW40" s="140"/>
      <c r="AAX40" s="140"/>
      <c r="AAY40" s="140"/>
      <c r="AAZ40" s="140"/>
      <c r="ABA40" s="140"/>
      <c r="ABB40" s="140"/>
      <c r="ABC40" s="140"/>
      <c r="ABD40" s="140"/>
      <c r="ABE40" s="140"/>
      <c r="ABF40" s="140"/>
      <c r="ABG40" s="140"/>
      <c r="ABH40" s="140"/>
      <c r="ABI40" s="140"/>
      <c r="ABJ40" s="140"/>
      <c r="ABK40" s="140"/>
      <c r="ABL40" s="140"/>
      <c r="ABM40" s="140"/>
      <c r="ABN40" s="140"/>
      <c r="ABO40" s="140"/>
      <c r="ABP40" s="140"/>
      <c r="ABQ40" s="140"/>
      <c r="ABR40" s="140"/>
      <c r="ABS40" s="140"/>
      <c r="ABT40" s="140"/>
      <c r="ABU40" s="140"/>
      <c r="ABV40" s="140"/>
      <c r="ABW40" s="140"/>
      <c r="ABX40" s="140"/>
      <c r="ABY40" s="140"/>
      <c r="ABZ40" s="140"/>
      <c r="ACA40" s="140"/>
      <c r="ACB40" s="140"/>
      <c r="ACC40" s="140"/>
      <c r="ACD40" s="140"/>
      <c r="ACE40" s="140"/>
      <c r="ACF40" s="140"/>
      <c r="ACG40" s="140"/>
      <c r="ACH40" s="140"/>
      <c r="ACI40" s="140"/>
      <c r="ACJ40" s="140"/>
      <c r="ACK40" s="140"/>
      <c r="ACL40" s="140"/>
      <c r="ACM40" s="140"/>
      <c r="ACN40" s="140"/>
      <c r="ACO40" s="140"/>
      <c r="ACP40" s="140"/>
      <c r="ACQ40" s="140"/>
      <c r="ACR40" s="140"/>
      <c r="ACS40" s="140"/>
      <c r="ACT40" s="140"/>
      <c r="ACU40" s="140"/>
      <c r="ACV40" s="140"/>
      <c r="ACW40" s="140"/>
      <c r="ACX40" s="140"/>
      <c r="ACY40" s="140"/>
      <c r="ACZ40" s="140"/>
      <c r="ADA40" s="140"/>
      <c r="ADB40" s="140"/>
      <c r="ADC40" s="140"/>
      <c r="ADD40" s="140"/>
      <c r="ADE40" s="140"/>
      <c r="ADF40" s="140"/>
      <c r="ADG40" s="140"/>
      <c r="ADH40" s="140"/>
      <c r="ADI40" s="140"/>
      <c r="ADJ40" s="140"/>
      <c r="ADK40" s="140"/>
      <c r="ADL40" s="140"/>
      <c r="ADM40" s="140"/>
      <c r="ADN40" s="140"/>
      <c r="ADO40" s="140"/>
      <c r="ADP40" s="140"/>
      <c r="ADQ40" s="140"/>
      <c r="ADR40" s="140"/>
      <c r="ADS40" s="140"/>
      <c r="ADT40" s="140"/>
      <c r="ADU40" s="140"/>
      <c r="ADV40" s="140"/>
      <c r="ADW40" s="140"/>
      <c r="ADX40" s="140"/>
      <c r="ADY40" s="140"/>
      <c r="ADZ40" s="140"/>
      <c r="AEA40" s="140"/>
      <c r="AEB40" s="140"/>
      <c r="AEC40" s="140"/>
      <c r="AED40" s="140"/>
      <c r="AEE40" s="140"/>
      <c r="AEF40" s="140"/>
      <c r="AEG40" s="140"/>
      <c r="AEH40" s="140"/>
      <c r="AEI40" s="140"/>
      <c r="AEJ40" s="140"/>
      <c r="AEK40" s="140"/>
      <c r="AEL40" s="140"/>
      <c r="AEM40" s="140"/>
      <c r="AEN40" s="140"/>
      <c r="AEO40" s="140"/>
      <c r="AEP40" s="140"/>
      <c r="AEQ40" s="140"/>
      <c r="AER40" s="140"/>
      <c r="AES40" s="140"/>
      <c r="AET40" s="140"/>
      <c r="AEU40" s="140"/>
      <c r="AEV40" s="140"/>
      <c r="AEW40" s="140"/>
      <c r="AEX40" s="140"/>
      <c r="AEY40" s="140"/>
      <c r="AEZ40" s="140"/>
      <c r="AFA40" s="140"/>
      <c r="AFB40" s="140"/>
      <c r="AFC40" s="140"/>
      <c r="AFD40" s="140"/>
      <c r="AFE40" s="140"/>
      <c r="AFF40" s="140"/>
      <c r="AFG40" s="140"/>
      <c r="AFH40" s="140"/>
      <c r="AFI40" s="140"/>
      <c r="AFJ40" s="140"/>
      <c r="AFK40" s="140"/>
      <c r="AFL40" s="140"/>
      <c r="AFM40" s="140"/>
      <c r="AFN40" s="140"/>
      <c r="AFO40" s="140"/>
      <c r="AFP40" s="140"/>
      <c r="AFQ40" s="140"/>
      <c r="AFR40" s="140"/>
      <c r="AFS40" s="140"/>
      <c r="AFT40" s="140"/>
      <c r="AFU40" s="140"/>
      <c r="AFV40" s="140"/>
      <c r="AFW40" s="140"/>
      <c r="AFX40" s="140"/>
      <c r="AFY40" s="140"/>
      <c r="AFZ40" s="140"/>
      <c r="AGA40" s="140"/>
      <c r="AGB40" s="140"/>
      <c r="AGC40" s="140"/>
      <c r="AGD40" s="140"/>
      <c r="AGE40" s="140"/>
      <c r="AGF40" s="140"/>
      <c r="AGG40" s="140"/>
      <c r="AGH40" s="140"/>
      <c r="AGI40" s="140"/>
      <c r="AGJ40" s="140"/>
      <c r="AGK40" s="140"/>
      <c r="AGL40" s="140"/>
      <c r="AGM40" s="140"/>
      <c r="AGN40" s="140"/>
      <c r="AGO40" s="140"/>
      <c r="AGP40" s="140"/>
      <c r="AGQ40" s="140"/>
      <c r="AGR40" s="140"/>
      <c r="AGS40" s="140"/>
      <c r="AGT40" s="140"/>
      <c r="AGU40" s="140"/>
      <c r="AGV40" s="140"/>
      <c r="AGW40" s="140"/>
      <c r="AGX40" s="140"/>
      <c r="AGY40" s="140"/>
      <c r="AGZ40" s="140"/>
      <c r="AHA40" s="140"/>
      <c r="AHB40" s="140"/>
      <c r="AHC40" s="140"/>
    </row>
    <row r="41" spans="1:887" ht="20.100000000000001" customHeight="1">
      <c r="A41" s="191" t="str">
        <f>VLOOKUP(C41,'BASE DE DADOS'!A:B,2,FALSE)</f>
        <v>ENSINA MAIS INATIVOS</v>
      </c>
      <c r="B41" s="90" t="s">
        <v>96</v>
      </c>
      <c r="C41" s="191" t="s">
        <v>97</v>
      </c>
      <c r="D41" s="75">
        <v>73614.100000000006</v>
      </c>
      <c r="E41" s="76">
        <v>48420.44</v>
      </c>
      <c r="F41" s="103"/>
      <c r="G41" s="192"/>
      <c r="H41" s="193"/>
      <c r="I41" s="193"/>
      <c r="J41" s="193"/>
      <c r="K41" s="193"/>
      <c r="L41" s="193"/>
      <c r="M41" s="193"/>
      <c r="N41" s="193" t="s">
        <v>1743</v>
      </c>
      <c r="O41" s="202">
        <v>45005</v>
      </c>
      <c r="P41" s="146" t="s">
        <v>2771</v>
      </c>
      <c r="Q41" s="195" t="s">
        <v>2428</v>
      </c>
    </row>
    <row r="42" spans="1:887" ht="20.100000000000001" customHeight="1">
      <c r="A42" s="191" t="str">
        <f>VLOOKUP(C42,'BASE DE DADOS'!A:B,2,FALSE)</f>
        <v>MICROLINS</v>
      </c>
      <c r="B42" s="90" t="s">
        <v>2141</v>
      </c>
      <c r="C42" s="191" t="s">
        <v>2142</v>
      </c>
      <c r="D42" s="75">
        <v>36181.54</v>
      </c>
      <c r="E42" s="76">
        <v>56368.25</v>
      </c>
      <c r="F42" s="103"/>
      <c r="G42" s="192"/>
      <c r="H42" s="193"/>
      <c r="I42" s="193"/>
      <c r="J42" s="193"/>
      <c r="K42" s="193"/>
      <c r="L42" s="193"/>
      <c r="M42" s="193"/>
      <c r="N42" s="193" t="s">
        <v>1743</v>
      </c>
      <c r="O42" s="202">
        <v>44882</v>
      </c>
      <c r="P42" s="146" t="s">
        <v>2767</v>
      </c>
      <c r="Q42" s="195" t="s">
        <v>2378</v>
      </c>
    </row>
    <row r="43" spans="1:887" ht="20.100000000000001" customHeight="1">
      <c r="A43" s="191" t="str">
        <f>VLOOKUP(C43,'BASE DE DADOS'!A:B,2,FALSE)</f>
        <v>MICROLINS</v>
      </c>
      <c r="B43" s="90" t="s">
        <v>1716</v>
      </c>
      <c r="C43" s="191" t="s">
        <v>1717</v>
      </c>
      <c r="D43" s="75">
        <v>29308.82</v>
      </c>
      <c r="E43" s="76">
        <v>45469.47</v>
      </c>
      <c r="F43" s="103"/>
      <c r="G43" s="192"/>
      <c r="H43" s="193"/>
      <c r="I43" s="193"/>
      <c r="J43" s="193"/>
      <c r="K43" s="193"/>
      <c r="L43" s="193"/>
      <c r="M43" s="193"/>
      <c r="N43" s="193" t="s">
        <v>1743</v>
      </c>
      <c r="O43" s="202">
        <v>45180</v>
      </c>
      <c r="P43" s="146" t="s">
        <v>2772</v>
      </c>
      <c r="Q43" s="205" t="s">
        <v>2521</v>
      </c>
    </row>
    <row r="44" spans="1:887" ht="20.100000000000001" customHeight="1">
      <c r="A44" s="198" t="str">
        <f>VLOOKUP(C44,'BASE DE DADOS'!A:B,2,FALSE)</f>
        <v>MICROLINS INATIVOS</v>
      </c>
      <c r="B44" s="199" t="s">
        <v>1117</v>
      </c>
      <c r="C44" s="198" t="s">
        <v>1032</v>
      </c>
      <c r="D44" s="162">
        <v>1248.53</v>
      </c>
      <c r="E44" s="162"/>
      <c r="F44" s="163"/>
      <c r="G44" s="200"/>
      <c r="H44" s="201"/>
      <c r="I44" s="201"/>
      <c r="J44" s="201" t="s">
        <v>1743</v>
      </c>
      <c r="K44" s="201"/>
      <c r="L44" s="201"/>
      <c r="M44" s="201"/>
      <c r="N44" s="201"/>
      <c r="O44" s="201"/>
      <c r="P44" s="157"/>
      <c r="Q44" s="195" t="s">
        <v>2423</v>
      </c>
    </row>
    <row r="45" spans="1:887" ht="20.100000000000001" customHeight="1">
      <c r="A45" s="198" t="str">
        <f>VLOOKUP(C45,'BASE DE DADOS'!A:B,2,FALSE)</f>
        <v>MICROLINS INATIVOS</v>
      </c>
      <c r="B45" s="199" t="s">
        <v>1031</v>
      </c>
      <c r="C45" s="198" t="s">
        <v>1032</v>
      </c>
      <c r="D45" s="162">
        <v>3450.37</v>
      </c>
      <c r="E45" s="162"/>
      <c r="F45" s="163"/>
      <c r="G45" s="200"/>
      <c r="H45" s="201"/>
      <c r="I45" s="201"/>
      <c r="J45" s="201" t="s">
        <v>1743</v>
      </c>
      <c r="K45" s="201"/>
      <c r="L45" s="201"/>
      <c r="M45" s="201"/>
      <c r="N45" s="201"/>
      <c r="O45" s="201"/>
      <c r="P45" s="157"/>
      <c r="Q45" s="195" t="s">
        <v>1828</v>
      </c>
    </row>
    <row r="46" spans="1:887" ht="20.100000000000001" customHeight="1">
      <c r="A46" s="191" t="str">
        <f>VLOOKUP(C46,'BASE DE DADOS'!A:B,2,FALSE)</f>
        <v>MICROLINS INATIVOS</v>
      </c>
      <c r="B46" s="90" t="s">
        <v>2235</v>
      </c>
      <c r="C46" s="191" t="s">
        <v>1939</v>
      </c>
      <c r="D46" s="75">
        <v>72351.14</v>
      </c>
      <c r="E46" s="97" t="s">
        <v>2970</v>
      </c>
      <c r="F46" s="103"/>
      <c r="G46" s="192"/>
      <c r="H46" s="193"/>
      <c r="I46" s="193"/>
      <c r="J46" s="193"/>
      <c r="K46" s="193"/>
      <c r="L46" s="193"/>
      <c r="M46" s="193"/>
      <c r="N46" s="193" t="s">
        <v>1743</v>
      </c>
      <c r="O46" s="202">
        <v>45026</v>
      </c>
      <c r="P46" s="146" t="s">
        <v>2773</v>
      </c>
      <c r="Q46" s="113" t="s">
        <v>2403</v>
      </c>
    </row>
    <row r="47" spans="1:887" ht="20.100000000000001" customHeight="1">
      <c r="A47" s="191" t="str">
        <f>VLOOKUP(C47,'BASE DE DADOS'!A:B,2,FALSE)</f>
        <v>ENSINA MAIS INATIVOS</v>
      </c>
      <c r="B47" s="90" t="s">
        <v>91</v>
      </c>
      <c r="C47" s="191" t="s">
        <v>92</v>
      </c>
      <c r="D47" s="75">
        <v>22172.16</v>
      </c>
      <c r="E47" s="76">
        <v>58748.17</v>
      </c>
      <c r="F47" s="103"/>
      <c r="G47" s="192"/>
      <c r="H47" s="193"/>
      <c r="I47" s="193"/>
      <c r="J47" s="193"/>
      <c r="K47" s="193"/>
      <c r="L47" s="193"/>
      <c r="M47" s="193"/>
      <c r="N47" s="193" t="s">
        <v>1743</v>
      </c>
      <c r="O47" s="202">
        <v>44503</v>
      </c>
      <c r="P47" s="146" t="s">
        <v>2774</v>
      </c>
      <c r="Q47" s="195"/>
    </row>
    <row r="48" spans="1:887" ht="20.100000000000001" customHeight="1">
      <c r="A48" s="191" t="str">
        <f>VLOOKUP(C48,'BASE DE DADOS'!A:B,2,FALSE)</f>
        <v>MICROLINS INATIVOS</v>
      </c>
      <c r="B48" s="90" t="s">
        <v>1718</v>
      </c>
      <c r="C48" s="62" t="s">
        <v>1719</v>
      </c>
      <c r="D48" s="75">
        <v>42209.279999999999</v>
      </c>
      <c r="E48" s="76">
        <v>73508.45</v>
      </c>
      <c r="F48" s="103"/>
      <c r="G48" s="192"/>
      <c r="H48" s="193"/>
      <c r="I48" s="193"/>
      <c r="J48" s="193"/>
      <c r="K48" s="193"/>
      <c r="L48" s="193"/>
      <c r="M48" s="193"/>
      <c r="N48" s="193" t="s">
        <v>1743</v>
      </c>
      <c r="O48" s="202">
        <v>44862</v>
      </c>
      <c r="P48" s="146" t="s">
        <v>2791</v>
      </c>
      <c r="Q48" s="205" t="s">
        <v>2189</v>
      </c>
    </row>
    <row r="49" spans="1:887" ht="20.100000000000001" customHeight="1">
      <c r="A49" s="191" t="str">
        <f>VLOOKUP(C49,'BASE DE DADOS'!A:B,2,FALSE)</f>
        <v>MICROLINS INATIVOS</v>
      </c>
      <c r="B49" s="90" t="s">
        <v>1039</v>
      </c>
      <c r="C49" s="191" t="s">
        <v>1040</v>
      </c>
      <c r="D49" s="75">
        <v>16461.97</v>
      </c>
      <c r="E49" s="98">
        <v>26761.5</v>
      </c>
      <c r="F49" s="103"/>
      <c r="G49" s="192"/>
      <c r="H49" s="193"/>
      <c r="I49" s="193"/>
      <c r="J49" s="193"/>
      <c r="K49" s="193"/>
      <c r="L49" s="193"/>
      <c r="M49" s="193"/>
      <c r="N49" s="193" t="s">
        <v>1743</v>
      </c>
      <c r="O49" s="202">
        <v>45160</v>
      </c>
      <c r="P49" s="146" t="s">
        <v>2776</v>
      </c>
      <c r="Q49" s="195" t="s">
        <v>2379</v>
      </c>
    </row>
    <row r="50" spans="1:887" ht="20.100000000000001" customHeight="1">
      <c r="A50" s="191" t="str">
        <f>VLOOKUP(C50,'BASE DE DADOS'!A:B,2,FALSE)</f>
        <v>PREPARA INATIVOS</v>
      </c>
      <c r="B50" s="90" t="s">
        <v>537</v>
      </c>
      <c r="C50" s="191" t="s">
        <v>538</v>
      </c>
      <c r="D50" s="75">
        <v>24000</v>
      </c>
      <c r="E50" s="76">
        <v>44154.61</v>
      </c>
      <c r="F50" s="103"/>
      <c r="G50" s="192" t="s">
        <v>2404</v>
      </c>
      <c r="H50" s="193"/>
      <c r="I50" s="193"/>
      <c r="J50" s="193"/>
      <c r="K50" s="193"/>
      <c r="L50" s="193"/>
      <c r="M50" s="193"/>
      <c r="N50" s="193" t="s">
        <v>1743</v>
      </c>
      <c r="O50" s="202">
        <v>44537</v>
      </c>
      <c r="P50" s="146" t="s">
        <v>2777</v>
      </c>
      <c r="Q50" s="195" t="s">
        <v>2217</v>
      </c>
    </row>
    <row r="51" spans="1:887" ht="20.100000000000001" customHeight="1">
      <c r="A51" s="191" t="str">
        <f>VLOOKUP(C51,'BASE DE DADOS'!A:B,2,FALSE)</f>
        <v>ENSINA MAIS</v>
      </c>
      <c r="B51" s="90" t="s">
        <v>171</v>
      </c>
      <c r="C51" s="191" t="s">
        <v>172</v>
      </c>
      <c r="D51" s="75">
        <v>30671.75</v>
      </c>
      <c r="E51" s="76">
        <v>57181.51</v>
      </c>
      <c r="F51" s="103"/>
      <c r="G51" s="192"/>
      <c r="H51" s="193"/>
      <c r="I51" s="193"/>
      <c r="J51" s="193"/>
      <c r="K51" s="193"/>
      <c r="L51" s="193"/>
      <c r="M51" s="193"/>
      <c r="N51" s="193" t="s">
        <v>1743</v>
      </c>
      <c r="O51" s="202">
        <v>44673</v>
      </c>
      <c r="P51" s="146" t="s">
        <v>2778</v>
      </c>
      <c r="Q51" s="195" t="s">
        <v>2253</v>
      </c>
    </row>
    <row r="52" spans="1:887" ht="20.100000000000001" customHeight="1">
      <c r="A52" s="191" t="str">
        <f>VLOOKUP(C52,'BASE DE DADOS'!A:B,2,FALSE)</f>
        <v>PREPARA INATIVOS</v>
      </c>
      <c r="B52" s="90" t="s">
        <v>1142</v>
      </c>
      <c r="C52" s="191" t="s">
        <v>1143</v>
      </c>
      <c r="D52" s="75">
        <v>157712.63</v>
      </c>
      <c r="E52" s="76">
        <v>60496.88</v>
      </c>
      <c r="F52" s="103"/>
      <c r="G52" s="192"/>
      <c r="H52" s="193"/>
      <c r="I52" s="193"/>
      <c r="J52" s="193"/>
      <c r="K52" s="193"/>
      <c r="L52" s="193"/>
      <c r="M52" s="193"/>
      <c r="N52" s="193" t="s">
        <v>1743</v>
      </c>
      <c r="O52" s="202">
        <v>44791</v>
      </c>
      <c r="P52" s="146" t="s">
        <v>2779</v>
      </c>
      <c r="Q52" s="195" t="s">
        <v>2321</v>
      </c>
    </row>
    <row r="53" spans="1:887" ht="20.100000000000001" customHeight="1">
      <c r="A53" s="191" t="str">
        <f>VLOOKUP(C53,'BASE DE DADOS'!A:B,2,FALSE)</f>
        <v>MICROLINS INATIVOS</v>
      </c>
      <c r="B53" s="90" t="s">
        <v>1801</v>
      </c>
      <c r="C53" s="191" t="s">
        <v>1802</v>
      </c>
      <c r="D53" s="75">
        <v>87049.98</v>
      </c>
      <c r="E53" s="98">
        <v>40747.72</v>
      </c>
      <c r="F53" s="103"/>
      <c r="G53" s="192"/>
      <c r="H53" s="193"/>
      <c r="I53" s="193"/>
      <c r="J53" s="193"/>
      <c r="K53" s="193"/>
      <c r="L53" s="193"/>
      <c r="M53" s="193"/>
      <c r="N53" s="193" t="s">
        <v>1743</v>
      </c>
      <c r="O53" s="202">
        <v>44956</v>
      </c>
      <c r="P53" s="145" t="s">
        <v>2952</v>
      </c>
      <c r="Q53" s="195" t="s">
        <v>2258</v>
      </c>
    </row>
    <row r="54" spans="1:887" ht="20.100000000000001" customHeight="1">
      <c r="A54" s="191" t="str">
        <f>VLOOKUP(C54,'BASE DE DADOS'!A:B,2,FALSE)</f>
        <v>MICROLINS INATIVOS</v>
      </c>
      <c r="B54" s="90" t="s">
        <v>2725</v>
      </c>
      <c r="C54" s="191" t="s">
        <v>1802</v>
      </c>
      <c r="D54" s="75"/>
      <c r="E54" s="74" t="s">
        <v>2954</v>
      </c>
      <c r="F54" s="103"/>
      <c r="G54" s="192"/>
      <c r="H54" s="193"/>
      <c r="I54" s="193"/>
      <c r="J54" s="193"/>
      <c r="K54" s="193"/>
      <c r="L54" s="193"/>
      <c r="M54" s="193"/>
      <c r="N54" s="193" t="s">
        <v>1743</v>
      </c>
      <c r="O54" s="202">
        <v>45610</v>
      </c>
      <c r="P54" s="146" t="s">
        <v>2953</v>
      </c>
      <c r="Q54" s="195"/>
    </row>
    <row r="55" spans="1:887" ht="20.100000000000001" customHeight="1">
      <c r="A55" s="196" t="str">
        <f>VLOOKUP(C55,'BASE DE DADOS'!A:B,2,FALSE)</f>
        <v>MICROLINS INATIVOS</v>
      </c>
      <c r="B55" s="206" t="s">
        <v>1862</v>
      </c>
      <c r="C55" s="196" t="s">
        <v>1863</v>
      </c>
      <c r="D55" s="207">
        <v>105682.28</v>
      </c>
      <c r="E55" s="98">
        <v>301596.46999999997</v>
      </c>
      <c r="F55" s="208"/>
      <c r="G55" s="209"/>
      <c r="H55" s="210"/>
      <c r="I55" s="210"/>
      <c r="J55" s="210"/>
      <c r="K55" s="210"/>
      <c r="L55" s="210"/>
      <c r="M55" s="210"/>
      <c r="N55" s="210" t="s">
        <v>1743</v>
      </c>
      <c r="O55" s="211">
        <v>44673</v>
      </c>
      <c r="P55" s="145" t="s">
        <v>2969</v>
      </c>
      <c r="Q55" s="195"/>
    </row>
    <row r="56" spans="1:887" ht="20.100000000000001" customHeight="1">
      <c r="A56" s="196" t="str">
        <f>VLOOKUP(C56,'BASE DE DADOS'!A:B,2,FALSE)</f>
        <v>MICROLINS INATIVOS</v>
      </c>
      <c r="B56" s="206" t="s">
        <v>1651</v>
      </c>
      <c r="C56" s="196" t="s">
        <v>1652</v>
      </c>
      <c r="D56" s="207">
        <v>115103.09</v>
      </c>
      <c r="E56" s="207"/>
      <c r="F56" s="208"/>
      <c r="G56" s="209"/>
      <c r="H56" s="210"/>
      <c r="I56" s="210"/>
      <c r="J56" s="210"/>
      <c r="K56" s="210"/>
      <c r="L56" s="210"/>
      <c r="M56" s="210"/>
      <c r="N56" s="210" t="s">
        <v>1743</v>
      </c>
      <c r="O56" s="211">
        <v>44673</v>
      </c>
      <c r="P56" s="151"/>
      <c r="Q56" s="195" t="s">
        <v>2973</v>
      </c>
    </row>
    <row r="57" spans="1:887" ht="20.100000000000001" customHeight="1">
      <c r="A57" s="196" t="str">
        <f>VLOOKUP(C57,'BASE DE DADOS'!A:B,2,FALSE)</f>
        <v>PREPARA INATIVOS</v>
      </c>
      <c r="B57" s="206" t="s">
        <v>232</v>
      </c>
      <c r="C57" s="196" t="s">
        <v>233</v>
      </c>
      <c r="D57" s="207">
        <v>60550.92</v>
      </c>
      <c r="E57" s="76">
        <v>82277.36</v>
      </c>
      <c r="F57" s="208"/>
      <c r="G57" s="192"/>
      <c r="H57" s="193"/>
      <c r="I57" s="193"/>
      <c r="J57" s="193"/>
      <c r="K57" s="193"/>
      <c r="L57" s="193"/>
      <c r="M57" s="193"/>
      <c r="N57" s="193" t="s">
        <v>1743</v>
      </c>
      <c r="O57" s="202">
        <v>44970</v>
      </c>
      <c r="P57" s="145" t="s">
        <v>2786</v>
      </c>
      <c r="Q57" s="114"/>
    </row>
    <row r="58" spans="1:887" ht="20.100000000000001" customHeight="1">
      <c r="A58" s="191" t="str">
        <f>VLOOKUP(C58,'BASE DE DADOS'!A:B,2,FALSE)</f>
        <v>PREPARA INATIVOS</v>
      </c>
      <c r="B58" s="90" t="s">
        <v>232</v>
      </c>
      <c r="C58" s="191" t="s">
        <v>233</v>
      </c>
      <c r="D58" s="75">
        <v>70951.22</v>
      </c>
      <c r="E58" s="74" t="s">
        <v>2792</v>
      </c>
      <c r="F58" s="103"/>
      <c r="G58" s="192"/>
      <c r="H58" s="193"/>
      <c r="I58" s="193"/>
      <c r="J58" s="193"/>
      <c r="K58" s="193"/>
      <c r="L58" s="193"/>
      <c r="M58" s="193"/>
      <c r="N58" s="193" t="s">
        <v>1743</v>
      </c>
      <c r="O58" s="202">
        <v>45005</v>
      </c>
      <c r="P58" s="152" t="s">
        <v>2787</v>
      </c>
      <c r="Q58" s="205" t="s">
        <v>2512</v>
      </c>
    </row>
    <row r="59" spans="1:887" s="141" customFormat="1" ht="20.100000000000001" customHeight="1">
      <c r="A59" s="164" t="s">
        <v>2159</v>
      </c>
      <c r="B59" s="165" t="s">
        <v>1766</v>
      </c>
      <c r="C59" s="164" t="s">
        <v>1767</v>
      </c>
      <c r="D59" s="166">
        <v>12753.78</v>
      </c>
      <c r="E59" s="166"/>
      <c r="F59" s="167"/>
      <c r="G59" s="168"/>
      <c r="H59" s="169"/>
      <c r="I59" s="169"/>
      <c r="J59" s="169" t="s">
        <v>1743</v>
      </c>
      <c r="K59" s="169"/>
      <c r="L59" s="169"/>
      <c r="M59" s="169"/>
      <c r="N59" s="169"/>
      <c r="O59" s="169"/>
      <c r="P59" s="170"/>
      <c r="Q59" s="139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  <c r="AZ59" s="140"/>
      <c r="BA59" s="140"/>
      <c r="BB59" s="140"/>
      <c r="BC59" s="140"/>
      <c r="BD59" s="140"/>
      <c r="BE59" s="140"/>
      <c r="BF59" s="140"/>
      <c r="BG59" s="140"/>
      <c r="BH59" s="140"/>
      <c r="BI59" s="140"/>
      <c r="BJ59" s="140"/>
      <c r="BK59" s="140"/>
      <c r="BL59" s="140"/>
      <c r="BM59" s="140"/>
      <c r="BN59" s="140"/>
      <c r="BO59" s="140"/>
      <c r="BP59" s="140"/>
      <c r="BQ59" s="140"/>
      <c r="BR59" s="140"/>
      <c r="BS59" s="140"/>
      <c r="BT59" s="140"/>
      <c r="BU59" s="140"/>
      <c r="BV59" s="140"/>
      <c r="BW59" s="140"/>
      <c r="BX59" s="140"/>
      <c r="BY59" s="140"/>
      <c r="BZ59" s="140"/>
      <c r="CA59" s="140"/>
      <c r="CB59" s="140"/>
      <c r="CC59" s="140"/>
      <c r="CD59" s="140"/>
      <c r="CE59" s="140"/>
      <c r="CF59" s="140"/>
      <c r="CG59" s="140"/>
      <c r="CH59" s="140"/>
      <c r="CI59" s="140"/>
      <c r="CJ59" s="140"/>
      <c r="CK59" s="140"/>
      <c r="CL59" s="140"/>
      <c r="CM59" s="140"/>
      <c r="CN59" s="140"/>
      <c r="CO59" s="140"/>
      <c r="CP59" s="140"/>
      <c r="CQ59" s="140"/>
      <c r="CR59" s="140"/>
      <c r="CS59" s="140"/>
      <c r="CT59" s="140"/>
      <c r="CU59" s="140"/>
      <c r="CV59" s="140"/>
      <c r="CW59" s="140"/>
      <c r="CX59" s="140"/>
      <c r="CY59" s="140"/>
      <c r="CZ59" s="140"/>
      <c r="DA59" s="140"/>
      <c r="DB59" s="140"/>
      <c r="DC59" s="140"/>
      <c r="DD59" s="140"/>
      <c r="DE59" s="140"/>
      <c r="DF59" s="140"/>
      <c r="DG59" s="140"/>
      <c r="DH59" s="140"/>
      <c r="DI59" s="140"/>
      <c r="DJ59" s="140"/>
      <c r="DK59" s="140"/>
      <c r="DL59" s="140"/>
      <c r="DM59" s="140"/>
      <c r="DN59" s="140"/>
      <c r="DO59" s="140"/>
      <c r="DP59" s="140"/>
      <c r="DQ59" s="140"/>
      <c r="DR59" s="140"/>
      <c r="DS59" s="140"/>
      <c r="DT59" s="140"/>
      <c r="DU59" s="140"/>
      <c r="DV59" s="140"/>
      <c r="DW59" s="140"/>
      <c r="DX59" s="140"/>
      <c r="DY59" s="140"/>
      <c r="DZ59" s="140"/>
      <c r="EA59" s="140"/>
      <c r="EB59" s="140"/>
      <c r="EC59" s="140"/>
      <c r="ED59" s="140"/>
      <c r="EE59" s="140"/>
      <c r="EF59" s="140"/>
      <c r="EG59" s="140"/>
      <c r="EH59" s="140"/>
      <c r="EI59" s="140"/>
      <c r="EJ59" s="140"/>
      <c r="EK59" s="140"/>
      <c r="EL59" s="140"/>
      <c r="EM59" s="140"/>
      <c r="EN59" s="140"/>
      <c r="EO59" s="140"/>
      <c r="EP59" s="140"/>
      <c r="EQ59" s="140"/>
      <c r="ER59" s="140"/>
      <c r="ES59" s="140"/>
      <c r="ET59" s="140"/>
      <c r="EU59" s="140"/>
      <c r="EV59" s="140"/>
      <c r="EW59" s="140"/>
      <c r="EX59" s="140"/>
      <c r="EY59" s="140"/>
      <c r="EZ59" s="140"/>
      <c r="FA59" s="140"/>
      <c r="FB59" s="140"/>
      <c r="FC59" s="140"/>
      <c r="FD59" s="140"/>
      <c r="FE59" s="140"/>
      <c r="FF59" s="140"/>
      <c r="FG59" s="140"/>
      <c r="FH59" s="140"/>
      <c r="FI59" s="140"/>
      <c r="FJ59" s="140"/>
      <c r="FK59" s="140"/>
      <c r="FL59" s="140"/>
      <c r="FM59" s="140"/>
      <c r="FN59" s="140"/>
      <c r="FO59" s="140"/>
      <c r="FP59" s="140"/>
      <c r="FQ59" s="140"/>
      <c r="FR59" s="140"/>
      <c r="FS59" s="140"/>
      <c r="FT59" s="140"/>
      <c r="FU59" s="140"/>
      <c r="FV59" s="140"/>
      <c r="FW59" s="140"/>
      <c r="FX59" s="140"/>
      <c r="FY59" s="140"/>
      <c r="FZ59" s="140"/>
      <c r="GA59" s="140"/>
      <c r="GB59" s="140"/>
      <c r="GC59" s="140"/>
      <c r="GD59" s="140"/>
      <c r="GE59" s="140"/>
      <c r="GF59" s="140"/>
      <c r="GG59" s="140"/>
      <c r="GH59" s="140"/>
      <c r="GI59" s="140"/>
      <c r="GJ59" s="140"/>
      <c r="GK59" s="140"/>
      <c r="GL59" s="140"/>
      <c r="GM59" s="140"/>
      <c r="GN59" s="140"/>
      <c r="GO59" s="140"/>
      <c r="GP59" s="140"/>
      <c r="GQ59" s="140"/>
      <c r="GR59" s="140"/>
      <c r="GS59" s="140"/>
      <c r="GT59" s="140"/>
      <c r="GU59" s="140"/>
      <c r="GV59" s="140"/>
      <c r="GW59" s="140"/>
      <c r="GX59" s="140"/>
      <c r="GY59" s="140"/>
      <c r="GZ59" s="140"/>
      <c r="HA59" s="140"/>
      <c r="HB59" s="140"/>
      <c r="HC59" s="140"/>
      <c r="HD59" s="140"/>
      <c r="HE59" s="140"/>
      <c r="HF59" s="140"/>
      <c r="HG59" s="140"/>
      <c r="HH59" s="140"/>
      <c r="HI59" s="140"/>
      <c r="HJ59" s="140"/>
      <c r="HK59" s="140"/>
      <c r="HL59" s="140"/>
      <c r="HM59" s="140"/>
      <c r="HN59" s="140"/>
      <c r="HO59" s="140"/>
      <c r="HP59" s="140"/>
      <c r="HQ59" s="140"/>
      <c r="HR59" s="140"/>
      <c r="HS59" s="140"/>
      <c r="HT59" s="140"/>
      <c r="HU59" s="140"/>
      <c r="HV59" s="140"/>
      <c r="HW59" s="140"/>
      <c r="HX59" s="140"/>
      <c r="HY59" s="140"/>
      <c r="HZ59" s="140"/>
      <c r="IA59" s="140"/>
      <c r="IB59" s="140"/>
      <c r="IC59" s="140"/>
      <c r="ID59" s="140"/>
      <c r="IE59" s="140"/>
      <c r="IF59" s="140"/>
      <c r="IG59" s="140"/>
      <c r="IH59" s="140"/>
      <c r="II59" s="140"/>
      <c r="IJ59" s="140"/>
      <c r="IK59" s="140"/>
      <c r="IL59" s="140"/>
      <c r="IM59" s="140"/>
      <c r="IN59" s="140"/>
      <c r="IO59" s="140"/>
      <c r="IP59" s="140"/>
      <c r="IQ59" s="140"/>
      <c r="IR59" s="140"/>
      <c r="IS59" s="140"/>
      <c r="IT59" s="140"/>
      <c r="IU59" s="140"/>
      <c r="IV59" s="140"/>
      <c r="IW59" s="140"/>
      <c r="IX59" s="140"/>
      <c r="IY59" s="140"/>
      <c r="IZ59" s="140"/>
      <c r="JA59" s="140"/>
      <c r="JB59" s="140"/>
      <c r="JC59" s="140"/>
      <c r="JD59" s="140"/>
      <c r="JE59" s="140"/>
      <c r="JF59" s="140"/>
      <c r="JG59" s="140"/>
      <c r="JH59" s="140"/>
      <c r="JI59" s="140"/>
      <c r="JJ59" s="140"/>
      <c r="JK59" s="140"/>
      <c r="JL59" s="140"/>
      <c r="JM59" s="140"/>
      <c r="JN59" s="140"/>
      <c r="JO59" s="140"/>
      <c r="JP59" s="140"/>
      <c r="JQ59" s="140"/>
      <c r="JR59" s="140"/>
      <c r="JS59" s="140"/>
      <c r="JT59" s="140"/>
      <c r="JU59" s="140"/>
      <c r="JV59" s="140"/>
      <c r="JW59" s="140"/>
      <c r="JX59" s="140"/>
      <c r="JY59" s="140"/>
      <c r="JZ59" s="140"/>
      <c r="KA59" s="140"/>
      <c r="KB59" s="140"/>
      <c r="KC59" s="140"/>
      <c r="KD59" s="140"/>
      <c r="KE59" s="140"/>
      <c r="KF59" s="140"/>
      <c r="KG59" s="140"/>
      <c r="KH59" s="140"/>
      <c r="KI59" s="140"/>
      <c r="KJ59" s="140"/>
      <c r="KK59" s="140"/>
      <c r="KL59" s="140"/>
      <c r="KM59" s="140"/>
      <c r="KN59" s="140"/>
      <c r="KO59" s="140"/>
      <c r="KP59" s="140"/>
      <c r="KQ59" s="140"/>
      <c r="KR59" s="140"/>
      <c r="KS59" s="140"/>
      <c r="KT59" s="140"/>
      <c r="KU59" s="140"/>
      <c r="KV59" s="140"/>
      <c r="KW59" s="140"/>
      <c r="KX59" s="140"/>
      <c r="KY59" s="140"/>
      <c r="KZ59" s="140"/>
      <c r="LA59" s="140"/>
      <c r="LB59" s="140"/>
      <c r="LC59" s="140"/>
      <c r="LD59" s="140"/>
      <c r="LE59" s="140"/>
      <c r="LF59" s="140"/>
      <c r="LG59" s="140"/>
      <c r="LH59" s="140"/>
      <c r="LI59" s="140"/>
      <c r="LJ59" s="140"/>
      <c r="LK59" s="140"/>
      <c r="LL59" s="140"/>
      <c r="LM59" s="140"/>
      <c r="LN59" s="140"/>
      <c r="LO59" s="140"/>
      <c r="LP59" s="140"/>
      <c r="LQ59" s="140"/>
      <c r="LR59" s="140"/>
      <c r="LS59" s="140"/>
      <c r="LT59" s="140"/>
      <c r="LU59" s="140"/>
      <c r="LV59" s="140"/>
      <c r="LW59" s="140"/>
      <c r="LX59" s="140"/>
      <c r="LY59" s="140"/>
      <c r="LZ59" s="140"/>
      <c r="MA59" s="140"/>
      <c r="MB59" s="140"/>
      <c r="MC59" s="140"/>
      <c r="MD59" s="140"/>
      <c r="ME59" s="140"/>
      <c r="MF59" s="140"/>
      <c r="MG59" s="140"/>
      <c r="MH59" s="140"/>
      <c r="MI59" s="140"/>
      <c r="MJ59" s="140"/>
      <c r="MK59" s="140"/>
      <c r="ML59" s="140"/>
      <c r="MM59" s="140"/>
      <c r="MN59" s="140"/>
      <c r="MO59" s="140"/>
      <c r="MP59" s="140"/>
      <c r="MQ59" s="140"/>
      <c r="MR59" s="140"/>
      <c r="MS59" s="140"/>
      <c r="MT59" s="140"/>
      <c r="MU59" s="140"/>
      <c r="MV59" s="140"/>
      <c r="MW59" s="140"/>
      <c r="MX59" s="140"/>
      <c r="MY59" s="140"/>
      <c r="MZ59" s="140"/>
      <c r="NA59" s="140"/>
      <c r="NB59" s="140"/>
      <c r="NC59" s="140"/>
      <c r="ND59" s="140"/>
      <c r="NE59" s="140"/>
      <c r="NF59" s="140"/>
      <c r="NG59" s="140"/>
      <c r="NH59" s="140"/>
      <c r="NI59" s="140"/>
      <c r="NJ59" s="140"/>
      <c r="NK59" s="140"/>
      <c r="NL59" s="140"/>
      <c r="NM59" s="140"/>
      <c r="NN59" s="140"/>
      <c r="NO59" s="140"/>
      <c r="NP59" s="140"/>
      <c r="NQ59" s="140"/>
      <c r="NR59" s="140"/>
      <c r="NS59" s="140"/>
      <c r="NT59" s="140"/>
      <c r="NU59" s="140"/>
      <c r="NV59" s="140"/>
      <c r="NW59" s="140"/>
      <c r="NX59" s="140"/>
      <c r="NY59" s="140"/>
      <c r="NZ59" s="140"/>
      <c r="OA59" s="140"/>
      <c r="OB59" s="140"/>
      <c r="OC59" s="140"/>
      <c r="OD59" s="140"/>
      <c r="OE59" s="140"/>
      <c r="OF59" s="140"/>
      <c r="OG59" s="140"/>
      <c r="OH59" s="140"/>
      <c r="OI59" s="140"/>
      <c r="OJ59" s="140"/>
      <c r="OK59" s="140"/>
      <c r="OL59" s="140"/>
      <c r="OM59" s="140"/>
      <c r="ON59" s="140"/>
      <c r="OO59" s="140"/>
      <c r="OP59" s="140"/>
      <c r="OQ59" s="140"/>
      <c r="OR59" s="140"/>
      <c r="OS59" s="140"/>
      <c r="OT59" s="140"/>
      <c r="OU59" s="140"/>
      <c r="OV59" s="140"/>
      <c r="OW59" s="140"/>
      <c r="OX59" s="140"/>
      <c r="OY59" s="140"/>
      <c r="OZ59" s="140"/>
      <c r="PA59" s="140"/>
      <c r="PB59" s="140"/>
      <c r="PC59" s="140"/>
      <c r="PD59" s="140"/>
      <c r="PE59" s="140"/>
      <c r="PF59" s="140"/>
      <c r="PG59" s="140"/>
      <c r="PH59" s="140"/>
      <c r="PI59" s="140"/>
      <c r="PJ59" s="140"/>
      <c r="PK59" s="140"/>
      <c r="PL59" s="140"/>
      <c r="PM59" s="140"/>
      <c r="PN59" s="140"/>
      <c r="PO59" s="140"/>
      <c r="PP59" s="140"/>
      <c r="PQ59" s="140"/>
      <c r="PR59" s="140"/>
      <c r="PS59" s="140"/>
      <c r="PT59" s="140"/>
      <c r="PU59" s="140"/>
      <c r="PV59" s="140"/>
      <c r="PW59" s="140"/>
      <c r="PX59" s="140"/>
      <c r="PY59" s="140"/>
      <c r="PZ59" s="140"/>
      <c r="QA59" s="140"/>
      <c r="QB59" s="140"/>
      <c r="QC59" s="140"/>
      <c r="QD59" s="140"/>
      <c r="QE59" s="140"/>
      <c r="QF59" s="140"/>
      <c r="QG59" s="140"/>
      <c r="QH59" s="140"/>
      <c r="QI59" s="140"/>
      <c r="QJ59" s="140"/>
      <c r="QK59" s="140"/>
      <c r="QL59" s="140"/>
      <c r="QM59" s="140"/>
      <c r="QN59" s="140"/>
      <c r="QO59" s="140"/>
      <c r="QP59" s="140"/>
      <c r="QQ59" s="140"/>
      <c r="QR59" s="140"/>
      <c r="QS59" s="140"/>
      <c r="QT59" s="140"/>
      <c r="QU59" s="140"/>
      <c r="QV59" s="140"/>
      <c r="QW59" s="140"/>
      <c r="QX59" s="140"/>
      <c r="QY59" s="140"/>
      <c r="QZ59" s="140"/>
      <c r="RA59" s="140"/>
      <c r="RB59" s="140"/>
      <c r="RC59" s="140"/>
      <c r="RD59" s="140"/>
      <c r="RE59" s="140"/>
      <c r="RF59" s="140"/>
      <c r="RG59" s="140"/>
      <c r="RH59" s="140"/>
      <c r="RI59" s="140"/>
      <c r="RJ59" s="140"/>
      <c r="RK59" s="140"/>
      <c r="RL59" s="140"/>
      <c r="RM59" s="140"/>
      <c r="RN59" s="140"/>
      <c r="RO59" s="140"/>
      <c r="RP59" s="140"/>
      <c r="RQ59" s="140"/>
      <c r="RR59" s="140"/>
      <c r="RS59" s="140"/>
      <c r="RT59" s="140"/>
      <c r="RU59" s="140"/>
      <c r="RV59" s="140"/>
      <c r="RW59" s="140"/>
      <c r="RX59" s="140"/>
      <c r="RY59" s="140"/>
      <c r="RZ59" s="140"/>
      <c r="SA59" s="140"/>
      <c r="SB59" s="140"/>
      <c r="SC59" s="140"/>
      <c r="SD59" s="140"/>
      <c r="SE59" s="140"/>
      <c r="SF59" s="140"/>
      <c r="SG59" s="140"/>
      <c r="SH59" s="140"/>
      <c r="SI59" s="140"/>
      <c r="SJ59" s="140"/>
      <c r="SK59" s="140"/>
      <c r="SL59" s="140"/>
      <c r="SM59" s="140"/>
      <c r="SN59" s="140"/>
      <c r="SO59" s="140"/>
      <c r="SP59" s="140"/>
      <c r="SQ59" s="140"/>
      <c r="SR59" s="140"/>
      <c r="SS59" s="140"/>
      <c r="ST59" s="140"/>
      <c r="SU59" s="140"/>
      <c r="SV59" s="140"/>
      <c r="SW59" s="140"/>
      <c r="SX59" s="140"/>
      <c r="SY59" s="140"/>
      <c r="SZ59" s="140"/>
      <c r="TA59" s="140"/>
      <c r="TB59" s="140"/>
      <c r="TC59" s="140"/>
      <c r="TD59" s="140"/>
      <c r="TE59" s="140"/>
      <c r="TF59" s="140"/>
      <c r="TG59" s="140"/>
      <c r="TH59" s="140"/>
      <c r="TI59" s="140"/>
      <c r="TJ59" s="140"/>
      <c r="TK59" s="140"/>
      <c r="TL59" s="140"/>
      <c r="TM59" s="140"/>
      <c r="TN59" s="140"/>
      <c r="TO59" s="140"/>
      <c r="TP59" s="140"/>
      <c r="TQ59" s="140"/>
      <c r="TR59" s="140"/>
      <c r="TS59" s="140"/>
      <c r="TT59" s="140"/>
      <c r="TU59" s="140"/>
      <c r="TV59" s="140"/>
      <c r="TW59" s="140"/>
      <c r="TX59" s="140"/>
      <c r="TY59" s="140"/>
      <c r="TZ59" s="140"/>
      <c r="UA59" s="140"/>
      <c r="UB59" s="140"/>
      <c r="UC59" s="140"/>
      <c r="UD59" s="140"/>
      <c r="UE59" s="140"/>
      <c r="UF59" s="140"/>
      <c r="UG59" s="140"/>
      <c r="UH59" s="140"/>
      <c r="UI59" s="140"/>
      <c r="UJ59" s="140"/>
      <c r="UK59" s="140"/>
      <c r="UL59" s="140"/>
      <c r="UM59" s="140"/>
      <c r="UN59" s="140"/>
      <c r="UO59" s="140"/>
      <c r="UP59" s="140"/>
      <c r="UQ59" s="140"/>
      <c r="UR59" s="140"/>
      <c r="US59" s="140"/>
      <c r="UT59" s="140"/>
      <c r="UU59" s="140"/>
      <c r="UV59" s="140"/>
      <c r="UW59" s="140"/>
      <c r="UX59" s="140"/>
      <c r="UY59" s="140"/>
      <c r="UZ59" s="140"/>
      <c r="VA59" s="140"/>
      <c r="VB59" s="140"/>
      <c r="VC59" s="140"/>
      <c r="VD59" s="140"/>
      <c r="VE59" s="140"/>
      <c r="VF59" s="140"/>
      <c r="VG59" s="140"/>
      <c r="VH59" s="140"/>
      <c r="VI59" s="140"/>
      <c r="VJ59" s="140"/>
      <c r="VK59" s="140"/>
      <c r="VL59" s="140"/>
      <c r="VM59" s="140"/>
      <c r="VN59" s="140"/>
      <c r="VO59" s="140"/>
      <c r="VP59" s="140"/>
      <c r="VQ59" s="140"/>
      <c r="VR59" s="140"/>
      <c r="VS59" s="140"/>
      <c r="VT59" s="140"/>
      <c r="VU59" s="140"/>
      <c r="VV59" s="140"/>
      <c r="VW59" s="140"/>
      <c r="VX59" s="140"/>
      <c r="VY59" s="140"/>
      <c r="VZ59" s="140"/>
      <c r="WA59" s="140"/>
      <c r="WB59" s="140"/>
      <c r="WC59" s="140"/>
      <c r="WD59" s="140"/>
      <c r="WE59" s="140"/>
      <c r="WF59" s="140"/>
      <c r="WG59" s="140"/>
      <c r="WH59" s="140"/>
      <c r="WI59" s="140"/>
      <c r="WJ59" s="140"/>
      <c r="WK59" s="140"/>
      <c r="WL59" s="140"/>
      <c r="WM59" s="140"/>
      <c r="WN59" s="140"/>
      <c r="WO59" s="140"/>
      <c r="WP59" s="140"/>
      <c r="WQ59" s="140"/>
      <c r="WR59" s="140"/>
      <c r="WS59" s="140"/>
      <c r="WT59" s="140"/>
      <c r="WU59" s="140"/>
      <c r="WV59" s="140"/>
      <c r="WW59" s="140"/>
      <c r="WX59" s="140"/>
      <c r="WY59" s="140"/>
      <c r="WZ59" s="140"/>
      <c r="XA59" s="140"/>
      <c r="XB59" s="140"/>
      <c r="XC59" s="140"/>
      <c r="XD59" s="140"/>
      <c r="XE59" s="140"/>
      <c r="XF59" s="140"/>
      <c r="XG59" s="140"/>
      <c r="XH59" s="140"/>
      <c r="XI59" s="140"/>
      <c r="XJ59" s="140"/>
      <c r="XK59" s="140"/>
      <c r="XL59" s="140"/>
      <c r="XM59" s="140"/>
      <c r="XN59" s="140"/>
      <c r="XO59" s="140"/>
      <c r="XP59" s="140"/>
      <c r="XQ59" s="140"/>
      <c r="XR59" s="140"/>
      <c r="XS59" s="140"/>
      <c r="XT59" s="140"/>
      <c r="XU59" s="140"/>
      <c r="XV59" s="140"/>
      <c r="XW59" s="140"/>
      <c r="XX59" s="140"/>
      <c r="XY59" s="140"/>
      <c r="XZ59" s="140"/>
      <c r="YA59" s="140"/>
      <c r="YB59" s="140"/>
      <c r="YC59" s="140"/>
      <c r="YD59" s="140"/>
      <c r="YE59" s="140"/>
      <c r="YF59" s="140"/>
      <c r="YG59" s="140"/>
      <c r="YH59" s="140"/>
      <c r="YI59" s="140"/>
      <c r="YJ59" s="140"/>
      <c r="YK59" s="140"/>
      <c r="YL59" s="140"/>
      <c r="YM59" s="140"/>
      <c r="YN59" s="140"/>
      <c r="YO59" s="140"/>
      <c r="YP59" s="140"/>
      <c r="YQ59" s="140"/>
      <c r="YR59" s="140"/>
      <c r="YS59" s="140"/>
      <c r="YT59" s="140"/>
      <c r="YU59" s="140"/>
      <c r="YV59" s="140"/>
      <c r="YW59" s="140"/>
      <c r="YX59" s="140"/>
      <c r="YY59" s="140"/>
      <c r="YZ59" s="140"/>
      <c r="ZA59" s="140"/>
      <c r="ZB59" s="140"/>
      <c r="ZC59" s="140"/>
      <c r="ZD59" s="140"/>
      <c r="ZE59" s="140"/>
      <c r="ZF59" s="140"/>
      <c r="ZG59" s="140"/>
      <c r="ZH59" s="140"/>
      <c r="ZI59" s="140"/>
      <c r="ZJ59" s="140"/>
      <c r="ZK59" s="140"/>
      <c r="ZL59" s="140"/>
      <c r="ZM59" s="140"/>
      <c r="ZN59" s="140"/>
      <c r="ZO59" s="140"/>
      <c r="ZP59" s="140"/>
      <c r="ZQ59" s="140"/>
      <c r="ZR59" s="140"/>
      <c r="ZS59" s="140"/>
      <c r="ZT59" s="140"/>
      <c r="ZU59" s="140"/>
      <c r="ZV59" s="140"/>
      <c r="ZW59" s="140"/>
      <c r="ZX59" s="140"/>
      <c r="ZY59" s="140"/>
      <c r="ZZ59" s="140"/>
      <c r="AAA59" s="140"/>
      <c r="AAB59" s="140"/>
      <c r="AAC59" s="140"/>
      <c r="AAD59" s="140"/>
      <c r="AAE59" s="140"/>
      <c r="AAF59" s="140"/>
      <c r="AAG59" s="140"/>
      <c r="AAH59" s="140"/>
      <c r="AAI59" s="140"/>
      <c r="AAJ59" s="140"/>
      <c r="AAK59" s="140"/>
      <c r="AAL59" s="140"/>
      <c r="AAM59" s="140"/>
      <c r="AAN59" s="140"/>
      <c r="AAO59" s="140"/>
      <c r="AAP59" s="140"/>
      <c r="AAQ59" s="140"/>
      <c r="AAR59" s="140"/>
      <c r="AAS59" s="140"/>
      <c r="AAT59" s="140"/>
      <c r="AAU59" s="140"/>
      <c r="AAV59" s="140"/>
      <c r="AAW59" s="140"/>
      <c r="AAX59" s="140"/>
      <c r="AAY59" s="140"/>
      <c r="AAZ59" s="140"/>
      <c r="ABA59" s="140"/>
      <c r="ABB59" s="140"/>
      <c r="ABC59" s="140"/>
      <c r="ABD59" s="140"/>
      <c r="ABE59" s="140"/>
      <c r="ABF59" s="140"/>
      <c r="ABG59" s="140"/>
      <c r="ABH59" s="140"/>
      <c r="ABI59" s="140"/>
      <c r="ABJ59" s="140"/>
      <c r="ABK59" s="140"/>
      <c r="ABL59" s="140"/>
      <c r="ABM59" s="140"/>
      <c r="ABN59" s="140"/>
      <c r="ABO59" s="140"/>
      <c r="ABP59" s="140"/>
      <c r="ABQ59" s="140"/>
      <c r="ABR59" s="140"/>
      <c r="ABS59" s="140"/>
      <c r="ABT59" s="140"/>
      <c r="ABU59" s="140"/>
      <c r="ABV59" s="140"/>
      <c r="ABW59" s="140"/>
      <c r="ABX59" s="140"/>
      <c r="ABY59" s="140"/>
      <c r="ABZ59" s="140"/>
      <c r="ACA59" s="140"/>
      <c r="ACB59" s="140"/>
      <c r="ACC59" s="140"/>
      <c r="ACD59" s="140"/>
      <c r="ACE59" s="140"/>
      <c r="ACF59" s="140"/>
      <c r="ACG59" s="140"/>
      <c r="ACH59" s="140"/>
      <c r="ACI59" s="140"/>
      <c r="ACJ59" s="140"/>
      <c r="ACK59" s="140"/>
      <c r="ACL59" s="140"/>
      <c r="ACM59" s="140"/>
      <c r="ACN59" s="140"/>
      <c r="ACO59" s="140"/>
      <c r="ACP59" s="140"/>
      <c r="ACQ59" s="140"/>
      <c r="ACR59" s="140"/>
      <c r="ACS59" s="140"/>
      <c r="ACT59" s="140"/>
      <c r="ACU59" s="140"/>
      <c r="ACV59" s="140"/>
      <c r="ACW59" s="140"/>
      <c r="ACX59" s="140"/>
      <c r="ACY59" s="140"/>
      <c r="ACZ59" s="140"/>
      <c r="ADA59" s="140"/>
      <c r="ADB59" s="140"/>
      <c r="ADC59" s="140"/>
      <c r="ADD59" s="140"/>
      <c r="ADE59" s="140"/>
      <c r="ADF59" s="140"/>
      <c r="ADG59" s="140"/>
      <c r="ADH59" s="140"/>
      <c r="ADI59" s="140"/>
      <c r="ADJ59" s="140"/>
      <c r="ADK59" s="140"/>
      <c r="ADL59" s="140"/>
      <c r="ADM59" s="140"/>
      <c r="ADN59" s="140"/>
      <c r="ADO59" s="140"/>
      <c r="ADP59" s="140"/>
      <c r="ADQ59" s="140"/>
      <c r="ADR59" s="140"/>
      <c r="ADS59" s="140"/>
      <c r="ADT59" s="140"/>
      <c r="ADU59" s="140"/>
      <c r="ADV59" s="140"/>
      <c r="ADW59" s="140"/>
      <c r="ADX59" s="140"/>
      <c r="ADY59" s="140"/>
      <c r="ADZ59" s="140"/>
      <c r="AEA59" s="140"/>
      <c r="AEB59" s="140"/>
      <c r="AEC59" s="140"/>
      <c r="AED59" s="140"/>
      <c r="AEE59" s="140"/>
      <c r="AEF59" s="140"/>
      <c r="AEG59" s="140"/>
      <c r="AEH59" s="140"/>
      <c r="AEI59" s="140"/>
      <c r="AEJ59" s="140"/>
      <c r="AEK59" s="140"/>
      <c r="AEL59" s="140"/>
      <c r="AEM59" s="140"/>
      <c r="AEN59" s="140"/>
      <c r="AEO59" s="140"/>
      <c r="AEP59" s="140"/>
      <c r="AEQ59" s="140"/>
      <c r="AER59" s="140"/>
      <c r="AES59" s="140"/>
      <c r="AET59" s="140"/>
      <c r="AEU59" s="140"/>
      <c r="AEV59" s="140"/>
      <c r="AEW59" s="140"/>
      <c r="AEX59" s="140"/>
      <c r="AEY59" s="140"/>
      <c r="AEZ59" s="140"/>
      <c r="AFA59" s="140"/>
      <c r="AFB59" s="140"/>
      <c r="AFC59" s="140"/>
      <c r="AFD59" s="140"/>
      <c r="AFE59" s="140"/>
      <c r="AFF59" s="140"/>
      <c r="AFG59" s="140"/>
      <c r="AFH59" s="140"/>
      <c r="AFI59" s="140"/>
      <c r="AFJ59" s="140"/>
      <c r="AFK59" s="140"/>
      <c r="AFL59" s="140"/>
      <c r="AFM59" s="140"/>
      <c r="AFN59" s="140"/>
      <c r="AFO59" s="140"/>
      <c r="AFP59" s="140"/>
      <c r="AFQ59" s="140"/>
      <c r="AFR59" s="140"/>
      <c r="AFS59" s="140"/>
      <c r="AFT59" s="140"/>
      <c r="AFU59" s="140"/>
      <c r="AFV59" s="140"/>
      <c r="AFW59" s="140"/>
      <c r="AFX59" s="140"/>
      <c r="AFY59" s="140"/>
      <c r="AFZ59" s="140"/>
      <c r="AGA59" s="140"/>
      <c r="AGB59" s="140"/>
      <c r="AGC59" s="140"/>
      <c r="AGD59" s="140"/>
      <c r="AGE59" s="140"/>
      <c r="AGF59" s="140"/>
      <c r="AGG59" s="140"/>
      <c r="AGH59" s="140"/>
      <c r="AGI59" s="140"/>
      <c r="AGJ59" s="140"/>
      <c r="AGK59" s="140"/>
      <c r="AGL59" s="140"/>
      <c r="AGM59" s="140"/>
      <c r="AGN59" s="140"/>
      <c r="AGO59" s="140"/>
      <c r="AGP59" s="140"/>
      <c r="AGQ59" s="140"/>
      <c r="AGR59" s="140"/>
      <c r="AGS59" s="140"/>
      <c r="AGT59" s="140"/>
      <c r="AGU59" s="140"/>
      <c r="AGV59" s="140"/>
      <c r="AGW59" s="140"/>
      <c r="AGX59" s="140"/>
      <c r="AGY59" s="140"/>
      <c r="AGZ59" s="140"/>
      <c r="AHA59" s="140"/>
      <c r="AHB59" s="140"/>
      <c r="AHC59" s="140"/>
    </row>
    <row r="60" spans="1:887" ht="20.100000000000001" customHeight="1">
      <c r="A60" s="191" t="str">
        <f>VLOOKUP(C60,'BASE DE DADOS'!A:B,2,FALSE)</f>
        <v>MICROLINS INATIVOS</v>
      </c>
      <c r="B60" s="90" t="s">
        <v>2018</v>
      </c>
      <c r="C60" s="191" t="s">
        <v>2019</v>
      </c>
      <c r="D60" s="75">
        <v>80582.820000000007</v>
      </c>
      <c r="E60" s="76">
        <v>95793.27</v>
      </c>
      <c r="F60" s="103"/>
      <c r="G60" s="192"/>
      <c r="H60" s="193"/>
      <c r="I60" s="193"/>
      <c r="J60" s="193"/>
      <c r="K60" s="193"/>
      <c r="L60" s="193"/>
      <c r="M60" s="193"/>
      <c r="N60" s="193" t="s">
        <v>1743</v>
      </c>
      <c r="O60" s="202">
        <v>45036</v>
      </c>
      <c r="P60" s="146" t="s">
        <v>2788</v>
      </c>
      <c r="Q60" s="195" t="s">
        <v>2314</v>
      </c>
    </row>
    <row r="61" spans="1:887" ht="20.100000000000001" customHeight="1">
      <c r="A61" s="191" t="str">
        <f>VLOOKUP(C61,'BASE DE DADOS'!A:B,2,FALSE)</f>
        <v>MICROLINS INATIVOS</v>
      </c>
      <c r="B61" s="90" t="s">
        <v>1695</v>
      </c>
      <c r="C61" s="191" t="s">
        <v>1696</v>
      </c>
      <c r="D61" s="75">
        <v>92465.82</v>
      </c>
      <c r="E61" s="74" t="s">
        <v>2793</v>
      </c>
      <c r="F61" s="103"/>
      <c r="G61" s="192"/>
      <c r="H61" s="193"/>
      <c r="I61" s="193"/>
      <c r="J61" s="193"/>
      <c r="K61" s="193"/>
      <c r="L61" s="193"/>
      <c r="M61" s="193"/>
      <c r="N61" s="193" t="s">
        <v>1743</v>
      </c>
      <c r="O61" s="202">
        <v>44827</v>
      </c>
      <c r="P61" s="146" t="s">
        <v>2789</v>
      </c>
      <c r="Q61" s="195" t="s">
        <v>2335</v>
      </c>
    </row>
    <row r="62" spans="1:887" s="141" customFormat="1" ht="20.100000000000001" customHeight="1">
      <c r="A62" s="164" t="s">
        <v>2159</v>
      </c>
      <c r="B62" s="165" t="s">
        <v>1075</v>
      </c>
      <c r="C62" s="164" t="s">
        <v>2277</v>
      </c>
      <c r="D62" s="166">
        <v>9456</v>
      </c>
      <c r="E62" s="166"/>
      <c r="F62" s="167"/>
      <c r="G62" s="168"/>
      <c r="H62" s="169"/>
      <c r="I62" s="169"/>
      <c r="J62" s="169" t="s">
        <v>1743</v>
      </c>
      <c r="K62" s="169"/>
      <c r="L62" s="169"/>
      <c r="M62" s="169"/>
      <c r="N62" s="169"/>
      <c r="O62" s="169"/>
      <c r="P62" s="170"/>
      <c r="Q62" s="139" t="s">
        <v>2360</v>
      </c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40"/>
      <c r="BD62" s="140"/>
      <c r="BE62" s="140"/>
      <c r="BF62" s="140"/>
      <c r="BG62" s="140"/>
      <c r="BH62" s="140"/>
      <c r="BI62" s="140"/>
      <c r="BJ62" s="140"/>
      <c r="BK62" s="140"/>
      <c r="BL62" s="140"/>
      <c r="BM62" s="140"/>
      <c r="BN62" s="140"/>
      <c r="BO62" s="140"/>
      <c r="BP62" s="140"/>
      <c r="BQ62" s="140"/>
      <c r="BR62" s="140"/>
      <c r="BS62" s="140"/>
      <c r="BT62" s="140"/>
      <c r="BU62" s="140"/>
      <c r="BV62" s="140"/>
      <c r="BW62" s="140"/>
      <c r="BX62" s="140"/>
      <c r="BY62" s="140"/>
      <c r="BZ62" s="140"/>
      <c r="CA62" s="140"/>
      <c r="CB62" s="140"/>
      <c r="CC62" s="140"/>
      <c r="CD62" s="140"/>
      <c r="CE62" s="140"/>
      <c r="CF62" s="140"/>
      <c r="CG62" s="140"/>
      <c r="CH62" s="140"/>
      <c r="CI62" s="140"/>
      <c r="CJ62" s="140"/>
      <c r="CK62" s="140"/>
      <c r="CL62" s="140"/>
      <c r="CM62" s="140"/>
      <c r="CN62" s="140"/>
      <c r="CO62" s="140"/>
      <c r="CP62" s="140"/>
      <c r="CQ62" s="140"/>
      <c r="CR62" s="140"/>
      <c r="CS62" s="140"/>
      <c r="CT62" s="140"/>
      <c r="CU62" s="140"/>
      <c r="CV62" s="140"/>
      <c r="CW62" s="140"/>
      <c r="CX62" s="140"/>
      <c r="CY62" s="140"/>
      <c r="CZ62" s="140"/>
      <c r="DA62" s="140"/>
      <c r="DB62" s="140"/>
      <c r="DC62" s="140"/>
      <c r="DD62" s="140"/>
      <c r="DE62" s="140"/>
      <c r="DF62" s="140"/>
      <c r="DG62" s="140"/>
      <c r="DH62" s="140"/>
      <c r="DI62" s="140"/>
      <c r="DJ62" s="140"/>
      <c r="DK62" s="140"/>
      <c r="DL62" s="140"/>
      <c r="DM62" s="140"/>
      <c r="DN62" s="140"/>
      <c r="DO62" s="140"/>
      <c r="DP62" s="140"/>
      <c r="DQ62" s="140"/>
      <c r="DR62" s="140"/>
      <c r="DS62" s="140"/>
      <c r="DT62" s="140"/>
      <c r="DU62" s="140"/>
      <c r="DV62" s="140"/>
      <c r="DW62" s="140"/>
      <c r="DX62" s="140"/>
      <c r="DY62" s="140"/>
      <c r="DZ62" s="140"/>
      <c r="EA62" s="140"/>
      <c r="EB62" s="140"/>
      <c r="EC62" s="140"/>
      <c r="ED62" s="140"/>
      <c r="EE62" s="140"/>
      <c r="EF62" s="140"/>
      <c r="EG62" s="140"/>
      <c r="EH62" s="140"/>
      <c r="EI62" s="140"/>
      <c r="EJ62" s="140"/>
      <c r="EK62" s="140"/>
      <c r="EL62" s="140"/>
      <c r="EM62" s="140"/>
      <c r="EN62" s="140"/>
      <c r="EO62" s="140"/>
      <c r="EP62" s="140"/>
      <c r="EQ62" s="140"/>
      <c r="ER62" s="140"/>
      <c r="ES62" s="140"/>
      <c r="ET62" s="140"/>
      <c r="EU62" s="140"/>
      <c r="EV62" s="140"/>
      <c r="EW62" s="140"/>
      <c r="EX62" s="140"/>
      <c r="EY62" s="140"/>
      <c r="EZ62" s="140"/>
      <c r="FA62" s="140"/>
      <c r="FB62" s="140"/>
      <c r="FC62" s="140"/>
      <c r="FD62" s="140"/>
      <c r="FE62" s="140"/>
      <c r="FF62" s="140"/>
      <c r="FG62" s="140"/>
      <c r="FH62" s="140"/>
      <c r="FI62" s="140"/>
      <c r="FJ62" s="140"/>
      <c r="FK62" s="140"/>
      <c r="FL62" s="140"/>
      <c r="FM62" s="140"/>
      <c r="FN62" s="140"/>
      <c r="FO62" s="140"/>
      <c r="FP62" s="140"/>
      <c r="FQ62" s="140"/>
      <c r="FR62" s="140"/>
      <c r="FS62" s="140"/>
      <c r="FT62" s="140"/>
      <c r="FU62" s="140"/>
      <c r="FV62" s="140"/>
      <c r="FW62" s="140"/>
      <c r="FX62" s="140"/>
      <c r="FY62" s="140"/>
      <c r="FZ62" s="140"/>
      <c r="GA62" s="140"/>
      <c r="GB62" s="140"/>
      <c r="GC62" s="140"/>
      <c r="GD62" s="140"/>
      <c r="GE62" s="140"/>
      <c r="GF62" s="140"/>
      <c r="GG62" s="140"/>
      <c r="GH62" s="140"/>
      <c r="GI62" s="140"/>
      <c r="GJ62" s="140"/>
      <c r="GK62" s="140"/>
      <c r="GL62" s="140"/>
      <c r="GM62" s="140"/>
      <c r="GN62" s="140"/>
      <c r="GO62" s="140"/>
      <c r="GP62" s="140"/>
      <c r="GQ62" s="140"/>
      <c r="GR62" s="140"/>
      <c r="GS62" s="140"/>
      <c r="GT62" s="140"/>
      <c r="GU62" s="140"/>
      <c r="GV62" s="140"/>
      <c r="GW62" s="140"/>
      <c r="GX62" s="140"/>
      <c r="GY62" s="140"/>
      <c r="GZ62" s="140"/>
      <c r="HA62" s="140"/>
      <c r="HB62" s="140"/>
      <c r="HC62" s="140"/>
      <c r="HD62" s="140"/>
      <c r="HE62" s="140"/>
      <c r="HF62" s="140"/>
      <c r="HG62" s="140"/>
      <c r="HH62" s="140"/>
      <c r="HI62" s="140"/>
      <c r="HJ62" s="140"/>
      <c r="HK62" s="140"/>
      <c r="HL62" s="140"/>
      <c r="HM62" s="140"/>
      <c r="HN62" s="140"/>
      <c r="HO62" s="140"/>
      <c r="HP62" s="140"/>
      <c r="HQ62" s="140"/>
      <c r="HR62" s="140"/>
      <c r="HS62" s="140"/>
      <c r="HT62" s="140"/>
      <c r="HU62" s="140"/>
      <c r="HV62" s="140"/>
      <c r="HW62" s="140"/>
      <c r="HX62" s="140"/>
      <c r="HY62" s="140"/>
      <c r="HZ62" s="140"/>
      <c r="IA62" s="140"/>
      <c r="IB62" s="140"/>
      <c r="IC62" s="140"/>
      <c r="ID62" s="140"/>
      <c r="IE62" s="140"/>
      <c r="IF62" s="140"/>
      <c r="IG62" s="140"/>
      <c r="IH62" s="140"/>
      <c r="II62" s="140"/>
      <c r="IJ62" s="140"/>
      <c r="IK62" s="140"/>
      <c r="IL62" s="140"/>
      <c r="IM62" s="140"/>
      <c r="IN62" s="140"/>
      <c r="IO62" s="140"/>
      <c r="IP62" s="140"/>
      <c r="IQ62" s="140"/>
      <c r="IR62" s="140"/>
      <c r="IS62" s="140"/>
      <c r="IT62" s="140"/>
      <c r="IU62" s="140"/>
      <c r="IV62" s="140"/>
      <c r="IW62" s="140"/>
      <c r="IX62" s="140"/>
      <c r="IY62" s="140"/>
      <c r="IZ62" s="140"/>
      <c r="JA62" s="140"/>
      <c r="JB62" s="140"/>
      <c r="JC62" s="140"/>
      <c r="JD62" s="140"/>
      <c r="JE62" s="140"/>
      <c r="JF62" s="140"/>
      <c r="JG62" s="140"/>
      <c r="JH62" s="140"/>
      <c r="JI62" s="140"/>
      <c r="JJ62" s="140"/>
      <c r="JK62" s="140"/>
      <c r="JL62" s="140"/>
      <c r="JM62" s="140"/>
      <c r="JN62" s="140"/>
      <c r="JO62" s="140"/>
      <c r="JP62" s="140"/>
      <c r="JQ62" s="140"/>
      <c r="JR62" s="140"/>
      <c r="JS62" s="140"/>
      <c r="JT62" s="140"/>
      <c r="JU62" s="140"/>
      <c r="JV62" s="140"/>
      <c r="JW62" s="140"/>
      <c r="JX62" s="140"/>
      <c r="JY62" s="140"/>
      <c r="JZ62" s="140"/>
      <c r="KA62" s="140"/>
      <c r="KB62" s="140"/>
      <c r="KC62" s="140"/>
      <c r="KD62" s="140"/>
      <c r="KE62" s="140"/>
      <c r="KF62" s="140"/>
      <c r="KG62" s="140"/>
      <c r="KH62" s="140"/>
      <c r="KI62" s="140"/>
      <c r="KJ62" s="140"/>
      <c r="KK62" s="140"/>
      <c r="KL62" s="140"/>
      <c r="KM62" s="140"/>
      <c r="KN62" s="140"/>
      <c r="KO62" s="140"/>
      <c r="KP62" s="140"/>
      <c r="KQ62" s="140"/>
      <c r="KR62" s="140"/>
      <c r="KS62" s="140"/>
      <c r="KT62" s="140"/>
      <c r="KU62" s="140"/>
      <c r="KV62" s="140"/>
      <c r="KW62" s="140"/>
      <c r="KX62" s="140"/>
      <c r="KY62" s="140"/>
      <c r="KZ62" s="140"/>
      <c r="LA62" s="140"/>
      <c r="LB62" s="140"/>
      <c r="LC62" s="140"/>
      <c r="LD62" s="140"/>
      <c r="LE62" s="140"/>
      <c r="LF62" s="140"/>
      <c r="LG62" s="140"/>
      <c r="LH62" s="140"/>
      <c r="LI62" s="140"/>
      <c r="LJ62" s="140"/>
      <c r="LK62" s="140"/>
      <c r="LL62" s="140"/>
      <c r="LM62" s="140"/>
      <c r="LN62" s="140"/>
      <c r="LO62" s="140"/>
      <c r="LP62" s="140"/>
      <c r="LQ62" s="140"/>
      <c r="LR62" s="140"/>
      <c r="LS62" s="140"/>
      <c r="LT62" s="140"/>
      <c r="LU62" s="140"/>
      <c r="LV62" s="140"/>
      <c r="LW62" s="140"/>
      <c r="LX62" s="140"/>
      <c r="LY62" s="140"/>
      <c r="LZ62" s="140"/>
      <c r="MA62" s="140"/>
      <c r="MB62" s="140"/>
      <c r="MC62" s="140"/>
      <c r="MD62" s="140"/>
      <c r="ME62" s="140"/>
      <c r="MF62" s="140"/>
      <c r="MG62" s="140"/>
      <c r="MH62" s="140"/>
      <c r="MI62" s="140"/>
      <c r="MJ62" s="140"/>
      <c r="MK62" s="140"/>
      <c r="ML62" s="140"/>
      <c r="MM62" s="140"/>
      <c r="MN62" s="140"/>
      <c r="MO62" s="140"/>
      <c r="MP62" s="140"/>
      <c r="MQ62" s="140"/>
      <c r="MR62" s="140"/>
      <c r="MS62" s="140"/>
      <c r="MT62" s="140"/>
      <c r="MU62" s="140"/>
      <c r="MV62" s="140"/>
      <c r="MW62" s="140"/>
      <c r="MX62" s="140"/>
      <c r="MY62" s="140"/>
      <c r="MZ62" s="140"/>
      <c r="NA62" s="140"/>
      <c r="NB62" s="140"/>
      <c r="NC62" s="140"/>
      <c r="ND62" s="140"/>
      <c r="NE62" s="140"/>
      <c r="NF62" s="140"/>
      <c r="NG62" s="140"/>
      <c r="NH62" s="140"/>
      <c r="NI62" s="140"/>
      <c r="NJ62" s="140"/>
      <c r="NK62" s="140"/>
      <c r="NL62" s="140"/>
      <c r="NM62" s="140"/>
      <c r="NN62" s="140"/>
      <c r="NO62" s="140"/>
      <c r="NP62" s="140"/>
      <c r="NQ62" s="140"/>
      <c r="NR62" s="140"/>
      <c r="NS62" s="140"/>
      <c r="NT62" s="140"/>
      <c r="NU62" s="140"/>
      <c r="NV62" s="140"/>
      <c r="NW62" s="140"/>
      <c r="NX62" s="140"/>
      <c r="NY62" s="140"/>
      <c r="NZ62" s="140"/>
      <c r="OA62" s="140"/>
      <c r="OB62" s="140"/>
      <c r="OC62" s="140"/>
      <c r="OD62" s="140"/>
      <c r="OE62" s="140"/>
      <c r="OF62" s="140"/>
      <c r="OG62" s="140"/>
      <c r="OH62" s="140"/>
      <c r="OI62" s="140"/>
      <c r="OJ62" s="140"/>
      <c r="OK62" s="140"/>
      <c r="OL62" s="140"/>
      <c r="OM62" s="140"/>
      <c r="ON62" s="140"/>
      <c r="OO62" s="140"/>
      <c r="OP62" s="140"/>
      <c r="OQ62" s="140"/>
      <c r="OR62" s="140"/>
      <c r="OS62" s="140"/>
      <c r="OT62" s="140"/>
      <c r="OU62" s="140"/>
      <c r="OV62" s="140"/>
      <c r="OW62" s="140"/>
      <c r="OX62" s="140"/>
      <c r="OY62" s="140"/>
      <c r="OZ62" s="140"/>
      <c r="PA62" s="140"/>
      <c r="PB62" s="140"/>
      <c r="PC62" s="140"/>
      <c r="PD62" s="140"/>
      <c r="PE62" s="140"/>
      <c r="PF62" s="140"/>
      <c r="PG62" s="140"/>
      <c r="PH62" s="140"/>
      <c r="PI62" s="140"/>
      <c r="PJ62" s="140"/>
      <c r="PK62" s="140"/>
      <c r="PL62" s="140"/>
      <c r="PM62" s="140"/>
      <c r="PN62" s="140"/>
      <c r="PO62" s="140"/>
      <c r="PP62" s="140"/>
      <c r="PQ62" s="140"/>
      <c r="PR62" s="140"/>
      <c r="PS62" s="140"/>
      <c r="PT62" s="140"/>
      <c r="PU62" s="140"/>
      <c r="PV62" s="140"/>
      <c r="PW62" s="140"/>
      <c r="PX62" s="140"/>
      <c r="PY62" s="140"/>
      <c r="PZ62" s="140"/>
      <c r="QA62" s="140"/>
      <c r="QB62" s="140"/>
      <c r="QC62" s="140"/>
      <c r="QD62" s="140"/>
      <c r="QE62" s="140"/>
      <c r="QF62" s="140"/>
      <c r="QG62" s="140"/>
      <c r="QH62" s="140"/>
      <c r="QI62" s="140"/>
      <c r="QJ62" s="140"/>
      <c r="QK62" s="140"/>
      <c r="QL62" s="140"/>
      <c r="QM62" s="140"/>
      <c r="QN62" s="140"/>
      <c r="QO62" s="140"/>
      <c r="QP62" s="140"/>
      <c r="QQ62" s="140"/>
      <c r="QR62" s="140"/>
      <c r="QS62" s="140"/>
      <c r="QT62" s="140"/>
      <c r="QU62" s="140"/>
      <c r="QV62" s="140"/>
      <c r="QW62" s="140"/>
      <c r="QX62" s="140"/>
      <c r="QY62" s="140"/>
      <c r="QZ62" s="140"/>
      <c r="RA62" s="140"/>
      <c r="RB62" s="140"/>
      <c r="RC62" s="140"/>
      <c r="RD62" s="140"/>
      <c r="RE62" s="140"/>
      <c r="RF62" s="140"/>
      <c r="RG62" s="140"/>
      <c r="RH62" s="140"/>
      <c r="RI62" s="140"/>
      <c r="RJ62" s="140"/>
      <c r="RK62" s="140"/>
      <c r="RL62" s="140"/>
      <c r="RM62" s="140"/>
      <c r="RN62" s="140"/>
      <c r="RO62" s="140"/>
      <c r="RP62" s="140"/>
      <c r="RQ62" s="140"/>
      <c r="RR62" s="140"/>
      <c r="RS62" s="140"/>
      <c r="RT62" s="140"/>
      <c r="RU62" s="140"/>
      <c r="RV62" s="140"/>
      <c r="RW62" s="140"/>
      <c r="RX62" s="140"/>
      <c r="RY62" s="140"/>
      <c r="RZ62" s="140"/>
      <c r="SA62" s="140"/>
      <c r="SB62" s="140"/>
      <c r="SC62" s="140"/>
      <c r="SD62" s="140"/>
      <c r="SE62" s="140"/>
      <c r="SF62" s="140"/>
      <c r="SG62" s="140"/>
      <c r="SH62" s="140"/>
      <c r="SI62" s="140"/>
      <c r="SJ62" s="140"/>
      <c r="SK62" s="140"/>
      <c r="SL62" s="140"/>
      <c r="SM62" s="140"/>
      <c r="SN62" s="140"/>
      <c r="SO62" s="140"/>
      <c r="SP62" s="140"/>
      <c r="SQ62" s="140"/>
      <c r="SR62" s="140"/>
      <c r="SS62" s="140"/>
      <c r="ST62" s="140"/>
      <c r="SU62" s="140"/>
      <c r="SV62" s="140"/>
      <c r="SW62" s="140"/>
      <c r="SX62" s="140"/>
      <c r="SY62" s="140"/>
      <c r="SZ62" s="140"/>
      <c r="TA62" s="140"/>
      <c r="TB62" s="140"/>
      <c r="TC62" s="140"/>
      <c r="TD62" s="140"/>
      <c r="TE62" s="140"/>
      <c r="TF62" s="140"/>
      <c r="TG62" s="140"/>
      <c r="TH62" s="140"/>
      <c r="TI62" s="140"/>
      <c r="TJ62" s="140"/>
      <c r="TK62" s="140"/>
      <c r="TL62" s="140"/>
      <c r="TM62" s="140"/>
      <c r="TN62" s="140"/>
      <c r="TO62" s="140"/>
      <c r="TP62" s="140"/>
      <c r="TQ62" s="140"/>
      <c r="TR62" s="140"/>
      <c r="TS62" s="140"/>
      <c r="TT62" s="140"/>
      <c r="TU62" s="140"/>
      <c r="TV62" s="140"/>
      <c r="TW62" s="140"/>
      <c r="TX62" s="140"/>
      <c r="TY62" s="140"/>
      <c r="TZ62" s="140"/>
      <c r="UA62" s="140"/>
      <c r="UB62" s="140"/>
      <c r="UC62" s="140"/>
      <c r="UD62" s="140"/>
      <c r="UE62" s="140"/>
      <c r="UF62" s="140"/>
      <c r="UG62" s="140"/>
      <c r="UH62" s="140"/>
      <c r="UI62" s="140"/>
      <c r="UJ62" s="140"/>
      <c r="UK62" s="140"/>
      <c r="UL62" s="140"/>
      <c r="UM62" s="140"/>
      <c r="UN62" s="140"/>
      <c r="UO62" s="140"/>
      <c r="UP62" s="140"/>
      <c r="UQ62" s="140"/>
      <c r="UR62" s="140"/>
      <c r="US62" s="140"/>
      <c r="UT62" s="140"/>
      <c r="UU62" s="140"/>
      <c r="UV62" s="140"/>
      <c r="UW62" s="140"/>
      <c r="UX62" s="140"/>
      <c r="UY62" s="140"/>
      <c r="UZ62" s="140"/>
      <c r="VA62" s="140"/>
      <c r="VB62" s="140"/>
      <c r="VC62" s="140"/>
      <c r="VD62" s="140"/>
      <c r="VE62" s="140"/>
      <c r="VF62" s="140"/>
      <c r="VG62" s="140"/>
      <c r="VH62" s="140"/>
      <c r="VI62" s="140"/>
      <c r="VJ62" s="140"/>
      <c r="VK62" s="140"/>
      <c r="VL62" s="140"/>
      <c r="VM62" s="140"/>
      <c r="VN62" s="140"/>
      <c r="VO62" s="140"/>
      <c r="VP62" s="140"/>
      <c r="VQ62" s="140"/>
      <c r="VR62" s="140"/>
      <c r="VS62" s="140"/>
      <c r="VT62" s="140"/>
      <c r="VU62" s="140"/>
      <c r="VV62" s="140"/>
      <c r="VW62" s="140"/>
      <c r="VX62" s="140"/>
      <c r="VY62" s="140"/>
      <c r="VZ62" s="140"/>
      <c r="WA62" s="140"/>
      <c r="WB62" s="140"/>
      <c r="WC62" s="140"/>
      <c r="WD62" s="140"/>
      <c r="WE62" s="140"/>
      <c r="WF62" s="140"/>
      <c r="WG62" s="140"/>
      <c r="WH62" s="140"/>
      <c r="WI62" s="140"/>
      <c r="WJ62" s="140"/>
      <c r="WK62" s="140"/>
      <c r="WL62" s="140"/>
      <c r="WM62" s="140"/>
      <c r="WN62" s="140"/>
      <c r="WO62" s="140"/>
      <c r="WP62" s="140"/>
      <c r="WQ62" s="140"/>
      <c r="WR62" s="140"/>
      <c r="WS62" s="140"/>
      <c r="WT62" s="140"/>
      <c r="WU62" s="140"/>
      <c r="WV62" s="140"/>
      <c r="WW62" s="140"/>
      <c r="WX62" s="140"/>
      <c r="WY62" s="140"/>
      <c r="WZ62" s="140"/>
      <c r="XA62" s="140"/>
      <c r="XB62" s="140"/>
      <c r="XC62" s="140"/>
      <c r="XD62" s="140"/>
      <c r="XE62" s="140"/>
      <c r="XF62" s="140"/>
      <c r="XG62" s="140"/>
      <c r="XH62" s="140"/>
      <c r="XI62" s="140"/>
      <c r="XJ62" s="140"/>
      <c r="XK62" s="140"/>
      <c r="XL62" s="140"/>
      <c r="XM62" s="140"/>
      <c r="XN62" s="140"/>
      <c r="XO62" s="140"/>
      <c r="XP62" s="140"/>
      <c r="XQ62" s="140"/>
      <c r="XR62" s="140"/>
      <c r="XS62" s="140"/>
      <c r="XT62" s="140"/>
      <c r="XU62" s="140"/>
      <c r="XV62" s="140"/>
      <c r="XW62" s="140"/>
      <c r="XX62" s="140"/>
      <c r="XY62" s="140"/>
      <c r="XZ62" s="140"/>
      <c r="YA62" s="140"/>
      <c r="YB62" s="140"/>
      <c r="YC62" s="140"/>
      <c r="YD62" s="140"/>
      <c r="YE62" s="140"/>
      <c r="YF62" s="140"/>
      <c r="YG62" s="140"/>
      <c r="YH62" s="140"/>
      <c r="YI62" s="140"/>
      <c r="YJ62" s="140"/>
      <c r="YK62" s="140"/>
      <c r="YL62" s="140"/>
      <c r="YM62" s="140"/>
      <c r="YN62" s="140"/>
      <c r="YO62" s="140"/>
      <c r="YP62" s="140"/>
      <c r="YQ62" s="140"/>
      <c r="YR62" s="140"/>
      <c r="YS62" s="140"/>
      <c r="YT62" s="140"/>
      <c r="YU62" s="140"/>
      <c r="YV62" s="140"/>
      <c r="YW62" s="140"/>
      <c r="YX62" s="140"/>
      <c r="YY62" s="140"/>
      <c r="YZ62" s="140"/>
      <c r="ZA62" s="140"/>
      <c r="ZB62" s="140"/>
      <c r="ZC62" s="140"/>
      <c r="ZD62" s="140"/>
      <c r="ZE62" s="140"/>
      <c r="ZF62" s="140"/>
      <c r="ZG62" s="140"/>
      <c r="ZH62" s="140"/>
      <c r="ZI62" s="140"/>
      <c r="ZJ62" s="140"/>
      <c r="ZK62" s="140"/>
      <c r="ZL62" s="140"/>
      <c r="ZM62" s="140"/>
      <c r="ZN62" s="140"/>
      <c r="ZO62" s="140"/>
      <c r="ZP62" s="140"/>
      <c r="ZQ62" s="140"/>
      <c r="ZR62" s="140"/>
      <c r="ZS62" s="140"/>
      <c r="ZT62" s="140"/>
      <c r="ZU62" s="140"/>
      <c r="ZV62" s="140"/>
      <c r="ZW62" s="140"/>
      <c r="ZX62" s="140"/>
      <c r="ZY62" s="140"/>
      <c r="ZZ62" s="140"/>
      <c r="AAA62" s="140"/>
      <c r="AAB62" s="140"/>
      <c r="AAC62" s="140"/>
      <c r="AAD62" s="140"/>
      <c r="AAE62" s="140"/>
      <c r="AAF62" s="140"/>
      <c r="AAG62" s="140"/>
      <c r="AAH62" s="140"/>
      <c r="AAI62" s="140"/>
      <c r="AAJ62" s="140"/>
      <c r="AAK62" s="140"/>
      <c r="AAL62" s="140"/>
      <c r="AAM62" s="140"/>
      <c r="AAN62" s="140"/>
      <c r="AAO62" s="140"/>
      <c r="AAP62" s="140"/>
      <c r="AAQ62" s="140"/>
      <c r="AAR62" s="140"/>
      <c r="AAS62" s="140"/>
      <c r="AAT62" s="140"/>
      <c r="AAU62" s="140"/>
      <c r="AAV62" s="140"/>
      <c r="AAW62" s="140"/>
      <c r="AAX62" s="140"/>
      <c r="AAY62" s="140"/>
      <c r="AAZ62" s="140"/>
      <c r="ABA62" s="140"/>
      <c r="ABB62" s="140"/>
      <c r="ABC62" s="140"/>
      <c r="ABD62" s="140"/>
      <c r="ABE62" s="140"/>
      <c r="ABF62" s="140"/>
      <c r="ABG62" s="140"/>
      <c r="ABH62" s="140"/>
      <c r="ABI62" s="140"/>
      <c r="ABJ62" s="140"/>
      <c r="ABK62" s="140"/>
      <c r="ABL62" s="140"/>
      <c r="ABM62" s="140"/>
      <c r="ABN62" s="140"/>
      <c r="ABO62" s="140"/>
      <c r="ABP62" s="140"/>
      <c r="ABQ62" s="140"/>
      <c r="ABR62" s="140"/>
      <c r="ABS62" s="140"/>
      <c r="ABT62" s="140"/>
      <c r="ABU62" s="140"/>
      <c r="ABV62" s="140"/>
      <c r="ABW62" s="140"/>
      <c r="ABX62" s="140"/>
      <c r="ABY62" s="140"/>
      <c r="ABZ62" s="140"/>
      <c r="ACA62" s="140"/>
      <c r="ACB62" s="140"/>
      <c r="ACC62" s="140"/>
      <c r="ACD62" s="140"/>
      <c r="ACE62" s="140"/>
      <c r="ACF62" s="140"/>
      <c r="ACG62" s="140"/>
      <c r="ACH62" s="140"/>
      <c r="ACI62" s="140"/>
      <c r="ACJ62" s="140"/>
      <c r="ACK62" s="140"/>
      <c r="ACL62" s="140"/>
      <c r="ACM62" s="140"/>
      <c r="ACN62" s="140"/>
      <c r="ACO62" s="140"/>
      <c r="ACP62" s="140"/>
      <c r="ACQ62" s="140"/>
      <c r="ACR62" s="140"/>
      <c r="ACS62" s="140"/>
      <c r="ACT62" s="140"/>
      <c r="ACU62" s="140"/>
      <c r="ACV62" s="140"/>
      <c r="ACW62" s="140"/>
      <c r="ACX62" s="140"/>
      <c r="ACY62" s="140"/>
      <c r="ACZ62" s="140"/>
      <c r="ADA62" s="140"/>
      <c r="ADB62" s="140"/>
      <c r="ADC62" s="140"/>
      <c r="ADD62" s="140"/>
      <c r="ADE62" s="140"/>
      <c r="ADF62" s="140"/>
      <c r="ADG62" s="140"/>
      <c r="ADH62" s="140"/>
      <c r="ADI62" s="140"/>
      <c r="ADJ62" s="140"/>
      <c r="ADK62" s="140"/>
      <c r="ADL62" s="140"/>
      <c r="ADM62" s="140"/>
      <c r="ADN62" s="140"/>
      <c r="ADO62" s="140"/>
      <c r="ADP62" s="140"/>
      <c r="ADQ62" s="140"/>
      <c r="ADR62" s="140"/>
      <c r="ADS62" s="140"/>
      <c r="ADT62" s="140"/>
      <c r="ADU62" s="140"/>
      <c r="ADV62" s="140"/>
      <c r="ADW62" s="140"/>
      <c r="ADX62" s="140"/>
      <c r="ADY62" s="140"/>
      <c r="ADZ62" s="140"/>
      <c r="AEA62" s="140"/>
      <c r="AEB62" s="140"/>
      <c r="AEC62" s="140"/>
      <c r="AED62" s="140"/>
      <c r="AEE62" s="140"/>
      <c r="AEF62" s="140"/>
      <c r="AEG62" s="140"/>
      <c r="AEH62" s="140"/>
      <c r="AEI62" s="140"/>
      <c r="AEJ62" s="140"/>
      <c r="AEK62" s="140"/>
      <c r="AEL62" s="140"/>
      <c r="AEM62" s="140"/>
      <c r="AEN62" s="140"/>
      <c r="AEO62" s="140"/>
      <c r="AEP62" s="140"/>
      <c r="AEQ62" s="140"/>
      <c r="AER62" s="140"/>
      <c r="AES62" s="140"/>
      <c r="AET62" s="140"/>
      <c r="AEU62" s="140"/>
      <c r="AEV62" s="140"/>
      <c r="AEW62" s="140"/>
      <c r="AEX62" s="140"/>
      <c r="AEY62" s="140"/>
      <c r="AEZ62" s="140"/>
      <c r="AFA62" s="140"/>
      <c r="AFB62" s="140"/>
      <c r="AFC62" s="140"/>
      <c r="AFD62" s="140"/>
      <c r="AFE62" s="140"/>
      <c r="AFF62" s="140"/>
      <c r="AFG62" s="140"/>
      <c r="AFH62" s="140"/>
      <c r="AFI62" s="140"/>
      <c r="AFJ62" s="140"/>
      <c r="AFK62" s="140"/>
      <c r="AFL62" s="140"/>
      <c r="AFM62" s="140"/>
      <c r="AFN62" s="140"/>
      <c r="AFO62" s="140"/>
      <c r="AFP62" s="140"/>
      <c r="AFQ62" s="140"/>
      <c r="AFR62" s="140"/>
      <c r="AFS62" s="140"/>
      <c r="AFT62" s="140"/>
      <c r="AFU62" s="140"/>
      <c r="AFV62" s="140"/>
      <c r="AFW62" s="140"/>
      <c r="AFX62" s="140"/>
      <c r="AFY62" s="140"/>
      <c r="AFZ62" s="140"/>
      <c r="AGA62" s="140"/>
      <c r="AGB62" s="140"/>
      <c r="AGC62" s="140"/>
      <c r="AGD62" s="140"/>
      <c r="AGE62" s="140"/>
      <c r="AGF62" s="140"/>
      <c r="AGG62" s="140"/>
      <c r="AGH62" s="140"/>
      <c r="AGI62" s="140"/>
      <c r="AGJ62" s="140"/>
      <c r="AGK62" s="140"/>
      <c r="AGL62" s="140"/>
      <c r="AGM62" s="140"/>
      <c r="AGN62" s="140"/>
      <c r="AGO62" s="140"/>
      <c r="AGP62" s="140"/>
      <c r="AGQ62" s="140"/>
      <c r="AGR62" s="140"/>
      <c r="AGS62" s="140"/>
      <c r="AGT62" s="140"/>
      <c r="AGU62" s="140"/>
      <c r="AGV62" s="140"/>
      <c r="AGW62" s="140"/>
      <c r="AGX62" s="140"/>
      <c r="AGY62" s="140"/>
      <c r="AGZ62" s="140"/>
      <c r="AHA62" s="140"/>
      <c r="AHB62" s="140"/>
      <c r="AHC62" s="140"/>
    </row>
    <row r="63" spans="1:887" ht="20.100000000000001" customHeight="1">
      <c r="A63" s="198" t="str">
        <f>VLOOKUP(C63,'BASE DE DADOS'!A:B,2,FALSE)</f>
        <v>PREPARA INATIVOS</v>
      </c>
      <c r="B63" s="199" t="s">
        <v>890</v>
      </c>
      <c r="C63" s="198" t="s">
        <v>891</v>
      </c>
      <c r="D63" s="162">
        <v>60456.62</v>
      </c>
      <c r="E63" s="162"/>
      <c r="F63" s="163"/>
      <c r="G63" s="200"/>
      <c r="H63" s="201"/>
      <c r="I63" s="201"/>
      <c r="J63" s="201" t="s">
        <v>1743</v>
      </c>
      <c r="K63" s="201"/>
      <c r="L63" s="201"/>
      <c r="M63" s="201"/>
      <c r="N63" s="201"/>
      <c r="O63" s="201"/>
      <c r="P63" s="157"/>
      <c r="Q63" s="195" t="s">
        <v>2283</v>
      </c>
    </row>
    <row r="64" spans="1:887" ht="20.100000000000001" customHeight="1">
      <c r="A64" s="191" t="str">
        <f>VLOOKUP(C64,'BASE DE DADOS'!A:B,2,FALSE)</f>
        <v>PREPARA INATIVOS</v>
      </c>
      <c r="B64" s="90" t="s">
        <v>724</v>
      </c>
      <c r="C64" s="212" t="s">
        <v>725</v>
      </c>
      <c r="D64" s="75">
        <v>23633.72</v>
      </c>
      <c r="E64" s="98">
        <v>29851.89</v>
      </c>
      <c r="F64" s="103"/>
      <c r="G64" s="192"/>
      <c r="H64" s="193"/>
      <c r="I64" s="193"/>
      <c r="J64" s="193"/>
      <c r="K64" s="193"/>
      <c r="L64" s="193"/>
      <c r="M64" s="193"/>
      <c r="N64" s="193" t="s">
        <v>1743</v>
      </c>
      <c r="O64" s="202">
        <v>44503</v>
      </c>
      <c r="P64" s="145" t="s">
        <v>2794</v>
      </c>
      <c r="Q64" s="195"/>
    </row>
    <row r="65" spans="1:887" ht="20.100000000000001" customHeight="1">
      <c r="A65" s="198" t="str">
        <f>VLOOKUP(C65,'BASE DE DADOS'!A:B,2,FALSE)</f>
        <v>PREPARA INATIVOS</v>
      </c>
      <c r="B65" s="199" t="s">
        <v>2175</v>
      </c>
      <c r="C65" s="213" t="s">
        <v>356</v>
      </c>
      <c r="D65" s="162">
        <v>128835.89</v>
      </c>
      <c r="E65" s="162"/>
      <c r="F65" s="163"/>
      <c r="G65" s="200"/>
      <c r="H65" s="201"/>
      <c r="I65" s="201"/>
      <c r="J65" s="201" t="s">
        <v>1743</v>
      </c>
      <c r="K65" s="201"/>
      <c r="L65" s="201"/>
      <c r="M65" s="201"/>
      <c r="N65" s="201"/>
      <c r="O65" s="201"/>
      <c r="P65" s="157"/>
      <c r="Q65" s="195"/>
    </row>
    <row r="66" spans="1:887" ht="20.100000000000001" customHeight="1">
      <c r="A66" s="198" t="str">
        <f>VLOOKUP(C66,'BASE DE DADOS'!A:B,2,FALSE)</f>
        <v>PREPARA INATIVOS</v>
      </c>
      <c r="B66" s="199" t="s">
        <v>355</v>
      </c>
      <c r="C66" s="213" t="s">
        <v>356</v>
      </c>
      <c r="D66" s="162"/>
      <c r="E66" s="162"/>
      <c r="F66" s="163"/>
      <c r="G66" s="200"/>
      <c r="H66" s="201"/>
      <c r="I66" s="201"/>
      <c r="J66" s="201" t="s">
        <v>1743</v>
      </c>
      <c r="K66" s="201"/>
      <c r="L66" s="201"/>
      <c r="M66" s="201"/>
      <c r="N66" s="201"/>
      <c r="O66" s="201"/>
      <c r="P66" s="157"/>
      <c r="Q66" s="195" t="s">
        <v>2630</v>
      </c>
    </row>
    <row r="67" spans="1:887" ht="20.100000000000001" customHeight="1">
      <c r="A67" s="191" t="str">
        <f>VLOOKUP(C67,'BASE DE DADOS'!A:B,2,FALSE)</f>
        <v>SOS INATIVOS</v>
      </c>
      <c r="B67" s="90" t="s">
        <v>1785</v>
      </c>
      <c r="C67" s="191" t="s">
        <v>1786</v>
      </c>
      <c r="D67" s="75">
        <v>3133.71</v>
      </c>
      <c r="E67" s="76">
        <v>2521.2399999999998</v>
      </c>
      <c r="F67" s="103"/>
      <c r="G67" s="192"/>
      <c r="H67" s="193"/>
      <c r="I67" s="193"/>
      <c r="J67" s="193"/>
      <c r="K67" s="193"/>
      <c r="L67" s="193"/>
      <c r="M67" s="193"/>
      <c r="N67" s="193" t="s">
        <v>1743</v>
      </c>
      <c r="O67" s="202">
        <v>44600</v>
      </c>
      <c r="P67" s="146" t="s">
        <v>2795</v>
      </c>
      <c r="Q67" s="195"/>
    </row>
    <row r="68" spans="1:887" ht="20.100000000000001" customHeight="1">
      <c r="A68" s="191" t="str">
        <f>VLOOKUP(C68,'BASE DE DADOS'!A:B,2,FALSE)</f>
        <v>PREPARA INATIVOS</v>
      </c>
      <c r="B68" s="90" t="s">
        <v>203</v>
      </c>
      <c r="C68" s="191" t="s">
        <v>204</v>
      </c>
      <c r="D68" s="75">
        <v>137519.43</v>
      </c>
      <c r="E68" s="76">
        <v>118694.73</v>
      </c>
      <c r="F68" s="103"/>
      <c r="G68" s="192"/>
      <c r="H68" s="193"/>
      <c r="I68" s="193"/>
      <c r="J68" s="193"/>
      <c r="K68" s="193"/>
      <c r="L68" s="193"/>
      <c r="M68" s="193"/>
      <c r="N68" s="193" t="s">
        <v>1743</v>
      </c>
      <c r="O68" s="202">
        <v>44627</v>
      </c>
      <c r="P68" s="146" t="s">
        <v>2796</v>
      </c>
      <c r="Q68" s="195"/>
    </row>
    <row r="69" spans="1:887" ht="20.100000000000001" customHeight="1">
      <c r="A69" s="191" t="str">
        <f>VLOOKUP(C69,'BASE DE DADOS'!A:B,2,FALSE)</f>
        <v>ENSINA MAIS INATIVOS</v>
      </c>
      <c r="B69" s="90" t="s">
        <v>104</v>
      </c>
      <c r="C69" s="63" t="s">
        <v>105</v>
      </c>
      <c r="D69" s="75">
        <v>29591.78</v>
      </c>
      <c r="E69" s="97" t="s">
        <v>2797</v>
      </c>
      <c r="F69" s="103"/>
      <c r="G69" s="192"/>
      <c r="H69" s="193"/>
      <c r="I69" s="193"/>
      <c r="J69" s="193"/>
      <c r="K69" s="193"/>
      <c r="L69" s="193"/>
      <c r="M69" s="193"/>
      <c r="N69" s="193" t="s">
        <v>1743</v>
      </c>
      <c r="O69" s="202">
        <v>44573</v>
      </c>
      <c r="P69" s="145" t="s">
        <v>2798</v>
      </c>
      <c r="Q69" s="195" t="s">
        <v>2317</v>
      </c>
    </row>
    <row r="70" spans="1:887" s="141" customFormat="1" ht="20.100000000000001" customHeight="1">
      <c r="A70" s="164" t="s">
        <v>2153</v>
      </c>
      <c r="B70" s="165" t="s">
        <v>357</v>
      </c>
      <c r="C70" s="164" t="s">
        <v>358</v>
      </c>
      <c r="D70" s="166">
        <v>66905.45</v>
      </c>
      <c r="E70" s="166"/>
      <c r="F70" s="167"/>
      <c r="G70" s="168"/>
      <c r="H70" s="169"/>
      <c r="I70" s="169"/>
      <c r="J70" s="169" t="s">
        <v>1743</v>
      </c>
      <c r="K70" s="169"/>
      <c r="L70" s="169"/>
      <c r="M70" s="169"/>
      <c r="N70" s="169"/>
      <c r="O70" s="169"/>
      <c r="P70" s="170"/>
      <c r="Q70" s="139" t="s">
        <v>2280</v>
      </c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0"/>
      <c r="AM70" s="140"/>
      <c r="AN70" s="140"/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  <c r="AY70" s="140"/>
      <c r="AZ70" s="140"/>
      <c r="BA70" s="140"/>
      <c r="BB70" s="140"/>
      <c r="BC70" s="140"/>
      <c r="BD70" s="140"/>
      <c r="BE70" s="140"/>
      <c r="BF70" s="140"/>
      <c r="BG70" s="140"/>
      <c r="BH70" s="140"/>
      <c r="BI70" s="140"/>
      <c r="BJ70" s="140"/>
      <c r="BK70" s="140"/>
      <c r="BL70" s="140"/>
      <c r="BM70" s="140"/>
      <c r="BN70" s="140"/>
      <c r="BO70" s="140"/>
      <c r="BP70" s="140"/>
      <c r="BQ70" s="140"/>
      <c r="BR70" s="140"/>
      <c r="BS70" s="140"/>
      <c r="BT70" s="140"/>
      <c r="BU70" s="140"/>
      <c r="BV70" s="140"/>
      <c r="BW70" s="140"/>
      <c r="BX70" s="140"/>
      <c r="BY70" s="140"/>
      <c r="BZ70" s="140"/>
      <c r="CA70" s="140"/>
      <c r="CB70" s="140"/>
      <c r="CC70" s="140"/>
      <c r="CD70" s="140"/>
      <c r="CE70" s="140"/>
      <c r="CF70" s="140"/>
      <c r="CG70" s="140"/>
      <c r="CH70" s="140"/>
      <c r="CI70" s="140"/>
      <c r="CJ70" s="140"/>
      <c r="CK70" s="140"/>
      <c r="CL70" s="140"/>
      <c r="CM70" s="140"/>
      <c r="CN70" s="140"/>
      <c r="CO70" s="140"/>
      <c r="CP70" s="140"/>
      <c r="CQ70" s="140"/>
      <c r="CR70" s="140"/>
      <c r="CS70" s="140"/>
      <c r="CT70" s="140"/>
      <c r="CU70" s="140"/>
      <c r="CV70" s="140"/>
      <c r="CW70" s="140"/>
      <c r="CX70" s="140"/>
      <c r="CY70" s="140"/>
      <c r="CZ70" s="140"/>
      <c r="DA70" s="140"/>
      <c r="DB70" s="140"/>
      <c r="DC70" s="140"/>
      <c r="DD70" s="140"/>
      <c r="DE70" s="140"/>
      <c r="DF70" s="140"/>
      <c r="DG70" s="140"/>
      <c r="DH70" s="140"/>
      <c r="DI70" s="140"/>
      <c r="DJ70" s="140"/>
      <c r="DK70" s="140"/>
      <c r="DL70" s="140"/>
      <c r="DM70" s="140"/>
      <c r="DN70" s="140"/>
      <c r="DO70" s="140"/>
      <c r="DP70" s="140"/>
      <c r="DQ70" s="140"/>
      <c r="DR70" s="140"/>
      <c r="DS70" s="140"/>
      <c r="DT70" s="140"/>
      <c r="DU70" s="140"/>
      <c r="DV70" s="140"/>
      <c r="DW70" s="140"/>
      <c r="DX70" s="140"/>
      <c r="DY70" s="140"/>
      <c r="DZ70" s="140"/>
      <c r="EA70" s="140"/>
      <c r="EB70" s="140"/>
      <c r="EC70" s="140"/>
      <c r="ED70" s="140"/>
      <c r="EE70" s="140"/>
      <c r="EF70" s="140"/>
      <c r="EG70" s="140"/>
      <c r="EH70" s="140"/>
      <c r="EI70" s="140"/>
      <c r="EJ70" s="140"/>
      <c r="EK70" s="140"/>
      <c r="EL70" s="140"/>
      <c r="EM70" s="140"/>
      <c r="EN70" s="140"/>
      <c r="EO70" s="140"/>
      <c r="EP70" s="140"/>
      <c r="EQ70" s="140"/>
      <c r="ER70" s="140"/>
      <c r="ES70" s="140"/>
      <c r="ET70" s="140"/>
      <c r="EU70" s="140"/>
      <c r="EV70" s="140"/>
      <c r="EW70" s="140"/>
      <c r="EX70" s="140"/>
      <c r="EY70" s="140"/>
      <c r="EZ70" s="140"/>
      <c r="FA70" s="140"/>
      <c r="FB70" s="140"/>
      <c r="FC70" s="140"/>
      <c r="FD70" s="140"/>
      <c r="FE70" s="140"/>
      <c r="FF70" s="140"/>
      <c r="FG70" s="140"/>
      <c r="FH70" s="140"/>
      <c r="FI70" s="140"/>
      <c r="FJ70" s="140"/>
      <c r="FK70" s="140"/>
      <c r="FL70" s="140"/>
      <c r="FM70" s="140"/>
      <c r="FN70" s="140"/>
      <c r="FO70" s="140"/>
      <c r="FP70" s="140"/>
      <c r="FQ70" s="140"/>
      <c r="FR70" s="140"/>
      <c r="FS70" s="140"/>
      <c r="FT70" s="140"/>
      <c r="FU70" s="140"/>
      <c r="FV70" s="140"/>
      <c r="FW70" s="140"/>
      <c r="FX70" s="140"/>
      <c r="FY70" s="140"/>
      <c r="FZ70" s="140"/>
      <c r="GA70" s="140"/>
      <c r="GB70" s="140"/>
      <c r="GC70" s="140"/>
      <c r="GD70" s="140"/>
      <c r="GE70" s="140"/>
      <c r="GF70" s="140"/>
      <c r="GG70" s="140"/>
      <c r="GH70" s="140"/>
      <c r="GI70" s="140"/>
      <c r="GJ70" s="140"/>
      <c r="GK70" s="140"/>
      <c r="GL70" s="140"/>
      <c r="GM70" s="140"/>
      <c r="GN70" s="140"/>
      <c r="GO70" s="140"/>
      <c r="GP70" s="140"/>
      <c r="GQ70" s="140"/>
      <c r="GR70" s="140"/>
      <c r="GS70" s="140"/>
      <c r="GT70" s="140"/>
      <c r="GU70" s="140"/>
      <c r="GV70" s="140"/>
      <c r="GW70" s="140"/>
      <c r="GX70" s="140"/>
      <c r="GY70" s="140"/>
      <c r="GZ70" s="140"/>
      <c r="HA70" s="140"/>
      <c r="HB70" s="140"/>
      <c r="HC70" s="140"/>
      <c r="HD70" s="140"/>
      <c r="HE70" s="140"/>
      <c r="HF70" s="140"/>
      <c r="HG70" s="140"/>
      <c r="HH70" s="140"/>
      <c r="HI70" s="140"/>
      <c r="HJ70" s="140"/>
      <c r="HK70" s="140"/>
      <c r="HL70" s="140"/>
      <c r="HM70" s="140"/>
      <c r="HN70" s="140"/>
      <c r="HO70" s="140"/>
      <c r="HP70" s="140"/>
      <c r="HQ70" s="140"/>
      <c r="HR70" s="140"/>
      <c r="HS70" s="140"/>
      <c r="HT70" s="140"/>
      <c r="HU70" s="140"/>
      <c r="HV70" s="140"/>
      <c r="HW70" s="140"/>
      <c r="HX70" s="140"/>
      <c r="HY70" s="140"/>
      <c r="HZ70" s="140"/>
      <c r="IA70" s="140"/>
      <c r="IB70" s="140"/>
      <c r="IC70" s="140"/>
      <c r="ID70" s="140"/>
      <c r="IE70" s="140"/>
      <c r="IF70" s="140"/>
      <c r="IG70" s="140"/>
      <c r="IH70" s="140"/>
      <c r="II70" s="140"/>
      <c r="IJ70" s="140"/>
      <c r="IK70" s="140"/>
      <c r="IL70" s="140"/>
      <c r="IM70" s="140"/>
      <c r="IN70" s="140"/>
      <c r="IO70" s="140"/>
      <c r="IP70" s="140"/>
      <c r="IQ70" s="140"/>
      <c r="IR70" s="140"/>
      <c r="IS70" s="140"/>
      <c r="IT70" s="140"/>
      <c r="IU70" s="140"/>
      <c r="IV70" s="140"/>
      <c r="IW70" s="140"/>
      <c r="IX70" s="140"/>
      <c r="IY70" s="140"/>
      <c r="IZ70" s="140"/>
      <c r="JA70" s="140"/>
      <c r="JB70" s="140"/>
      <c r="JC70" s="140"/>
      <c r="JD70" s="140"/>
      <c r="JE70" s="140"/>
      <c r="JF70" s="140"/>
      <c r="JG70" s="140"/>
      <c r="JH70" s="140"/>
      <c r="JI70" s="140"/>
      <c r="JJ70" s="140"/>
      <c r="JK70" s="140"/>
      <c r="JL70" s="140"/>
      <c r="JM70" s="140"/>
      <c r="JN70" s="140"/>
      <c r="JO70" s="140"/>
      <c r="JP70" s="140"/>
      <c r="JQ70" s="140"/>
      <c r="JR70" s="140"/>
      <c r="JS70" s="140"/>
      <c r="JT70" s="140"/>
      <c r="JU70" s="140"/>
      <c r="JV70" s="140"/>
      <c r="JW70" s="140"/>
      <c r="JX70" s="140"/>
      <c r="JY70" s="140"/>
      <c r="JZ70" s="140"/>
      <c r="KA70" s="140"/>
      <c r="KB70" s="140"/>
      <c r="KC70" s="140"/>
      <c r="KD70" s="140"/>
      <c r="KE70" s="140"/>
      <c r="KF70" s="140"/>
      <c r="KG70" s="140"/>
      <c r="KH70" s="140"/>
      <c r="KI70" s="140"/>
      <c r="KJ70" s="140"/>
      <c r="KK70" s="140"/>
      <c r="KL70" s="140"/>
      <c r="KM70" s="140"/>
      <c r="KN70" s="140"/>
      <c r="KO70" s="140"/>
      <c r="KP70" s="140"/>
      <c r="KQ70" s="140"/>
      <c r="KR70" s="140"/>
      <c r="KS70" s="140"/>
      <c r="KT70" s="140"/>
      <c r="KU70" s="140"/>
      <c r="KV70" s="140"/>
      <c r="KW70" s="140"/>
      <c r="KX70" s="140"/>
      <c r="KY70" s="140"/>
      <c r="KZ70" s="140"/>
      <c r="LA70" s="140"/>
      <c r="LB70" s="140"/>
      <c r="LC70" s="140"/>
      <c r="LD70" s="140"/>
      <c r="LE70" s="140"/>
      <c r="LF70" s="140"/>
      <c r="LG70" s="140"/>
      <c r="LH70" s="140"/>
      <c r="LI70" s="140"/>
      <c r="LJ70" s="140"/>
      <c r="LK70" s="140"/>
      <c r="LL70" s="140"/>
      <c r="LM70" s="140"/>
      <c r="LN70" s="140"/>
      <c r="LO70" s="140"/>
      <c r="LP70" s="140"/>
      <c r="LQ70" s="140"/>
      <c r="LR70" s="140"/>
      <c r="LS70" s="140"/>
      <c r="LT70" s="140"/>
      <c r="LU70" s="140"/>
      <c r="LV70" s="140"/>
      <c r="LW70" s="140"/>
      <c r="LX70" s="140"/>
      <c r="LY70" s="140"/>
      <c r="LZ70" s="140"/>
      <c r="MA70" s="140"/>
      <c r="MB70" s="140"/>
      <c r="MC70" s="140"/>
      <c r="MD70" s="140"/>
      <c r="ME70" s="140"/>
      <c r="MF70" s="140"/>
      <c r="MG70" s="140"/>
      <c r="MH70" s="140"/>
      <c r="MI70" s="140"/>
      <c r="MJ70" s="140"/>
      <c r="MK70" s="140"/>
      <c r="ML70" s="140"/>
      <c r="MM70" s="140"/>
      <c r="MN70" s="140"/>
      <c r="MO70" s="140"/>
      <c r="MP70" s="140"/>
      <c r="MQ70" s="140"/>
      <c r="MR70" s="140"/>
      <c r="MS70" s="140"/>
      <c r="MT70" s="140"/>
      <c r="MU70" s="140"/>
      <c r="MV70" s="140"/>
      <c r="MW70" s="140"/>
      <c r="MX70" s="140"/>
      <c r="MY70" s="140"/>
      <c r="MZ70" s="140"/>
      <c r="NA70" s="140"/>
      <c r="NB70" s="140"/>
      <c r="NC70" s="140"/>
      <c r="ND70" s="140"/>
      <c r="NE70" s="140"/>
      <c r="NF70" s="140"/>
      <c r="NG70" s="140"/>
      <c r="NH70" s="140"/>
      <c r="NI70" s="140"/>
      <c r="NJ70" s="140"/>
      <c r="NK70" s="140"/>
      <c r="NL70" s="140"/>
      <c r="NM70" s="140"/>
      <c r="NN70" s="140"/>
      <c r="NO70" s="140"/>
      <c r="NP70" s="140"/>
      <c r="NQ70" s="140"/>
      <c r="NR70" s="140"/>
      <c r="NS70" s="140"/>
      <c r="NT70" s="140"/>
      <c r="NU70" s="140"/>
      <c r="NV70" s="140"/>
      <c r="NW70" s="140"/>
      <c r="NX70" s="140"/>
      <c r="NY70" s="140"/>
      <c r="NZ70" s="140"/>
      <c r="OA70" s="140"/>
      <c r="OB70" s="140"/>
      <c r="OC70" s="140"/>
      <c r="OD70" s="140"/>
      <c r="OE70" s="140"/>
      <c r="OF70" s="140"/>
      <c r="OG70" s="140"/>
      <c r="OH70" s="140"/>
      <c r="OI70" s="140"/>
      <c r="OJ70" s="140"/>
      <c r="OK70" s="140"/>
      <c r="OL70" s="140"/>
      <c r="OM70" s="140"/>
      <c r="ON70" s="140"/>
      <c r="OO70" s="140"/>
      <c r="OP70" s="140"/>
      <c r="OQ70" s="140"/>
      <c r="OR70" s="140"/>
      <c r="OS70" s="140"/>
      <c r="OT70" s="140"/>
      <c r="OU70" s="140"/>
      <c r="OV70" s="140"/>
      <c r="OW70" s="140"/>
      <c r="OX70" s="140"/>
      <c r="OY70" s="140"/>
      <c r="OZ70" s="140"/>
      <c r="PA70" s="140"/>
      <c r="PB70" s="140"/>
      <c r="PC70" s="140"/>
      <c r="PD70" s="140"/>
      <c r="PE70" s="140"/>
      <c r="PF70" s="140"/>
      <c r="PG70" s="140"/>
      <c r="PH70" s="140"/>
      <c r="PI70" s="140"/>
      <c r="PJ70" s="140"/>
      <c r="PK70" s="140"/>
      <c r="PL70" s="140"/>
      <c r="PM70" s="140"/>
      <c r="PN70" s="140"/>
      <c r="PO70" s="140"/>
      <c r="PP70" s="140"/>
      <c r="PQ70" s="140"/>
      <c r="PR70" s="140"/>
      <c r="PS70" s="140"/>
      <c r="PT70" s="140"/>
      <c r="PU70" s="140"/>
      <c r="PV70" s="140"/>
      <c r="PW70" s="140"/>
      <c r="PX70" s="140"/>
      <c r="PY70" s="140"/>
      <c r="PZ70" s="140"/>
      <c r="QA70" s="140"/>
      <c r="QB70" s="140"/>
      <c r="QC70" s="140"/>
      <c r="QD70" s="140"/>
      <c r="QE70" s="140"/>
      <c r="QF70" s="140"/>
      <c r="QG70" s="140"/>
      <c r="QH70" s="140"/>
      <c r="QI70" s="140"/>
      <c r="QJ70" s="140"/>
      <c r="QK70" s="140"/>
      <c r="QL70" s="140"/>
      <c r="QM70" s="140"/>
      <c r="QN70" s="140"/>
      <c r="QO70" s="140"/>
      <c r="QP70" s="140"/>
      <c r="QQ70" s="140"/>
      <c r="QR70" s="140"/>
      <c r="QS70" s="140"/>
      <c r="QT70" s="140"/>
      <c r="QU70" s="140"/>
      <c r="QV70" s="140"/>
      <c r="QW70" s="140"/>
      <c r="QX70" s="140"/>
      <c r="QY70" s="140"/>
      <c r="QZ70" s="140"/>
      <c r="RA70" s="140"/>
      <c r="RB70" s="140"/>
      <c r="RC70" s="140"/>
      <c r="RD70" s="140"/>
      <c r="RE70" s="140"/>
      <c r="RF70" s="140"/>
      <c r="RG70" s="140"/>
      <c r="RH70" s="140"/>
      <c r="RI70" s="140"/>
      <c r="RJ70" s="140"/>
      <c r="RK70" s="140"/>
      <c r="RL70" s="140"/>
      <c r="RM70" s="140"/>
      <c r="RN70" s="140"/>
      <c r="RO70" s="140"/>
      <c r="RP70" s="140"/>
      <c r="RQ70" s="140"/>
      <c r="RR70" s="140"/>
      <c r="RS70" s="140"/>
      <c r="RT70" s="140"/>
      <c r="RU70" s="140"/>
      <c r="RV70" s="140"/>
      <c r="RW70" s="140"/>
      <c r="RX70" s="140"/>
      <c r="RY70" s="140"/>
      <c r="RZ70" s="140"/>
      <c r="SA70" s="140"/>
      <c r="SB70" s="140"/>
      <c r="SC70" s="140"/>
      <c r="SD70" s="140"/>
      <c r="SE70" s="140"/>
      <c r="SF70" s="140"/>
      <c r="SG70" s="140"/>
      <c r="SH70" s="140"/>
      <c r="SI70" s="140"/>
      <c r="SJ70" s="140"/>
      <c r="SK70" s="140"/>
      <c r="SL70" s="140"/>
      <c r="SM70" s="140"/>
      <c r="SN70" s="140"/>
      <c r="SO70" s="140"/>
      <c r="SP70" s="140"/>
      <c r="SQ70" s="140"/>
      <c r="SR70" s="140"/>
      <c r="SS70" s="140"/>
      <c r="ST70" s="140"/>
      <c r="SU70" s="140"/>
      <c r="SV70" s="140"/>
      <c r="SW70" s="140"/>
      <c r="SX70" s="140"/>
      <c r="SY70" s="140"/>
      <c r="SZ70" s="140"/>
      <c r="TA70" s="140"/>
      <c r="TB70" s="140"/>
      <c r="TC70" s="140"/>
      <c r="TD70" s="140"/>
      <c r="TE70" s="140"/>
      <c r="TF70" s="140"/>
      <c r="TG70" s="140"/>
      <c r="TH70" s="140"/>
      <c r="TI70" s="140"/>
      <c r="TJ70" s="140"/>
      <c r="TK70" s="140"/>
      <c r="TL70" s="140"/>
      <c r="TM70" s="140"/>
      <c r="TN70" s="140"/>
      <c r="TO70" s="140"/>
      <c r="TP70" s="140"/>
      <c r="TQ70" s="140"/>
      <c r="TR70" s="140"/>
      <c r="TS70" s="140"/>
      <c r="TT70" s="140"/>
      <c r="TU70" s="140"/>
      <c r="TV70" s="140"/>
      <c r="TW70" s="140"/>
      <c r="TX70" s="140"/>
      <c r="TY70" s="140"/>
      <c r="TZ70" s="140"/>
      <c r="UA70" s="140"/>
      <c r="UB70" s="140"/>
      <c r="UC70" s="140"/>
      <c r="UD70" s="140"/>
      <c r="UE70" s="140"/>
      <c r="UF70" s="140"/>
      <c r="UG70" s="140"/>
      <c r="UH70" s="140"/>
      <c r="UI70" s="140"/>
      <c r="UJ70" s="140"/>
      <c r="UK70" s="140"/>
      <c r="UL70" s="140"/>
      <c r="UM70" s="140"/>
      <c r="UN70" s="140"/>
      <c r="UO70" s="140"/>
      <c r="UP70" s="140"/>
      <c r="UQ70" s="140"/>
      <c r="UR70" s="140"/>
      <c r="US70" s="140"/>
      <c r="UT70" s="140"/>
      <c r="UU70" s="140"/>
      <c r="UV70" s="140"/>
      <c r="UW70" s="140"/>
      <c r="UX70" s="140"/>
      <c r="UY70" s="140"/>
      <c r="UZ70" s="140"/>
      <c r="VA70" s="140"/>
      <c r="VB70" s="140"/>
      <c r="VC70" s="140"/>
      <c r="VD70" s="140"/>
      <c r="VE70" s="140"/>
      <c r="VF70" s="140"/>
      <c r="VG70" s="140"/>
      <c r="VH70" s="140"/>
      <c r="VI70" s="140"/>
      <c r="VJ70" s="140"/>
      <c r="VK70" s="140"/>
      <c r="VL70" s="140"/>
      <c r="VM70" s="140"/>
      <c r="VN70" s="140"/>
      <c r="VO70" s="140"/>
      <c r="VP70" s="140"/>
      <c r="VQ70" s="140"/>
      <c r="VR70" s="140"/>
      <c r="VS70" s="140"/>
      <c r="VT70" s="140"/>
      <c r="VU70" s="140"/>
      <c r="VV70" s="140"/>
      <c r="VW70" s="140"/>
      <c r="VX70" s="140"/>
      <c r="VY70" s="140"/>
      <c r="VZ70" s="140"/>
      <c r="WA70" s="140"/>
      <c r="WB70" s="140"/>
      <c r="WC70" s="140"/>
      <c r="WD70" s="140"/>
      <c r="WE70" s="140"/>
      <c r="WF70" s="140"/>
      <c r="WG70" s="140"/>
      <c r="WH70" s="140"/>
      <c r="WI70" s="140"/>
      <c r="WJ70" s="140"/>
      <c r="WK70" s="140"/>
      <c r="WL70" s="140"/>
      <c r="WM70" s="140"/>
      <c r="WN70" s="140"/>
      <c r="WO70" s="140"/>
      <c r="WP70" s="140"/>
      <c r="WQ70" s="140"/>
      <c r="WR70" s="140"/>
      <c r="WS70" s="140"/>
      <c r="WT70" s="140"/>
      <c r="WU70" s="140"/>
      <c r="WV70" s="140"/>
      <c r="WW70" s="140"/>
      <c r="WX70" s="140"/>
      <c r="WY70" s="140"/>
      <c r="WZ70" s="140"/>
      <c r="XA70" s="140"/>
      <c r="XB70" s="140"/>
      <c r="XC70" s="140"/>
      <c r="XD70" s="140"/>
      <c r="XE70" s="140"/>
      <c r="XF70" s="140"/>
      <c r="XG70" s="140"/>
      <c r="XH70" s="140"/>
      <c r="XI70" s="140"/>
      <c r="XJ70" s="140"/>
      <c r="XK70" s="140"/>
      <c r="XL70" s="140"/>
      <c r="XM70" s="140"/>
      <c r="XN70" s="140"/>
      <c r="XO70" s="140"/>
      <c r="XP70" s="140"/>
      <c r="XQ70" s="140"/>
      <c r="XR70" s="140"/>
      <c r="XS70" s="140"/>
      <c r="XT70" s="140"/>
      <c r="XU70" s="140"/>
      <c r="XV70" s="140"/>
      <c r="XW70" s="140"/>
      <c r="XX70" s="140"/>
      <c r="XY70" s="140"/>
      <c r="XZ70" s="140"/>
      <c r="YA70" s="140"/>
      <c r="YB70" s="140"/>
      <c r="YC70" s="140"/>
      <c r="YD70" s="140"/>
      <c r="YE70" s="140"/>
      <c r="YF70" s="140"/>
      <c r="YG70" s="140"/>
      <c r="YH70" s="140"/>
      <c r="YI70" s="140"/>
      <c r="YJ70" s="140"/>
      <c r="YK70" s="140"/>
      <c r="YL70" s="140"/>
      <c r="YM70" s="140"/>
      <c r="YN70" s="140"/>
      <c r="YO70" s="140"/>
      <c r="YP70" s="140"/>
      <c r="YQ70" s="140"/>
      <c r="YR70" s="140"/>
      <c r="YS70" s="140"/>
      <c r="YT70" s="140"/>
      <c r="YU70" s="140"/>
      <c r="YV70" s="140"/>
      <c r="YW70" s="140"/>
      <c r="YX70" s="140"/>
      <c r="YY70" s="140"/>
      <c r="YZ70" s="140"/>
      <c r="ZA70" s="140"/>
      <c r="ZB70" s="140"/>
      <c r="ZC70" s="140"/>
      <c r="ZD70" s="140"/>
      <c r="ZE70" s="140"/>
      <c r="ZF70" s="140"/>
      <c r="ZG70" s="140"/>
      <c r="ZH70" s="140"/>
      <c r="ZI70" s="140"/>
      <c r="ZJ70" s="140"/>
      <c r="ZK70" s="140"/>
      <c r="ZL70" s="140"/>
      <c r="ZM70" s="140"/>
      <c r="ZN70" s="140"/>
      <c r="ZO70" s="140"/>
      <c r="ZP70" s="140"/>
      <c r="ZQ70" s="140"/>
      <c r="ZR70" s="140"/>
      <c r="ZS70" s="140"/>
      <c r="ZT70" s="140"/>
      <c r="ZU70" s="140"/>
      <c r="ZV70" s="140"/>
      <c r="ZW70" s="140"/>
      <c r="ZX70" s="140"/>
      <c r="ZY70" s="140"/>
      <c r="ZZ70" s="140"/>
      <c r="AAA70" s="140"/>
      <c r="AAB70" s="140"/>
      <c r="AAC70" s="140"/>
      <c r="AAD70" s="140"/>
      <c r="AAE70" s="140"/>
      <c r="AAF70" s="140"/>
      <c r="AAG70" s="140"/>
      <c r="AAH70" s="140"/>
      <c r="AAI70" s="140"/>
      <c r="AAJ70" s="140"/>
      <c r="AAK70" s="140"/>
      <c r="AAL70" s="140"/>
      <c r="AAM70" s="140"/>
      <c r="AAN70" s="140"/>
      <c r="AAO70" s="140"/>
      <c r="AAP70" s="140"/>
      <c r="AAQ70" s="140"/>
      <c r="AAR70" s="140"/>
      <c r="AAS70" s="140"/>
      <c r="AAT70" s="140"/>
      <c r="AAU70" s="140"/>
      <c r="AAV70" s="140"/>
      <c r="AAW70" s="140"/>
      <c r="AAX70" s="140"/>
      <c r="AAY70" s="140"/>
      <c r="AAZ70" s="140"/>
      <c r="ABA70" s="140"/>
      <c r="ABB70" s="140"/>
      <c r="ABC70" s="140"/>
      <c r="ABD70" s="140"/>
      <c r="ABE70" s="140"/>
      <c r="ABF70" s="140"/>
      <c r="ABG70" s="140"/>
      <c r="ABH70" s="140"/>
      <c r="ABI70" s="140"/>
      <c r="ABJ70" s="140"/>
      <c r="ABK70" s="140"/>
      <c r="ABL70" s="140"/>
      <c r="ABM70" s="140"/>
      <c r="ABN70" s="140"/>
      <c r="ABO70" s="140"/>
      <c r="ABP70" s="140"/>
      <c r="ABQ70" s="140"/>
      <c r="ABR70" s="140"/>
      <c r="ABS70" s="140"/>
      <c r="ABT70" s="140"/>
      <c r="ABU70" s="140"/>
      <c r="ABV70" s="140"/>
      <c r="ABW70" s="140"/>
      <c r="ABX70" s="140"/>
      <c r="ABY70" s="140"/>
      <c r="ABZ70" s="140"/>
      <c r="ACA70" s="140"/>
      <c r="ACB70" s="140"/>
      <c r="ACC70" s="140"/>
      <c r="ACD70" s="140"/>
      <c r="ACE70" s="140"/>
      <c r="ACF70" s="140"/>
      <c r="ACG70" s="140"/>
      <c r="ACH70" s="140"/>
      <c r="ACI70" s="140"/>
      <c r="ACJ70" s="140"/>
      <c r="ACK70" s="140"/>
      <c r="ACL70" s="140"/>
      <c r="ACM70" s="140"/>
      <c r="ACN70" s="140"/>
      <c r="ACO70" s="140"/>
      <c r="ACP70" s="140"/>
      <c r="ACQ70" s="140"/>
      <c r="ACR70" s="140"/>
      <c r="ACS70" s="140"/>
      <c r="ACT70" s="140"/>
      <c r="ACU70" s="140"/>
      <c r="ACV70" s="140"/>
      <c r="ACW70" s="140"/>
      <c r="ACX70" s="140"/>
      <c r="ACY70" s="140"/>
      <c r="ACZ70" s="140"/>
      <c r="ADA70" s="140"/>
      <c r="ADB70" s="140"/>
      <c r="ADC70" s="140"/>
      <c r="ADD70" s="140"/>
      <c r="ADE70" s="140"/>
      <c r="ADF70" s="140"/>
      <c r="ADG70" s="140"/>
      <c r="ADH70" s="140"/>
      <c r="ADI70" s="140"/>
      <c r="ADJ70" s="140"/>
      <c r="ADK70" s="140"/>
      <c r="ADL70" s="140"/>
      <c r="ADM70" s="140"/>
      <c r="ADN70" s="140"/>
      <c r="ADO70" s="140"/>
      <c r="ADP70" s="140"/>
      <c r="ADQ70" s="140"/>
      <c r="ADR70" s="140"/>
      <c r="ADS70" s="140"/>
      <c r="ADT70" s="140"/>
      <c r="ADU70" s="140"/>
      <c r="ADV70" s="140"/>
      <c r="ADW70" s="140"/>
      <c r="ADX70" s="140"/>
      <c r="ADY70" s="140"/>
      <c r="ADZ70" s="140"/>
      <c r="AEA70" s="140"/>
      <c r="AEB70" s="140"/>
      <c r="AEC70" s="140"/>
      <c r="AED70" s="140"/>
      <c r="AEE70" s="140"/>
      <c r="AEF70" s="140"/>
      <c r="AEG70" s="140"/>
      <c r="AEH70" s="140"/>
      <c r="AEI70" s="140"/>
      <c r="AEJ70" s="140"/>
      <c r="AEK70" s="140"/>
      <c r="AEL70" s="140"/>
      <c r="AEM70" s="140"/>
      <c r="AEN70" s="140"/>
      <c r="AEO70" s="140"/>
      <c r="AEP70" s="140"/>
      <c r="AEQ70" s="140"/>
      <c r="AER70" s="140"/>
      <c r="AES70" s="140"/>
      <c r="AET70" s="140"/>
      <c r="AEU70" s="140"/>
      <c r="AEV70" s="140"/>
      <c r="AEW70" s="140"/>
      <c r="AEX70" s="140"/>
      <c r="AEY70" s="140"/>
      <c r="AEZ70" s="140"/>
      <c r="AFA70" s="140"/>
      <c r="AFB70" s="140"/>
      <c r="AFC70" s="140"/>
      <c r="AFD70" s="140"/>
      <c r="AFE70" s="140"/>
      <c r="AFF70" s="140"/>
      <c r="AFG70" s="140"/>
      <c r="AFH70" s="140"/>
      <c r="AFI70" s="140"/>
      <c r="AFJ70" s="140"/>
      <c r="AFK70" s="140"/>
      <c r="AFL70" s="140"/>
      <c r="AFM70" s="140"/>
      <c r="AFN70" s="140"/>
      <c r="AFO70" s="140"/>
      <c r="AFP70" s="140"/>
      <c r="AFQ70" s="140"/>
      <c r="AFR70" s="140"/>
      <c r="AFS70" s="140"/>
      <c r="AFT70" s="140"/>
      <c r="AFU70" s="140"/>
      <c r="AFV70" s="140"/>
      <c r="AFW70" s="140"/>
      <c r="AFX70" s="140"/>
      <c r="AFY70" s="140"/>
      <c r="AFZ70" s="140"/>
      <c r="AGA70" s="140"/>
      <c r="AGB70" s="140"/>
      <c r="AGC70" s="140"/>
      <c r="AGD70" s="140"/>
      <c r="AGE70" s="140"/>
      <c r="AGF70" s="140"/>
      <c r="AGG70" s="140"/>
      <c r="AGH70" s="140"/>
      <c r="AGI70" s="140"/>
      <c r="AGJ70" s="140"/>
      <c r="AGK70" s="140"/>
      <c r="AGL70" s="140"/>
      <c r="AGM70" s="140"/>
      <c r="AGN70" s="140"/>
      <c r="AGO70" s="140"/>
      <c r="AGP70" s="140"/>
      <c r="AGQ70" s="140"/>
      <c r="AGR70" s="140"/>
      <c r="AGS70" s="140"/>
      <c r="AGT70" s="140"/>
      <c r="AGU70" s="140"/>
      <c r="AGV70" s="140"/>
      <c r="AGW70" s="140"/>
      <c r="AGX70" s="140"/>
      <c r="AGY70" s="140"/>
      <c r="AGZ70" s="140"/>
      <c r="AHA70" s="140"/>
      <c r="AHB70" s="140"/>
      <c r="AHC70" s="140"/>
    </row>
    <row r="71" spans="1:887" s="141" customFormat="1" ht="20.100000000000001" customHeight="1">
      <c r="A71" s="164" t="s">
        <v>2158</v>
      </c>
      <c r="B71" s="165" t="s">
        <v>1770</v>
      </c>
      <c r="C71" s="164" t="s">
        <v>2201</v>
      </c>
      <c r="D71" s="166">
        <v>165010.29</v>
      </c>
      <c r="E71" s="166"/>
      <c r="F71" s="167"/>
      <c r="G71" s="168"/>
      <c r="H71" s="169"/>
      <c r="I71" s="169"/>
      <c r="J71" s="169" t="s">
        <v>1743</v>
      </c>
      <c r="K71" s="169"/>
      <c r="L71" s="169"/>
      <c r="M71" s="169"/>
      <c r="N71" s="169"/>
      <c r="O71" s="169"/>
      <c r="P71" s="170"/>
      <c r="Q71" s="139" t="s">
        <v>2282</v>
      </c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40"/>
      <c r="BD71" s="140"/>
      <c r="BE71" s="140"/>
      <c r="BF71" s="140"/>
      <c r="BG71" s="140"/>
      <c r="BH71" s="140"/>
      <c r="BI71" s="140"/>
      <c r="BJ71" s="140"/>
      <c r="BK71" s="140"/>
      <c r="BL71" s="140"/>
      <c r="BM71" s="140"/>
      <c r="BN71" s="140"/>
      <c r="BO71" s="140"/>
      <c r="BP71" s="140"/>
      <c r="BQ71" s="140"/>
      <c r="BR71" s="140"/>
      <c r="BS71" s="140"/>
      <c r="BT71" s="140"/>
      <c r="BU71" s="140"/>
      <c r="BV71" s="140"/>
      <c r="BW71" s="140"/>
      <c r="BX71" s="140"/>
      <c r="BY71" s="140"/>
      <c r="BZ71" s="140"/>
      <c r="CA71" s="140"/>
      <c r="CB71" s="140"/>
      <c r="CC71" s="140"/>
      <c r="CD71" s="140"/>
      <c r="CE71" s="140"/>
      <c r="CF71" s="140"/>
      <c r="CG71" s="140"/>
      <c r="CH71" s="140"/>
      <c r="CI71" s="140"/>
      <c r="CJ71" s="140"/>
      <c r="CK71" s="140"/>
      <c r="CL71" s="140"/>
      <c r="CM71" s="140"/>
      <c r="CN71" s="140"/>
      <c r="CO71" s="140"/>
      <c r="CP71" s="140"/>
      <c r="CQ71" s="140"/>
      <c r="CR71" s="140"/>
      <c r="CS71" s="140"/>
      <c r="CT71" s="140"/>
      <c r="CU71" s="140"/>
      <c r="CV71" s="140"/>
      <c r="CW71" s="140"/>
      <c r="CX71" s="140"/>
      <c r="CY71" s="140"/>
      <c r="CZ71" s="140"/>
      <c r="DA71" s="140"/>
      <c r="DB71" s="140"/>
      <c r="DC71" s="140"/>
      <c r="DD71" s="140"/>
      <c r="DE71" s="140"/>
      <c r="DF71" s="140"/>
      <c r="DG71" s="140"/>
      <c r="DH71" s="140"/>
      <c r="DI71" s="140"/>
      <c r="DJ71" s="140"/>
      <c r="DK71" s="140"/>
      <c r="DL71" s="140"/>
      <c r="DM71" s="140"/>
      <c r="DN71" s="140"/>
      <c r="DO71" s="140"/>
      <c r="DP71" s="140"/>
      <c r="DQ71" s="140"/>
      <c r="DR71" s="140"/>
      <c r="DS71" s="140"/>
      <c r="DT71" s="140"/>
      <c r="DU71" s="140"/>
      <c r="DV71" s="140"/>
      <c r="DW71" s="140"/>
      <c r="DX71" s="140"/>
      <c r="DY71" s="140"/>
      <c r="DZ71" s="140"/>
      <c r="EA71" s="140"/>
      <c r="EB71" s="140"/>
      <c r="EC71" s="140"/>
      <c r="ED71" s="140"/>
      <c r="EE71" s="140"/>
      <c r="EF71" s="140"/>
      <c r="EG71" s="140"/>
      <c r="EH71" s="140"/>
      <c r="EI71" s="140"/>
      <c r="EJ71" s="140"/>
      <c r="EK71" s="140"/>
      <c r="EL71" s="140"/>
      <c r="EM71" s="140"/>
      <c r="EN71" s="140"/>
      <c r="EO71" s="140"/>
      <c r="EP71" s="140"/>
      <c r="EQ71" s="140"/>
      <c r="ER71" s="140"/>
      <c r="ES71" s="140"/>
      <c r="ET71" s="140"/>
      <c r="EU71" s="140"/>
      <c r="EV71" s="140"/>
      <c r="EW71" s="140"/>
      <c r="EX71" s="140"/>
      <c r="EY71" s="140"/>
      <c r="EZ71" s="140"/>
      <c r="FA71" s="140"/>
      <c r="FB71" s="140"/>
      <c r="FC71" s="140"/>
      <c r="FD71" s="140"/>
      <c r="FE71" s="140"/>
      <c r="FF71" s="140"/>
      <c r="FG71" s="140"/>
      <c r="FH71" s="140"/>
      <c r="FI71" s="140"/>
      <c r="FJ71" s="140"/>
      <c r="FK71" s="140"/>
      <c r="FL71" s="140"/>
      <c r="FM71" s="140"/>
      <c r="FN71" s="140"/>
      <c r="FO71" s="140"/>
      <c r="FP71" s="140"/>
      <c r="FQ71" s="140"/>
      <c r="FR71" s="140"/>
      <c r="FS71" s="140"/>
      <c r="FT71" s="140"/>
      <c r="FU71" s="140"/>
      <c r="FV71" s="140"/>
      <c r="FW71" s="140"/>
      <c r="FX71" s="140"/>
      <c r="FY71" s="140"/>
      <c r="FZ71" s="140"/>
      <c r="GA71" s="140"/>
      <c r="GB71" s="140"/>
      <c r="GC71" s="140"/>
      <c r="GD71" s="140"/>
      <c r="GE71" s="140"/>
      <c r="GF71" s="140"/>
      <c r="GG71" s="140"/>
      <c r="GH71" s="140"/>
      <c r="GI71" s="140"/>
      <c r="GJ71" s="140"/>
      <c r="GK71" s="140"/>
      <c r="GL71" s="140"/>
      <c r="GM71" s="140"/>
      <c r="GN71" s="140"/>
      <c r="GO71" s="140"/>
      <c r="GP71" s="140"/>
      <c r="GQ71" s="140"/>
      <c r="GR71" s="140"/>
      <c r="GS71" s="140"/>
      <c r="GT71" s="140"/>
      <c r="GU71" s="140"/>
      <c r="GV71" s="140"/>
      <c r="GW71" s="140"/>
      <c r="GX71" s="140"/>
      <c r="GY71" s="140"/>
      <c r="GZ71" s="140"/>
      <c r="HA71" s="140"/>
      <c r="HB71" s="140"/>
      <c r="HC71" s="140"/>
      <c r="HD71" s="140"/>
      <c r="HE71" s="140"/>
      <c r="HF71" s="140"/>
      <c r="HG71" s="140"/>
      <c r="HH71" s="140"/>
      <c r="HI71" s="140"/>
      <c r="HJ71" s="140"/>
      <c r="HK71" s="140"/>
      <c r="HL71" s="140"/>
      <c r="HM71" s="140"/>
      <c r="HN71" s="140"/>
      <c r="HO71" s="140"/>
      <c r="HP71" s="140"/>
      <c r="HQ71" s="140"/>
      <c r="HR71" s="140"/>
      <c r="HS71" s="140"/>
      <c r="HT71" s="140"/>
      <c r="HU71" s="140"/>
      <c r="HV71" s="140"/>
      <c r="HW71" s="140"/>
      <c r="HX71" s="140"/>
      <c r="HY71" s="140"/>
      <c r="HZ71" s="140"/>
      <c r="IA71" s="140"/>
      <c r="IB71" s="140"/>
      <c r="IC71" s="140"/>
      <c r="ID71" s="140"/>
      <c r="IE71" s="140"/>
      <c r="IF71" s="140"/>
      <c r="IG71" s="140"/>
      <c r="IH71" s="140"/>
      <c r="II71" s="140"/>
      <c r="IJ71" s="140"/>
      <c r="IK71" s="140"/>
      <c r="IL71" s="140"/>
      <c r="IM71" s="140"/>
      <c r="IN71" s="140"/>
      <c r="IO71" s="140"/>
      <c r="IP71" s="140"/>
      <c r="IQ71" s="140"/>
      <c r="IR71" s="140"/>
      <c r="IS71" s="140"/>
      <c r="IT71" s="140"/>
      <c r="IU71" s="140"/>
      <c r="IV71" s="140"/>
      <c r="IW71" s="140"/>
      <c r="IX71" s="140"/>
      <c r="IY71" s="140"/>
      <c r="IZ71" s="140"/>
      <c r="JA71" s="140"/>
      <c r="JB71" s="140"/>
      <c r="JC71" s="140"/>
      <c r="JD71" s="140"/>
      <c r="JE71" s="140"/>
      <c r="JF71" s="140"/>
      <c r="JG71" s="140"/>
      <c r="JH71" s="140"/>
      <c r="JI71" s="140"/>
      <c r="JJ71" s="140"/>
      <c r="JK71" s="140"/>
      <c r="JL71" s="140"/>
      <c r="JM71" s="140"/>
      <c r="JN71" s="140"/>
      <c r="JO71" s="140"/>
      <c r="JP71" s="140"/>
      <c r="JQ71" s="140"/>
      <c r="JR71" s="140"/>
      <c r="JS71" s="140"/>
      <c r="JT71" s="140"/>
      <c r="JU71" s="140"/>
      <c r="JV71" s="140"/>
      <c r="JW71" s="140"/>
      <c r="JX71" s="140"/>
      <c r="JY71" s="140"/>
      <c r="JZ71" s="140"/>
      <c r="KA71" s="140"/>
      <c r="KB71" s="140"/>
      <c r="KC71" s="140"/>
      <c r="KD71" s="140"/>
      <c r="KE71" s="140"/>
      <c r="KF71" s="140"/>
      <c r="KG71" s="140"/>
      <c r="KH71" s="140"/>
      <c r="KI71" s="140"/>
      <c r="KJ71" s="140"/>
      <c r="KK71" s="140"/>
      <c r="KL71" s="140"/>
      <c r="KM71" s="140"/>
      <c r="KN71" s="140"/>
      <c r="KO71" s="140"/>
      <c r="KP71" s="140"/>
      <c r="KQ71" s="140"/>
      <c r="KR71" s="140"/>
      <c r="KS71" s="140"/>
      <c r="KT71" s="140"/>
      <c r="KU71" s="140"/>
      <c r="KV71" s="140"/>
      <c r="KW71" s="140"/>
      <c r="KX71" s="140"/>
      <c r="KY71" s="140"/>
      <c r="KZ71" s="140"/>
      <c r="LA71" s="140"/>
      <c r="LB71" s="140"/>
      <c r="LC71" s="140"/>
      <c r="LD71" s="140"/>
      <c r="LE71" s="140"/>
      <c r="LF71" s="140"/>
      <c r="LG71" s="140"/>
      <c r="LH71" s="140"/>
      <c r="LI71" s="140"/>
      <c r="LJ71" s="140"/>
      <c r="LK71" s="140"/>
      <c r="LL71" s="140"/>
      <c r="LM71" s="140"/>
      <c r="LN71" s="140"/>
      <c r="LO71" s="140"/>
      <c r="LP71" s="140"/>
      <c r="LQ71" s="140"/>
      <c r="LR71" s="140"/>
      <c r="LS71" s="140"/>
      <c r="LT71" s="140"/>
      <c r="LU71" s="140"/>
      <c r="LV71" s="140"/>
      <c r="LW71" s="140"/>
      <c r="LX71" s="140"/>
      <c r="LY71" s="140"/>
      <c r="LZ71" s="140"/>
      <c r="MA71" s="140"/>
      <c r="MB71" s="140"/>
      <c r="MC71" s="140"/>
      <c r="MD71" s="140"/>
      <c r="ME71" s="140"/>
      <c r="MF71" s="140"/>
      <c r="MG71" s="140"/>
      <c r="MH71" s="140"/>
      <c r="MI71" s="140"/>
      <c r="MJ71" s="140"/>
      <c r="MK71" s="140"/>
      <c r="ML71" s="140"/>
      <c r="MM71" s="140"/>
      <c r="MN71" s="140"/>
      <c r="MO71" s="140"/>
      <c r="MP71" s="140"/>
      <c r="MQ71" s="140"/>
      <c r="MR71" s="140"/>
      <c r="MS71" s="140"/>
      <c r="MT71" s="140"/>
      <c r="MU71" s="140"/>
      <c r="MV71" s="140"/>
      <c r="MW71" s="140"/>
      <c r="MX71" s="140"/>
      <c r="MY71" s="140"/>
      <c r="MZ71" s="140"/>
      <c r="NA71" s="140"/>
      <c r="NB71" s="140"/>
      <c r="NC71" s="140"/>
      <c r="ND71" s="140"/>
      <c r="NE71" s="140"/>
      <c r="NF71" s="140"/>
      <c r="NG71" s="140"/>
      <c r="NH71" s="140"/>
      <c r="NI71" s="140"/>
      <c r="NJ71" s="140"/>
      <c r="NK71" s="140"/>
      <c r="NL71" s="140"/>
      <c r="NM71" s="140"/>
      <c r="NN71" s="140"/>
      <c r="NO71" s="140"/>
      <c r="NP71" s="140"/>
      <c r="NQ71" s="140"/>
      <c r="NR71" s="140"/>
      <c r="NS71" s="140"/>
      <c r="NT71" s="140"/>
      <c r="NU71" s="140"/>
      <c r="NV71" s="140"/>
      <c r="NW71" s="140"/>
      <c r="NX71" s="140"/>
      <c r="NY71" s="140"/>
      <c r="NZ71" s="140"/>
      <c r="OA71" s="140"/>
      <c r="OB71" s="140"/>
      <c r="OC71" s="140"/>
      <c r="OD71" s="140"/>
      <c r="OE71" s="140"/>
      <c r="OF71" s="140"/>
      <c r="OG71" s="140"/>
      <c r="OH71" s="140"/>
      <c r="OI71" s="140"/>
      <c r="OJ71" s="140"/>
      <c r="OK71" s="140"/>
      <c r="OL71" s="140"/>
      <c r="OM71" s="140"/>
      <c r="ON71" s="140"/>
      <c r="OO71" s="140"/>
      <c r="OP71" s="140"/>
      <c r="OQ71" s="140"/>
      <c r="OR71" s="140"/>
      <c r="OS71" s="140"/>
      <c r="OT71" s="140"/>
      <c r="OU71" s="140"/>
      <c r="OV71" s="140"/>
      <c r="OW71" s="140"/>
      <c r="OX71" s="140"/>
      <c r="OY71" s="140"/>
      <c r="OZ71" s="140"/>
      <c r="PA71" s="140"/>
      <c r="PB71" s="140"/>
      <c r="PC71" s="140"/>
      <c r="PD71" s="140"/>
      <c r="PE71" s="140"/>
      <c r="PF71" s="140"/>
      <c r="PG71" s="140"/>
      <c r="PH71" s="140"/>
      <c r="PI71" s="140"/>
      <c r="PJ71" s="140"/>
      <c r="PK71" s="140"/>
      <c r="PL71" s="140"/>
      <c r="PM71" s="140"/>
      <c r="PN71" s="140"/>
      <c r="PO71" s="140"/>
      <c r="PP71" s="140"/>
      <c r="PQ71" s="140"/>
      <c r="PR71" s="140"/>
      <c r="PS71" s="140"/>
      <c r="PT71" s="140"/>
      <c r="PU71" s="140"/>
      <c r="PV71" s="140"/>
      <c r="PW71" s="140"/>
      <c r="PX71" s="140"/>
      <c r="PY71" s="140"/>
      <c r="PZ71" s="140"/>
      <c r="QA71" s="140"/>
      <c r="QB71" s="140"/>
      <c r="QC71" s="140"/>
      <c r="QD71" s="140"/>
      <c r="QE71" s="140"/>
      <c r="QF71" s="140"/>
      <c r="QG71" s="140"/>
      <c r="QH71" s="140"/>
      <c r="QI71" s="140"/>
      <c r="QJ71" s="140"/>
      <c r="QK71" s="140"/>
      <c r="QL71" s="140"/>
      <c r="QM71" s="140"/>
      <c r="QN71" s="140"/>
      <c r="QO71" s="140"/>
      <c r="QP71" s="140"/>
      <c r="QQ71" s="140"/>
      <c r="QR71" s="140"/>
      <c r="QS71" s="140"/>
      <c r="QT71" s="140"/>
      <c r="QU71" s="140"/>
      <c r="QV71" s="140"/>
      <c r="QW71" s="140"/>
      <c r="QX71" s="140"/>
      <c r="QY71" s="140"/>
      <c r="QZ71" s="140"/>
      <c r="RA71" s="140"/>
      <c r="RB71" s="140"/>
      <c r="RC71" s="140"/>
      <c r="RD71" s="140"/>
      <c r="RE71" s="140"/>
      <c r="RF71" s="140"/>
      <c r="RG71" s="140"/>
      <c r="RH71" s="140"/>
      <c r="RI71" s="140"/>
      <c r="RJ71" s="140"/>
      <c r="RK71" s="140"/>
      <c r="RL71" s="140"/>
      <c r="RM71" s="140"/>
      <c r="RN71" s="140"/>
      <c r="RO71" s="140"/>
      <c r="RP71" s="140"/>
      <c r="RQ71" s="140"/>
      <c r="RR71" s="140"/>
      <c r="RS71" s="140"/>
      <c r="RT71" s="140"/>
      <c r="RU71" s="140"/>
      <c r="RV71" s="140"/>
      <c r="RW71" s="140"/>
      <c r="RX71" s="140"/>
      <c r="RY71" s="140"/>
      <c r="RZ71" s="140"/>
      <c r="SA71" s="140"/>
      <c r="SB71" s="140"/>
      <c r="SC71" s="140"/>
      <c r="SD71" s="140"/>
      <c r="SE71" s="140"/>
      <c r="SF71" s="140"/>
      <c r="SG71" s="140"/>
      <c r="SH71" s="140"/>
      <c r="SI71" s="140"/>
      <c r="SJ71" s="140"/>
      <c r="SK71" s="140"/>
      <c r="SL71" s="140"/>
      <c r="SM71" s="140"/>
      <c r="SN71" s="140"/>
      <c r="SO71" s="140"/>
      <c r="SP71" s="140"/>
      <c r="SQ71" s="140"/>
      <c r="SR71" s="140"/>
      <c r="SS71" s="140"/>
      <c r="ST71" s="140"/>
      <c r="SU71" s="140"/>
      <c r="SV71" s="140"/>
      <c r="SW71" s="140"/>
      <c r="SX71" s="140"/>
      <c r="SY71" s="140"/>
      <c r="SZ71" s="140"/>
      <c r="TA71" s="140"/>
      <c r="TB71" s="140"/>
      <c r="TC71" s="140"/>
      <c r="TD71" s="140"/>
      <c r="TE71" s="140"/>
      <c r="TF71" s="140"/>
      <c r="TG71" s="140"/>
      <c r="TH71" s="140"/>
      <c r="TI71" s="140"/>
      <c r="TJ71" s="140"/>
      <c r="TK71" s="140"/>
      <c r="TL71" s="140"/>
      <c r="TM71" s="140"/>
      <c r="TN71" s="140"/>
      <c r="TO71" s="140"/>
      <c r="TP71" s="140"/>
      <c r="TQ71" s="140"/>
      <c r="TR71" s="140"/>
      <c r="TS71" s="140"/>
      <c r="TT71" s="140"/>
      <c r="TU71" s="140"/>
      <c r="TV71" s="140"/>
      <c r="TW71" s="140"/>
      <c r="TX71" s="140"/>
      <c r="TY71" s="140"/>
      <c r="TZ71" s="140"/>
      <c r="UA71" s="140"/>
      <c r="UB71" s="140"/>
      <c r="UC71" s="140"/>
      <c r="UD71" s="140"/>
      <c r="UE71" s="140"/>
      <c r="UF71" s="140"/>
      <c r="UG71" s="140"/>
      <c r="UH71" s="140"/>
      <c r="UI71" s="140"/>
      <c r="UJ71" s="140"/>
      <c r="UK71" s="140"/>
      <c r="UL71" s="140"/>
      <c r="UM71" s="140"/>
      <c r="UN71" s="140"/>
      <c r="UO71" s="140"/>
      <c r="UP71" s="140"/>
      <c r="UQ71" s="140"/>
      <c r="UR71" s="140"/>
      <c r="US71" s="140"/>
      <c r="UT71" s="140"/>
      <c r="UU71" s="140"/>
      <c r="UV71" s="140"/>
      <c r="UW71" s="140"/>
      <c r="UX71" s="140"/>
      <c r="UY71" s="140"/>
      <c r="UZ71" s="140"/>
      <c r="VA71" s="140"/>
      <c r="VB71" s="140"/>
      <c r="VC71" s="140"/>
      <c r="VD71" s="140"/>
      <c r="VE71" s="140"/>
      <c r="VF71" s="140"/>
      <c r="VG71" s="140"/>
      <c r="VH71" s="140"/>
      <c r="VI71" s="140"/>
      <c r="VJ71" s="140"/>
      <c r="VK71" s="140"/>
      <c r="VL71" s="140"/>
      <c r="VM71" s="140"/>
      <c r="VN71" s="140"/>
      <c r="VO71" s="140"/>
      <c r="VP71" s="140"/>
      <c r="VQ71" s="140"/>
      <c r="VR71" s="140"/>
      <c r="VS71" s="140"/>
      <c r="VT71" s="140"/>
      <c r="VU71" s="140"/>
      <c r="VV71" s="140"/>
      <c r="VW71" s="140"/>
      <c r="VX71" s="140"/>
      <c r="VY71" s="140"/>
      <c r="VZ71" s="140"/>
      <c r="WA71" s="140"/>
      <c r="WB71" s="140"/>
      <c r="WC71" s="140"/>
      <c r="WD71" s="140"/>
      <c r="WE71" s="140"/>
      <c r="WF71" s="140"/>
      <c r="WG71" s="140"/>
      <c r="WH71" s="140"/>
      <c r="WI71" s="140"/>
      <c r="WJ71" s="140"/>
      <c r="WK71" s="140"/>
      <c r="WL71" s="140"/>
      <c r="WM71" s="140"/>
      <c r="WN71" s="140"/>
      <c r="WO71" s="140"/>
      <c r="WP71" s="140"/>
      <c r="WQ71" s="140"/>
      <c r="WR71" s="140"/>
      <c r="WS71" s="140"/>
      <c r="WT71" s="140"/>
      <c r="WU71" s="140"/>
      <c r="WV71" s="140"/>
      <c r="WW71" s="140"/>
      <c r="WX71" s="140"/>
      <c r="WY71" s="140"/>
      <c r="WZ71" s="140"/>
      <c r="XA71" s="140"/>
      <c r="XB71" s="140"/>
      <c r="XC71" s="140"/>
      <c r="XD71" s="140"/>
      <c r="XE71" s="140"/>
      <c r="XF71" s="140"/>
      <c r="XG71" s="140"/>
      <c r="XH71" s="140"/>
      <c r="XI71" s="140"/>
      <c r="XJ71" s="140"/>
      <c r="XK71" s="140"/>
      <c r="XL71" s="140"/>
      <c r="XM71" s="140"/>
      <c r="XN71" s="140"/>
      <c r="XO71" s="140"/>
      <c r="XP71" s="140"/>
      <c r="XQ71" s="140"/>
      <c r="XR71" s="140"/>
      <c r="XS71" s="140"/>
      <c r="XT71" s="140"/>
      <c r="XU71" s="140"/>
      <c r="XV71" s="140"/>
      <c r="XW71" s="140"/>
      <c r="XX71" s="140"/>
      <c r="XY71" s="140"/>
      <c r="XZ71" s="140"/>
      <c r="YA71" s="140"/>
      <c r="YB71" s="140"/>
      <c r="YC71" s="140"/>
      <c r="YD71" s="140"/>
      <c r="YE71" s="140"/>
      <c r="YF71" s="140"/>
      <c r="YG71" s="140"/>
      <c r="YH71" s="140"/>
      <c r="YI71" s="140"/>
      <c r="YJ71" s="140"/>
      <c r="YK71" s="140"/>
      <c r="YL71" s="140"/>
      <c r="YM71" s="140"/>
      <c r="YN71" s="140"/>
      <c r="YO71" s="140"/>
      <c r="YP71" s="140"/>
      <c r="YQ71" s="140"/>
      <c r="YR71" s="140"/>
      <c r="YS71" s="140"/>
      <c r="YT71" s="140"/>
      <c r="YU71" s="140"/>
      <c r="YV71" s="140"/>
      <c r="YW71" s="140"/>
      <c r="YX71" s="140"/>
      <c r="YY71" s="140"/>
      <c r="YZ71" s="140"/>
      <c r="ZA71" s="140"/>
      <c r="ZB71" s="140"/>
      <c r="ZC71" s="140"/>
      <c r="ZD71" s="140"/>
      <c r="ZE71" s="140"/>
      <c r="ZF71" s="140"/>
      <c r="ZG71" s="140"/>
      <c r="ZH71" s="140"/>
      <c r="ZI71" s="140"/>
      <c r="ZJ71" s="140"/>
      <c r="ZK71" s="140"/>
      <c r="ZL71" s="140"/>
      <c r="ZM71" s="140"/>
      <c r="ZN71" s="140"/>
      <c r="ZO71" s="140"/>
      <c r="ZP71" s="140"/>
      <c r="ZQ71" s="140"/>
      <c r="ZR71" s="140"/>
      <c r="ZS71" s="140"/>
      <c r="ZT71" s="140"/>
      <c r="ZU71" s="140"/>
      <c r="ZV71" s="140"/>
      <c r="ZW71" s="140"/>
      <c r="ZX71" s="140"/>
      <c r="ZY71" s="140"/>
      <c r="ZZ71" s="140"/>
      <c r="AAA71" s="140"/>
      <c r="AAB71" s="140"/>
      <c r="AAC71" s="140"/>
      <c r="AAD71" s="140"/>
      <c r="AAE71" s="140"/>
      <c r="AAF71" s="140"/>
      <c r="AAG71" s="140"/>
      <c r="AAH71" s="140"/>
      <c r="AAI71" s="140"/>
      <c r="AAJ71" s="140"/>
      <c r="AAK71" s="140"/>
      <c r="AAL71" s="140"/>
      <c r="AAM71" s="140"/>
      <c r="AAN71" s="140"/>
      <c r="AAO71" s="140"/>
      <c r="AAP71" s="140"/>
      <c r="AAQ71" s="140"/>
      <c r="AAR71" s="140"/>
      <c r="AAS71" s="140"/>
      <c r="AAT71" s="140"/>
      <c r="AAU71" s="140"/>
      <c r="AAV71" s="140"/>
      <c r="AAW71" s="140"/>
      <c r="AAX71" s="140"/>
      <c r="AAY71" s="140"/>
      <c r="AAZ71" s="140"/>
      <c r="ABA71" s="140"/>
      <c r="ABB71" s="140"/>
      <c r="ABC71" s="140"/>
      <c r="ABD71" s="140"/>
      <c r="ABE71" s="140"/>
      <c r="ABF71" s="140"/>
      <c r="ABG71" s="140"/>
      <c r="ABH71" s="140"/>
      <c r="ABI71" s="140"/>
      <c r="ABJ71" s="140"/>
      <c r="ABK71" s="140"/>
      <c r="ABL71" s="140"/>
      <c r="ABM71" s="140"/>
      <c r="ABN71" s="140"/>
      <c r="ABO71" s="140"/>
      <c r="ABP71" s="140"/>
      <c r="ABQ71" s="140"/>
      <c r="ABR71" s="140"/>
      <c r="ABS71" s="140"/>
      <c r="ABT71" s="140"/>
      <c r="ABU71" s="140"/>
      <c r="ABV71" s="140"/>
      <c r="ABW71" s="140"/>
      <c r="ABX71" s="140"/>
      <c r="ABY71" s="140"/>
      <c r="ABZ71" s="140"/>
      <c r="ACA71" s="140"/>
      <c r="ACB71" s="140"/>
      <c r="ACC71" s="140"/>
      <c r="ACD71" s="140"/>
      <c r="ACE71" s="140"/>
      <c r="ACF71" s="140"/>
      <c r="ACG71" s="140"/>
      <c r="ACH71" s="140"/>
      <c r="ACI71" s="140"/>
      <c r="ACJ71" s="140"/>
      <c r="ACK71" s="140"/>
      <c r="ACL71" s="140"/>
      <c r="ACM71" s="140"/>
      <c r="ACN71" s="140"/>
      <c r="ACO71" s="140"/>
      <c r="ACP71" s="140"/>
      <c r="ACQ71" s="140"/>
      <c r="ACR71" s="140"/>
      <c r="ACS71" s="140"/>
      <c r="ACT71" s="140"/>
      <c r="ACU71" s="140"/>
      <c r="ACV71" s="140"/>
      <c r="ACW71" s="140"/>
      <c r="ACX71" s="140"/>
      <c r="ACY71" s="140"/>
      <c r="ACZ71" s="140"/>
      <c r="ADA71" s="140"/>
      <c r="ADB71" s="140"/>
      <c r="ADC71" s="140"/>
      <c r="ADD71" s="140"/>
      <c r="ADE71" s="140"/>
      <c r="ADF71" s="140"/>
      <c r="ADG71" s="140"/>
      <c r="ADH71" s="140"/>
      <c r="ADI71" s="140"/>
      <c r="ADJ71" s="140"/>
      <c r="ADK71" s="140"/>
      <c r="ADL71" s="140"/>
      <c r="ADM71" s="140"/>
      <c r="ADN71" s="140"/>
      <c r="ADO71" s="140"/>
      <c r="ADP71" s="140"/>
      <c r="ADQ71" s="140"/>
      <c r="ADR71" s="140"/>
      <c r="ADS71" s="140"/>
      <c r="ADT71" s="140"/>
      <c r="ADU71" s="140"/>
      <c r="ADV71" s="140"/>
      <c r="ADW71" s="140"/>
      <c r="ADX71" s="140"/>
      <c r="ADY71" s="140"/>
      <c r="ADZ71" s="140"/>
      <c r="AEA71" s="140"/>
      <c r="AEB71" s="140"/>
      <c r="AEC71" s="140"/>
      <c r="AED71" s="140"/>
      <c r="AEE71" s="140"/>
      <c r="AEF71" s="140"/>
      <c r="AEG71" s="140"/>
      <c r="AEH71" s="140"/>
      <c r="AEI71" s="140"/>
      <c r="AEJ71" s="140"/>
      <c r="AEK71" s="140"/>
      <c r="AEL71" s="140"/>
      <c r="AEM71" s="140"/>
      <c r="AEN71" s="140"/>
      <c r="AEO71" s="140"/>
      <c r="AEP71" s="140"/>
      <c r="AEQ71" s="140"/>
      <c r="AER71" s="140"/>
      <c r="AES71" s="140"/>
      <c r="AET71" s="140"/>
      <c r="AEU71" s="140"/>
      <c r="AEV71" s="140"/>
      <c r="AEW71" s="140"/>
      <c r="AEX71" s="140"/>
      <c r="AEY71" s="140"/>
      <c r="AEZ71" s="140"/>
      <c r="AFA71" s="140"/>
      <c r="AFB71" s="140"/>
      <c r="AFC71" s="140"/>
      <c r="AFD71" s="140"/>
      <c r="AFE71" s="140"/>
      <c r="AFF71" s="140"/>
      <c r="AFG71" s="140"/>
      <c r="AFH71" s="140"/>
      <c r="AFI71" s="140"/>
      <c r="AFJ71" s="140"/>
      <c r="AFK71" s="140"/>
      <c r="AFL71" s="140"/>
      <c r="AFM71" s="140"/>
      <c r="AFN71" s="140"/>
      <c r="AFO71" s="140"/>
      <c r="AFP71" s="140"/>
      <c r="AFQ71" s="140"/>
      <c r="AFR71" s="140"/>
      <c r="AFS71" s="140"/>
      <c r="AFT71" s="140"/>
      <c r="AFU71" s="140"/>
      <c r="AFV71" s="140"/>
      <c r="AFW71" s="140"/>
      <c r="AFX71" s="140"/>
      <c r="AFY71" s="140"/>
      <c r="AFZ71" s="140"/>
      <c r="AGA71" s="140"/>
      <c r="AGB71" s="140"/>
      <c r="AGC71" s="140"/>
      <c r="AGD71" s="140"/>
      <c r="AGE71" s="140"/>
      <c r="AGF71" s="140"/>
      <c r="AGG71" s="140"/>
      <c r="AGH71" s="140"/>
      <c r="AGI71" s="140"/>
      <c r="AGJ71" s="140"/>
      <c r="AGK71" s="140"/>
      <c r="AGL71" s="140"/>
      <c r="AGM71" s="140"/>
      <c r="AGN71" s="140"/>
      <c r="AGO71" s="140"/>
      <c r="AGP71" s="140"/>
      <c r="AGQ71" s="140"/>
      <c r="AGR71" s="140"/>
      <c r="AGS71" s="140"/>
      <c r="AGT71" s="140"/>
      <c r="AGU71" s="140"/>
      <c r="AGV71" s="140"/>
      <c r="AGW71" s="140"/>
      <c r="AGX71" s="140"/>
      <c r="AGY71" s="140"/>
      <c r="AGZ71" s="140"/>
      <c r="AHA71" s="140"/>
      <c r="AHB71" s="140"/>
      <c r="AHC71" s="140"/>
    </row>
    <row r="72" spans="1:887" ht="20.100000000000001" customHeight="1">
      <c r="A72" s="198" t="str">
        <f>VLOOKUP(C72,'BASE DE DADOS'!A:B,2,FALSE)</f>
        <v>PREPARA INATIVOS</v>
      </c>
      <c r="B72" s="199" t="s">
        <v>646</v>
      </c>
      <c r="C72" s="198" t="s">
        <v>647</v>
      </c>
      <c r="D72" s="162">
        <v>28649.09</v>
      </c>
      <c r="E72" s="162"/>
      <c r="F72" s="163"/>
      <c r="G72" s="200"/>
      <c r="H72" s="201"/>
      <c r="I72" s="201"/>
      <c r="J72" s="201" t="s">
        <v>1743</v>
      </c>
      <c r="K72" s="201"/>
      <c r="L72" s="201"/>
      <c r="M72" s="201"/>
      <c r="N72" s="201"/>
      <c r="O72" s="201"/>
      <c r="P72" s="157"/>
      <c r="Q72" s="195" t="s">
        <v>2254</v>
      </c>
    </row>
    <row r="73" spans="1:887" ht="20.100000000000001" customHeight="1">
      <c r="A73" s="191" t="str">
        <f>VLOOKUP(C73,'BASE DE DADOS'!A:B,2,FALSE)</f>
        <v>ENSINA MAIS INATIVOS</v>
      </c>
      <c r="B73" s="90" t="s">
        <v>85</v>
      </c>
      <c r="C73" s="212" t="s">
        <v>86</v>
      </c>
      <c r="D73" s="75">
        <v>34168.03</v>
      </c>
      <c r="E73" s="76">
        <v>76596.17</v>
      </c>
      <c r="F73" s="103"/>
      <c r="G73" s="192"/>
      <c r="H73" s="193"/>
      <c r="I73" s="193"/>
      <c r="J73" s="193"/>
      <c r="K73" s="193"/>
      <c r="L73" s="193"/>
      <c r="M73" s="193"/>
      <c r="N73" s="193" t="s">
        <v>1743</v>
      </c>
      <c r="O73" s="202">
        <v>44532</v>
      </c>
      <c r="P73" s="146" t="s">
        <v>2799</v>
      </c>
      <c r="Q73" s="195"/>
    </row>
    <row r="74" spans="1:887" ht="20.100000000000001" customHeight="1">
      <c r="A74" s="191" t="str">
        <f>VLOOKUP(C74,'BASE DE DADOS'!A:B,2,FALSE)</f>
        <v>PREPARA INATIVOS</v>
      </c>
      <c r="B74" s="90" t="s">
        <v>2252</v>
      </c>
      <c r="C74" s="191" t="s">
        <v>743</v>
      </c>
      <c r="D74" s="75">
        <v>25443.759999999998</v>
      </c>
      <c r="E74" s="76">
        <v>16573.93</v>
      </c>
      <c r="F74" s="103"/>
      <c r="G74" s="192"/>
      <c r="H74" s="193"/>
      <c r="I74" s="193"/>
      <c r="J74" s="193"/>
      <c r="K74" s="193"/>
      <c r="L74" s="193"/>
      <c r="M74" s="193"/>
      <c r="N74" s="193" t="s">
        <v>1743</v>
      </c>
      <c r="O74" s="202">
        <v>44673</v>
      </c>
      <c r="P74" s="146" t="s">
        <v>2800</v>
      </c>
      <c r="Q74" s="195" t="s">
        <v>2253</v>
      </c>
    </row>
    <row r="75" spans="1:887" ht="20.100000000000001" customHeight="1">
      <c r="A75" s="191" t="str">
        <f>VLOOKUP(C75,'BASE DE DADOS'!A:B,2,FALSE)</f>
        <v>MICROLINS INATIVOS</v>
      </c>
      <c r="B75" s="90" t="s">
        <v>1178</v>
      </c>
      <c r="C75" s="191" t="s">
        <v>1179</v>
      </c>
      <c r="D75" s="75">
        <v>179221.68</v>
      </c>
      <c r="E75" s="98">
        <v>322858.68</v>
      </c>
      <c r="F75" s="103"/>
      <c r="G75" s="192"/>
      <c r="H75" s="193"/>
      <c r="I75" s="193"/>
      <c r="J75" s="193"/>
      <c r="K75" s="193"/>
      <c r="L75" s="193"/>
      <c r="M75" s="193"/>
      <c r="N75" s="193" t="s">
        <v>1743</v>
      </c>
      <c r="O75" s="202">
        <v>44694</v>
      </c>
      <c r="P75" s="145" t="s">
        <v>2882</v>
      </c>
      <c r="Q75" s="195" t="s">
        <v>2803</v>
      </c>
    </row>
    <row r="76" spans="1:887" ht="20.100000000000001" customHeight="1">
      <c r="A76" s="191" t="str">
        <f>VLOOKUP(C76,'BASE DE DADOS'!A:B,2,FALSE)</f>
        <v>PREPARA INATIVOS</v>
      </c>
      <c r="B76" s="90" t="s">
        <v>642</v>
      </c>
      <c r="C76" s="191" t="s">
        <v>643</v>
      </c>
      <c r="D76" s="75">
        <v>58858.25</v>
      </c>
      <c r="E76" s="74" t="s">
        <v>2802</v>
      </c>
      <c r="F76" s="103"/>
      <c r="G76" s="192"/>
      <c r="H76" s="193"/>
      <c r="I76" s="193"/>
      <c r="J76" s="193"/>
      <c r="K76" s="193"/>
      <c r="L76" s="193"/>
      <c r="M76" s="193"/>
      <c r="N76" s="193" t="s">
        <v>1743</v>
      </c>
      <c r="O76" s="202">
        <v>44764</v>
      </c>
      <c r="P76" s="146" t="s">
        <v>2801</v>
      </c>
      <c r="Q76" s="195" t="s">
        <v>2602</v>
      </c>
    </row>
    <row r="77" spans="1:887" ht="20.100000000000001" customHeight="1">
      <c r="A77" s="191" t="str">
        <f>VLOOKUP(C77,'BASE DE DADOS'!A:B,2,FALSE)</f>
        <v>PREPARA INATIVOS</v>
      </c>
      <c r="B77" s="90" t="s">
        <v>642</v>
      </c>
      <c r="C77" s="191" t="s">
        <v>643</v>
      </c>
      <c r="D77" s="75">
        <v>60618.48</v>
      </c>
      <c r="E77" s="76">
        <v>60618.48</v>
      </c>
      <c r="F77" s="103"/>
      <c r="G77" s="192"/>
      <c r="H77" s="193"/>
      <c r="I77" s="193"/>
      <c r="J77" s="193"/>
      <c r="K77" s="193"/>
      <c r="L77" s="193"/>
      <c r="M77" s="193"/>
      <c r="N77" s="193" t="s">
        <v>1743</v>
      </c>
      <c r="O77" s="202">
        <v>45155</v>
      </c>
      <c r="P77" s="146" t="s">
        <v>2804</v>
      </c>
      <c r="Q77" s="195" t="s">
        <v>2601</v>
      </c>
    </row>
    <row r="78" spans="1:887" ht="20.100000000000001" customHeight="1">
      <c r="A78" s="191" t="str">
        <f>VLOOKUP(C78,'BASE DE DADOS'!A:B,2,FALSE)</f>
        <v>PREPARA INATIVOS</v>
      </c>
      <c r="B78" s="90" t="s">
        <v>1136</v>
      </c>
      <c r="C78" s="191" t="s">
        <v>1137</v>
      </c>
      <c r="D78" s="75">
        <v>10231.5</v>
      </c>
      <c r="E78" s="76">
        <v>205921.88</v>
      </c>
      <c r="F78" s="103"/>
      <c r="G78" s="192"/>
      <c r="H78" s="64"/>
      <c r="I78" s="193"/>
      <c r="J78" s="193"/>
      <c r="K78" s="64"/>
      <c r="L78" s="64"/>
      <c r="M78" s="61"/>
      <c r="N78" s="193" t="s">
        <v>1743</v>
      </c>
      <c r="O78" s="202">
        <v>45603</v>
      </c>
      <c r="P78" s="146" t="s">
        <v>2805</v>
      </c>
      <c r="Q78" s="195" t="s">
        <v>2726</v>
      </c>
    </row>
    <row r="79" spans="1:887" ht="20.100000000000001" customHeight="1">
      <c r="A79" s="191" t="str">
        <f>VLOOKUP(C79,'BASE DE DADOS'!A:B,2,FALSE)</f>
        <v>MICROLINS INATIVOS</v>
      </c>
      <c r="B79" s="90" t="s">
        <v>1954</v>
      </c>
      <c r="C79" s="191" t="s">
        <v>1955</v>
      </c>
      <c r="D79" s="75">
        <v>141163.89000000001</v>
      </c>
      <c r="E79" s="76">
        <v>95880.3</v>
      </c>
      <c r="F79" s="103"/>
      <c r="G79" s="192"/>
      <c r="H79" s="193"/>
      <c r="I79" s="193"/>
      <c r="J79" s="193"/>
      <c r="K79" s="193"/>
      <c r="L79" s="193"/>
      <c r="M79" s="193"/>
      <c r="N79" s="193" t="s">
        <v>1743</v>
      </c>
      <c r="O79" s="202">
        <v>44855</v>
      </c>
      <c r="P79" s="146" t="s">
        <v>2806</v>
      </c>
      <c r="Q79" s="195" t="s">
        <v>2315</v>
      </c>
    </row>
    <row r="80" spans="1:887" ht="20.100000000000001" customHeight="1">
      <c r="A80" s="191" t="str">
        <f>VLOOKUP(C80,'BASE DE DADOS'!A:B,2,FALSE)</f>
        <v>ENSINA MAIS INATIVOS</v>
      </c>
      <c r="B80" s="90" t="s">
        <v>159</v>
      </c>
      <c r="C80" s="191" t="s">
        <v>160</v>
      </c>
      <c r="D80" s="75">
        <v>34781.18</v>
      </c>
      <c r="E80" s="76">
        <v>85027.27</v>
      </c>
      <c r="F80" s="103"/>
      <c r="G80" s="192"/>
      <c r="H80" s="193"/>
      <c r="I80" s="193"/>
      <c r="J80" s="193"/>
      <c r="K80" s="193"/>
      <c r="L80" s="193"/>
      <c r="M80" s="193"/>
      <c r="N80" s="193" t="s">
        <v>1743</v>
      </c>
      <c r="O80" s="202">
        <v>44754</v>
      </c>
      <c r="P80" s="146" t="s">
        <v>2807</v>
      </c>
      <c r="Q80" s="195" t="s">
        <v>2255</v>
      </c>
    </row>
    <row r="81" spans="1:887" ht="20.100000000000001" customHeight="1">
      <c r="A81" s="214" t="str">
        <f>VLOOKUP(C81,'BASE DE DADOS'!A:B,2,FALSE)</f>
        <v>PREPARA INATIVOS</v>
      </c>
      <c r="B81" s="215" t="s">
        <v>524</v>
      </c>
      <c r="C81" s="214" t="s">
        <v>525</v>
      </c>
      <c r="D81" s="78">
        <v>265133.28999999998</v>
      </c>
      <c r="E81" s="98">
        <v>280449.17</v>
      </c>
      <c r="F81" s="104"/>
      <c r="G81" s="216"/>
      <c r="H81" s="217"/>
      <c r="I81" s="217"/>
      <c r="J81" s="217"/>
      <c r="K81" s="217"/>
      <c r="L81" s="217"/>
      <c r="M81" s="217"/>
      <c r="N81" s="217" t="s">
        <v>1743</v>
      </c>
      <c r="O81" s="218">
        <v>44631</v>
      </c>
      <c r="P81" s="153" t="s">
        <v>2808</v>
      </c>
      <c r="Q81" s="195"/>
    </row>
    <row r="82" spans="1:887" ht="20.100000000000001" customHeight="1">
      <c r="A82" s="191" t="str">
        <f>VLOOKUP(C82,'BASE DE DADOS'!A:B,2,FALSE)</f>
        <v>PREPARA INATIVOS</v>
      </c>
      <c r="B82" s="90" t="s">
        <v>193</v>
      </c>
      <c r="C82" s="191" t="s">
        <v>194</v>
      </c>
      <c r="D82" s="75">
        <v>80069.19</v>
      </c>
      <c r="E82" s="76">
        <v>89674.43</v>
      </c>
      <c r="F82" s="103"/>
      <c r="G82" s="192"/>
      <c r="H82" s="193"/>
      <c r="I82" s="193"/>
      <c r="J82" s="193"/>
      <c r="K82" s="193"/>
      <c r="L82" s="193"/>
      <c r="M82" s="193"/>
      <c r="N82" s="193" t="s">
        <v>1743</v>
      </c>
      <c r="O82" s="202">
        <v>45084</v>
      </c>
      <c r="P82" s="146" t="s">
        <v>2809</v>
      </c>
      <c r="Q82" s="195" t="s">
        <v>2400</v>
      </c>
    </row>
    <row r="83" spans="1:887" ht="20.100000000000001" customHeight="1">
      <c r="A83" s="191" t="str">
        <f>VLOOKUP(C83,'BASE DE DADOS'!A:B,2,FALSE)</f>
        <v>MICROLINS</v>
      </c>
      <c r="B83" s="90" t="s">
        <v>1876</v>
      </c>
      <c r="C83" s="191" t="s">
        <v>2271</v>
      </c>
      <c r="D83" s="75">
        <v>83128.479999999996</v>
      </c>
      <c r="E83" s="98">
        <v>114709.75999999999</v>
      </c>
      <c r="F83" s="103"/>
      <c r="G83" s="192"/>
      <c r="H83" s="193"/>
      <c r="I83" s="193"/>
      <c r="J83" s="193"/>
      <c r="K83" s="193"/>
      <c r="L83" s="193"/>
      <c r="M83" s="193"/>
      <c r="N83" s="193" t="s">
        <v>1743</v>
      </c>
      <c r="O83" s="202">
        <v>44725</v>
      </c>
      <c r="P83" s="145" t="s">
        <v>2810</v>
      </c>
      <c r="Q83" s="114" t="s">
        <v>2811</v>
      </c>
    </row>
    <row r="84" spans="1:887" ht="20.100000000000001" customHeight="1">
      <c r="A84" s="191" t="str">
        <f>VLOOKUP(C84,'BASE DE DADOS'!A:B,2,FALSE)</f>
        <v>ENSINA MAIS INATIVOS</v>
      </c>
      <c r="B84" s="90" t="s">
        <v>131</v>
      </c>
      <c r="C84" s="191" t="s">
        <v>132</v>
      </c>
      <c r="D84" s="75">
        <v>11429.36</v>
      </c>
      <c r="E84" s="76">
        <v>10466.36</v>
      </c>
      <c r="F84" s="103"/>
      <c r="G84" s="192"/>
      <c r="H84" s="193"/>
      <c r="I84" s="193"/>
      <c r="J84" s="193"/>
      <c r="K84" s="193"/>
      <c r="L84" s="193"/>
      <c r="M84" s="193"/>
      <c r="N84" s="193" t="s">
        <v>1743</v>
      </c>
      <c r="O84" s="202">
        <v>44848</v>
      </c>
      <c r="P84" s="146" t="s">
        <v>2812</v>
      </c>
      <c r="Q84" s="195" t="s">
        <v>2319</v>
      </c>
    </row>
    <row r="85" spans="1:887" ht="20.100000000000001" customHeight="1">
      <c r="A85" s="191" t="str">
        <f>VLOOKUP(C85,'BASE DE DADOS'!A:B,2,FALSE)</f>
        <v>ENGLISH TALK INATIVOS</v>
      </c>
      <c r="B85" s="90" t="s">
        <v>161</v>
      </c>
      <c r="C85" s="191" t="s">
        <v>162</v>
      </c>
      <c r="D85" s="75">
        <v>30092.01</v>
      </c>
      <c r="E85" s="76">
        <v>45183.58</v>
      </c>
      <c r="F85" s="103"/>
      <c r="G85" s="192"/>
      <c r="H85" s="193"/>
      <c r="I85" s="193"/>
      <c r="J85" s="193"/>
      <c r="K85" s="193"/>
      <c r="L85" s="193"/>
      <c r="M85" s="193"/>
      <c r="N85" s="193" t="s">
        <v>1743</v>
      </c>
      <c r="O85" s="202">
        <v>44844</v>
      </c>
      <c r="P85" s="146" t="s">
        <v>2813</v>
      </c>
      <c r="Q85" s="195" t="s">
        <v>2257</v>
      </c>
    </row>
    <row r="86" spans="1:887" ht="20.100000000000001" customHeight="1">
      <c r="A86" s="191" t="str">
        <f>VLOOKUP(C86,'BASE DE DADOS'!A:B,2,FALSE)</f>
        <v>PREPARA INATIVOS</v>
      </c>
      <c r="B86" s="90" t="s">
        <v>758</v>
      </c>
      <c r="C86" s="191" t="s">
        <v>759</v>
      </c>
      <c r="D86" s="75">
        <v>18713.02</v>
      </c>
      <c r="E86" s="76">
        <v>14118.71</v>
      </c>
      <c r="F86" s="103"/>
      <c r="G86" s="192"/>
      <c r="H86" s="193"/>
      <c r="I86" s="193"/>
      <c r="J86" s="193"/>
      <c r="K86" s="193"/>
      <c r="L86" s="193"/>
      <c r="M86" s="193"/>
      <c r="N86" s="193" t="s">
        <v>1743</v>
      </c>
      <c r="O86" s="202">
        <v>44848</v>
      </c>
      <c r="P86" s="145" t="s">
        <v>2814</v>
      </c>
      <c r="Q86" s="195" t="s">
        <v>2376</v>
      </c>
    </row>
    <row r="87" spans="1:887" ht="20.100000000000001" customHeight="1">
      <c r="A87" s="219" t="str">
        <f>VLOOKUP(C87,'BASE DE DADOS'!A:B,2,FALSE)</f>
        <v>PREPARA INATIVOS</v>
      </c>
      <c r="B87" s="92" t="s">
        <v>626</v>
      </c>
      <c r="C87" s="219" t="s">
        <v>627</v>
      </c>
      <c r="D87" s="77">
        <v>161995.07</v>
      </c>
      <c r="E87" s="77"/>
      <c r="F87" s="105"/>
      <c r="G87" s="220"/>
      <c r="H87" s="85"/>
      <c r="I87" s="221"/>
      <c r="J87" s="221"/>
      <c r="K87" s="221"/>
      <c r="L87" s="221"/>
      <c r="M87" s="221"/>
      <c r="N87" s="221"/>
      <c r="O87" s="221"/>
      <c r="P87" s="85"/>
      <c r="Q87" s="195" t="s">
        <v>2959</v>
      </c>
    </row>
    <row r="88" spans="1:887" ht="20.100000000000001" customHeight="1">
      <c r="A88" s="191" t="str">
        <f>VLOOKUP(C88,'BASE DE DADOS'!A:B,2,FALSE)</f>
        <v>PREPARA INATIVOS</v>
      </c>
      <c r="B88" s="90" t="s">
        <v>452</v>
      </c>
      <c r="C88" s="191" t="s">
        <v>453</v>
      </c>
      <c r="D88" s="75">
        <v>68745.539999999994</v>
      </c>
      <c r="E88" s="76">
        <v>38872.82</v>
      </c>
      <c r="F88" s="103"/>
      <c r="G88" s="192"/>
      <c r="H88" s="193"/>
      <c r="I88" s="193"/>
      <c r="J88" s="193"/>
      <c r="K88" s="193"/>
      <c r="L88" s="193"/>
      <c r="M88" s="193"/>
      <c r="N88" s="193" t="s">
        <v>1743</v>
      </c>
      <c r="O88" s="202">
        <v>44883</v>
      </c>
      <c r="P88" s="146" t="s">
        <v>2815</v>
      </c>
      <c r="Q88" s="195" t="s">
        <v>2336</v>
      </c>
    </row>
    <row r="89" spans="1:887" ht="20.100000000000001" customHeight="1">
      <c r="A89" s="191" t="str">
        <f>VLOOKUP(C89,'BASE DE DADOS'!A:B,2,FALSE)</f>
        <v>PREPARA INATIVOS</v>
      </c>
      <c r="B89" s="90" t="s">
        <v>534</v>
      </c>
      <c r="C89" s="191" t="s">
        <v>535</v>
      </c>
      <c r="D89" s="75">
        <v>16939.400000000001</v>
      </c>
      <c r="E89" s="76">
        <v>18955.830000000002</v>
      </c>
      <c r="F89" s="103"/>
      <c r="G89" s="192"/>
      <c r="H89" s="193"/>
      <c r="I89" s="193"/>
      <c r="J89" s="193"/>
      <c r="K89" s="193"/>
      <c r="L89" s="193"/>
      <c r="M89" s="193"/>
      <c r="N89" s="193" t="s">
        <v>1743</v>
      </c>
      <c r="O89" s="202">
        <v>44956</v>
      </c>
      <c r="P89" s="146" t="s">
        <v>2816</v>
      </c>
      <c r="Q89" s="195" t="s">
        <v>2817</v>
      </c>
    </row>
    <row r="90" spans="1:887" ht="20.100000000000001" customHeight="1">
      <c r="A90" s="191" t="str">
        <f>VLOOKUP(C90,'BASE DE DADOS'!A:B,2,FALSE)</f>
        <v>ENSINA MAIS INATIVOS</v>
      </c>
      <c r="B90" s="90" t="s">
        <v>177</v>
      </c>
      <c r="C90" s="62" t="s">
        <v>178</v>
      </c>
      <c r="D90" s="75">
        <v>60270.17</v>
      </c>
      <c r="E90" s="76">
        <v>99106.4</v>
      </c>
      <c r="F90" s="103"/>
      <c r="G90" s="192"/>
      <c r="H90" s="193"/>
      <c r="I90" s="193"/>
      <c r="J90" s="193"/>
      <c r="K90" s="193"/>
      <c r="L90" s="193"/>
      <c r="M90" s="193"/>
      <c r="N90" s="193" t="s">
        <v>1743</v>
      </c>
      <c r="O90" s="202">
        <v>44509</v>
      </c>
      <c r="P90" s="145" t="s">
        <v>2818</v>
      </c>
      <c r="Q90" s="195" t="s">
        <v>2971</v>
      </c>
    </row>
    <row r="91" spans="1:887" ht="20.100000000000001" customHeight="1">
      <c r="A91" s="191" t="str">
        <f>VLOOKUP(C91,'BASE DE DADOS'!A:B,2,FALSE)</f>
        <v>PREPARA INATIVOS</v>
      </c>
      <c r="B91" s="90" t="s">
        <v>243</v>
      </c>
      <c r="C91" s="191" t="s">
        <v>244</v>
      </c>
      <c r="D91" s="75">
        <v>46408.1</v>
      </c>
      <c r="E91" s="76">
        <v>63516.94</v>
      </c>
      <c r="F91" s="103"/>
      <c r="G91" s="192"/>
      <c r="H91" s="193"/>
      <c r="I91" s="193"/>
      <c r="J91" s="193"/>
      <c r="K91" s="193"/>
      <c r="L91" s="193"/>
      <c r="M91" s="193"/>
      <c r="N91" s="193" t="s">
        <v>1743</v>
      </c>
      <c r="O91" s="202">
        <v>44911</v>
      </c>
      <c r="P91" s="146" t="s">
        <v>2819</v>
      </c>
      <c r="Q91" s="114"/>
    </row>
    <row r="92" spans="1:887" ht="20.100000000000001" customHeight="1">
      <c r="A92" s="191" t="str">
        <f>VLOOKUP(C92,'BASE DE DADOS'!A:B,2,FALSE)</f>
        <v>ENSINA MAIS INATIVOS</v>
      </c>
      <c r="B92" s="90" t="s">
        <v>134</v>
      </c>
      <c r="C92" s="191" t="s">
        <v>135</v>
      </c>
      <c r="D92" s="75">
        <v>13933.16</v>
      </c>
      <c r="E92" s="76">
        <v>25142.77</v>
      </c>
      <c r="F92" s="103"/>
      <c r="G92" s="192"/>
      <c r="H92" s="193"/>
      <c r="I92" s="193"/>
      <c r="J92" s="193"/>
      <c r="K92" s="193"/>
      <c r="L92" s="193"/>
      <c r="M92" s="193"/>
      <c r="N92" s="193" t="s">
        <v>1743</v>
      </c>
      <c r="O92" s="202">
        <v>44519</v>
      </c>
      <c r="P92" s="145" t="s">
        <v>2820</v>
      </c>
      <c r="Q92" s="195"/>
    </row>
    <row r="93" spans="1:887" s="80" customFormat="1" ht="20.100000000000001" customHeight="1">
      <c r="A93" s="222" t="str">
        <f>VLOOKUP(C93,'BASE DE DADOS'!A:B,2,FALSE)</f>
        <v>PEOPLE INATIVOS</v>
      </c>
      <c r="B93" s="223" t="s">
        <v>1723</v>
      </c>
      <c r="C93" s="222" t="s">
        <v>1724</v>
      </c>
      <c r="D93" s="82">
        <v>241849.38</v>
      </c>
      <c r="E93" s="83" t="s">
        <v>2965</v>
      </c>
      <c r="F93" s="106"/>
      <c r="G93" s="118"/>
      <c r="H93" s="224"/>
      <c r="I93" s="224"/>
      <c r="J93" s="224"/>
      <c r="K93" s="224"/>
      <c r="L93" s="224"/>
      <c r="M93" s="224"/>
      <c r="N93" s="224"/>
      <c r="O93" s="225">
        <v>45772</v>
      </c>
      <c r="P93" s="154" t="s">
        <v>2964</v>
      </c>
      <c r="Q93" s="226" t="s">
        <v>2966</v>
      </c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5"/>
      <c r="BP93" s="95"/>
      <c r="BQ93" s="95"/>
      <c r="BR93" s="95"/>
      <c r="BS93" s="95"/>
      <c r="BT93" s="95"/>
      <c r="BU93" s="95"/>
      <c r="BV93" s="95"/>
      <c r="BW93" s="95"/>
      <c r="BX93" s="95"/>
      <c r="BY93" s="95"/>
      <c r="BZ93" s="95"/>
      <c r="CA93" s="95"/>
      <c r="CB93" s="95"/>
      <c r="CC93" s="95"/>
      <c r="CD93" s="95"/>
      <c r="CE93" s="95"/>
      <c r="CF93" s="95"/>
      <c r="CG93" s="95"/>
      <c r="CH93" s="95"/>
      <c r="CI93" s="95"/>
      <c r="CJ93" s="95"/>
      <c r="CK93" s="95"/>
      <c r="CL93" s="95"/>
      <c r="CM93" s="95"/>
      <c r="CN93" s="95"/>
      <c r="CO93" s="95"/>
      <c r="CP93" s="95"/>
      <c r="CQ93" s="95"/>
      <c r="CR93" s="95"/>
      <c r="CS93" s="95"/>
      <c r="CT93" s="95"/>
      <c r="CU93" s="95"/>
      <c r="CV93" s="95"/>
      <c r="CW93" s="95"/>
      <c r="CX93" s="95"/>
      <c r="CY93" s="95"/>
      <c r="CZ93" s="95"/>
      <c r="DA93" s="95"/>
      <c r="DB93" s="95"/>
      <c r="DC93" s="95"/>
      <c r="DD93" s="95"/>
      <c r="DE93" s="95"/>
      <c r="DF93" s="95"/>
      <c r="DG93" s="95"/>
      <c r="DH93" s="95"/>
      <c r="DI93" s="95"/>
      <c r="DJ93" s="95"/>
      <c r="DK93" s="95"/>
      <c r="DL93" s="95"/>
      <c r="DM93" s="95"/>
      <c r="DN93" s="95"/>
      <c r="DO93" s="95"/>
      <c r="DP93" s="95"/>
      <c r="DQ93" s="95"/>
      <c r="DR93" s="95"/>
      <c r="DS93" s="95"/>
      <c r="DT93" s="95"/>
      <c r="DU93" s="95"/>
      <c r="DV93" s="95"/>
      <c r="DW93" s="95"/>
      <c r="DX93" s="95"/>
      <c r="DY93" s="95"/>
      <c r="DZ93" s="95"/>
      <c r="EA93" s="95"/>
      <c r="EB93" s="95"/>
      <c r="EC93" s="95"/>
      <c r="ED93" s="95"/>
      <c r="EE93" s="95"/>
      <c r="EF93" s="95"/>
      <c r="EG93" s="95"/>
      <c r="EH93" s="95"/>
      <c r="EI93" s="95"/>
      <c r="EJ93" s="95"/>
      <c r="EK93" s="95"/>
      <c r="EL93" s="95"/>
      <c r="EM93" s="95"/>
      <c r="EN93" s="95"/>
      <c r="EO93" s="95"/>
      <c r="EP93" s="95"/>
      <c r="EQ93" s="95"/>
      <c r="ER93" s="95"/>
      <c r="ES93" s="95"/>
      <c r="ET93" s="95"/>
      <c r="EU93" s="95"/>
      <c r="EV93" s="95"/>
      <c r="EW93" s="95"/>
      <c r="EX93" s="95"/>
      <c r="EY93" s="95"/>
      <c r="EZ93" s="95"/>
      <c r="FA93" s="95"/>
      <c r="FB93" s="95"/>
      <c r="FC93" s="95"/>
      <c r="FD93" s="95"/>
      <c r="FE93" s="95"/>
      <c r="FF93" s="95"/>
      <c r="FG93" s="95"/>
      <c r="FH93" s="95"/>
      <c r="FI93" s="95"/>
      <c r="FJ93" s="95"/>
      <c r="FK93" s="95"/>
      <c r="FL93" s="95"/>
      <c r="FM93" s="95"/>
      <c r="FN93" s="95"/>
      <c r="FO93" s="95"/>
      <c r="FP93" s="95"/>
      <c r="FQ93" s="95"/>
      <c r="FR93" s="95"/>
      <c r="FS93" s="95"/>
      <c r="FT93" s="95"/>
      <c r="FU93" s="95"/>
      <c r="FV93" s="95"/>
      <c r="FW93" s="95"/>
      <c r="FX93" s="95"/>
      <c r="FY93" s="95"/>
      <c r="FZ93" s="95"/>
      <c r="GA93" s="95"/>
      <c r="GB93" s="95"/>
      <c r="GC93" s="95"/>
      <c r="GD93" s="95"/>
      <c r="GE93" s="95"/>
      <c r="GF93" s="95"/>
      <c r="GG93" s="95"/>
      <c r="GH93" s="95"/>
      <c r="GI93" s="95"/>
      <c r="GJ93" s="95"/>
      <c r="GK93" s="95"/>
      <c r="GL93" s="95"/>
      <c r="GM93" s="95"/>
      <c r="GN93" s="95"/>
      <c r="GO93" s="95"/>
      <c r="GP93" s="95"/>
      <c r="GQ93" s="95"/>
      <c r="GR93" s="95"/>
      <c r="GS93" s="95"/>
      <c r="GT93" s="95"/>
      <c r="GU93" s="95"/>
      <c r="GV93" s="95"/>
      <c r="GW93" s="95"/>
      <c r="GX93" s="95"/>
      <c r="GY93" s="95"/>
      <c r="GZ93" s="95"/>
      <c r="HA93" s="95"/>
      <c r="HB93" s="95"/>
      <c r="HC93" s="95"/>
      <c r="HD93" s="95"/>
      <c r="HE93" s="95"/>
      <c r="HF93" s="95"/>
      <c r="HG93" s="95"/>
      <c r="HH93" s="95"/>
      <c r="HI93" s="95"/>
      <c r="HJ93" s="95"/>
      <c r="HK93" s="95"/>
      <c r="HL93" s="95"/>
      <c r="HM93" s="95"/>
      <c r="HN93" s="95"/>
      <c r="HO93" s="95"/>
      <c r="HP93" s="95"/>
      <c r="HQ93" s="95"/>
      <c r="HR93" s="95"/>
      <c r="HS93" s="95"/>
      <c r="HT93" s="95"/>
      <c r="HU93" s="95"/>
      <c r="HV93" s="95"/>
      <c r="HW93" s="95"/>
      <c r="HX93" s="95"/>
      <c r="HY93" s="95"/>
      <c r="HZ93" s="95"/>
      <c r="IA93" s="95"/>
      <c r="IB93" s="95"/>
      <c r="IC93" s="95"/>
      <c r="ID93" s="95"/>
      <c r="IE93" s="95"/>
      <c r="IF93" s="95"/>
      <c r="IG93" s="95"/>
      <c r="IH93" s="95"/>
      <c r="II93" s="95"/>
      <c r="IJ93" s="95"/>
      <c r="IK93" s="95"/>
      <c r="IL93" s="95"/>
      <c r="IM93" s="95"/>
      <c r="IN93" s="95"/>
      <c r="IO93" s="95"/>
      <c r="IP93" s="95"/>
      <c r="IQ93" s="95"/>
      <c r="IR93" s="95"/>
      <c r="IS93" s="95"/>
      <c r="IT93" s="95"/>
      <c r="IU93" s="95"/>
      <c r="IV93" s="95"/>
      <c r="IW93" s="95"/>
      <c r="IX93" s="95"/>
      <c r="IY93" s="95"/>
      <c r="IZ93" s="95"/>
      <c r="JA93" s="95"/>
      <c r="JB93" s="95"/>
      <c r="JC93" s="95"/>
      <c r="JD93" s="95"/>
      <c r="JE93" s="95"/>
      <c r="JF93" s="95"/>
      <c r="JG93" s="95"/>
      <c r="JH93" s="95"/>
      <c r="JI93" s="95"/>
      <c r="JJ93" s="95"/>
      <c r="JK93" s="95"/>
      <c r="JL93" s="95"/>
      <c r="JM93" s="95"/>
      <c r="JN93" s="95"/>
      <c r="JO93" s="95"/>
      <c r="JP93" s="95"/>
      <c r="JQ93" s="95"/>
      <c r="JR93" s="95"/>
      <c r="JS93" s="95"/>
      <c r="JT93" s="95"/>
      <c r="JU93" s="95"/>
      <c r="JV93" s="95"/>
      <c r="JW93" s="95"/>
      <c r="JX93" s="95"/>
      <c r="JY93" s="95"/>
      <c r="JZ93" s="95"/>
      <c r="KA93" s="95"/>
      <c r="KB93" s="95"/>
      <c r="KC93" s="95"/>
      <c r="KD93" s="95"/>
      <c r="KE93" s="95"/>
      <c r="KF93" s="95"/>
      <c r="KG93" s="95"/>
      <c r="KH93" s="95"/>
      <c r="KI93" s="95"/>
      <c r="KJ93" s="95"/>
      <c r="KK93" s="95"/>
      <c r="KL93" s="95"/>
      <c r="KM93" s="95"/>
      <c r="KN93" s="95"/>
      <c r="KO93" s="95"/>
      <c r="KP93" s="95"/>
      <c r="KQ93" s="95"/>
      <c r="KR93" s="95"/>
      <c r="KS93" s="95"/>
      <c r="KT93" s="95"/>
      <c r="KU93" s="95"/>
      <c r="KV93" s="95"/>
      <c r="KW93" s="95"/>
      <c r="KX93" s="95"/>
      <c r="KY93" s="95"/>
      <c r="KZ93" s="95"/>
      <c r="LA93" s="95"/>
      <c r="LB93" s="95"/>
      <c r="LC93" s="95"/>
      <c r="LD93" s="95"/>
      <c r="LE93" s="95"/>
      <c r="LF93" s="95"/>
      <c r="LG93" s="95"/>
      <c r="LH93" s="95"/>
      <c r="LI93" s="95"/>
      <c r="LJ93" s="95"/>
      <c r="LK93" s="95"/>
      <c r="LL93" s="95"/>
      <c r="LM93" s="95"/>
      <c r="LN93" s="95"/>
      <c r="LO93" s="95"/>
      <c r="LP93" s="95"/>
      <c r="LQ93" s="95"/>
      <c r="LR93" s="95"/>
      <c r="LS93" s="95"/>
      <c r="LT93" s="95"/>
      <c r="LU93" s="95"/>
      <c r="LV93" s="95"/>
      <c r="LW93" s="95"/>
      <c r="LX93" s="95"/>
      <c r="LY93" s="95"/>
      <c r="LZ93" s="95"/>
      <c r="MA93" s="95"/>
      <c r="MB93" s="95"/>
      <c r="MC93" s="95"/>
      <c r="MD93" s="95"/>
      <c r="ME93" s="95"/>
      <c r="MF93" s="95"/>
      <c r="MG93" s="95"/>
      <c r="MH93" s="95"/>
      <c r="MI93" s="95"/>
      <c r="MJ93" s="95"/>
      <c r="MK93" s="95"/>
      <c r="ML93" s="95"/>
      <c r="MM93" s="95"/>
      <c r="MN93" s="95"/>
      <c r="MO93" s="95"/>
      <c r="MP93" s="95"/>
      <c r="MQ93" s="95"/>
      <c r="MR93" s="95"/>
      <c r="MS93" s="95"/>
      <c r="MT93" s="95"/>
      <c r="MU93" s="95"/>
      <c r="MV93" s="95"/>
      <c r="MW93" s="95"/>
      <c r="MX93" s="95"/>
      <c r="MY93" s="95"/>
      <c r="MZ93" s="95"/>
      <c r="NA93" s="95"/>
      <c r="NB93" s="95"/>
      <c r="NC93" s="95"/>
      <c r="ND93" s="95"/>
      <c r="NE93" s="95"/>
      <c r="NF93" s="95"/>
      <c r="NG93" s="95"/>
      <c r="NH93" s="95"/>
      <c r="NI93" s="95"/>
      <c r="NJ93" s="95"/>
      <c r="NK93" s="95"/>
      <c r="NL93" s="95"/>
      <c r="NM93" s="95"/>
      <c r="NN93" s="95"/>
      <c r="NO93" s="95"/>
      <c r="NP93" s="95"/>
      <c r="NQ93" s="95"/>
      <c r="NR93" s="95"/>
      <c r="NS93" s="95"/>
      <c r="NT93" s="95"/>
      <c r="NU93" s="95"/>
      <c r="NV93" s="95"/>
      <c r="NW93" s="95"/>
      <c r="NX93" s="95"/>
      <c r="NY93" s="95"/>
      <c r="NZ93" s="95"/>
      <c r="OA93" s="95"/>
      <c r="OB93" s="95"/>
      <c r="OC93" s="95"/>
      <c r="OD93" s="95"/>
      <c r="OE93" s="95"/>
      <c r="OF93" s="95"/>
      <c r="OG93" s="95"/>
      <c r="OH93" s="95"/>
      <c r="OI93" s="95"/>
      <c r="OJ93" s="95"/>
      <c r="OK93" s="95"/>
      <c r="OL93" s="95"/>
      <c r="OM93" s="95"/>
      <c r="ON93" s="95"/>
      <c r="OO93" s="95"/>
      <c r="OP93" s="95"/>
      <c r="OQ93" s="95"/>
      <c r="OR93" s="95"/>
      <c r="OS93" s="95"/>
      <c r="OT93" s="95"/>
      <c r="OU93" s="95"/>
      <c r="OV93" s="95"/>
      <c r="OW93" s="95"/>
      <c r="OX93" s="95"/>
      <c r="OY93" s="95"/>
      <c r="OZ93" s="95"/>
      <c r="PA93" s="95"/>
      <c r="PB93" s="95"/>
      <c r="PC93" s="95"/>
      <c r="PD93" s="95"/>
      <c r="PE93" s="95"/>
      <c r="PF93" s="95"/>
      <c r="PG93" s="95"/>
      <c r="PH93" s="95"/>
      <c r="PI93" s="95"/>
      <c r="PJ93" s="95"/>
      <c r="PK93" s="95"/>
      <c r="PL93" s="95"/>
      <c r="PM93" s="95"/>
      <c r="PN93" s="95"/>
      <c r="PO93" s="95"/>
      <c r="PP93" s="95"/>
      <c r="PQ93" s="95"/>
      <c r="PR93" s="95"/>
      <c r="PS93" s="95"/>
      <c r="PT93" s="95"/>
      <c r="PU93" s="95"/>
      <c r="PV93" s="95"/>
      <c r="PW93" s="95"/>
      <c r="PX93" s="95"/>
      <c r="PY93" s="95"/>
      <c r="PZ93" s="95"/>
      <c r="QA93" s="95"/>
      <c r="QB93" s="95"/>
      <c r="QC93" s="95"/>
      <c r="QD93" s="95"/>
      <c r="QE93" s="95"/>
      <c r="QF93" s="95"/>
      <c r="QG93" s="95"/>
      <c r="QH93" s="95"/>
      <c r="QI93" s="95"/>
      <c r="QJ93" s="95"/>
      <c r="QK93" s="95"/>
      <c r="QL93" s="95"/>
      <c r="QM93" s="95"/>
      <c r="QN93" s="95"/>
      <c r="QO93" s="95"/>
      <c r="QP93" s="95"/>
      <c r="QQ93" s="95"/>
      <c r="QR93" s="95"/>
      <c r="QS93" s="95"/>
      <c r="QT93" s="95"/>
      <c r="QU93" s="95"/>
      <c r="QV93" s="95"/>
      <c r="QW93" s="95"/>
      <c r="QX93" s="95"/>
      <c r="QY93" s="95"/>
      <c r="QZ93" s="95"/>
      <c r="RA93" s="95"/>
      <c r="RB93" s="95"/>
      <c r="RC93" s="95"/>
      <c r="RD93" s="95"/>
      <c r="RE93" s="95"/>
      <c r="RF93" s="95"/>
      <c r="RG93" s="95"/>
      <c r="RH93" s="95"/>
      <c r="RI93" s="95"/>
      <c r="RJ93" s="95"/>
      <c r="RK93" s="95"/>
      <c r="RL93" s="95"/>
      <c r="RM93" s="95"/>
      <c r="RN93" s="95"/>
      <c r="RO93" s="95"/>
      <c r="RP93" s="95"/>
      <c r="RQ93" s="95"/>
      <c r="RR93" s="95"/>
      <c r="RS93" s="95"/>
      <c r="RT93" s="95"/>
      <c r="RU93" s="95"/>
      <c r="RV93" s="95"/>
      <c r="RW93" s="95"/>
      <c r="RX93" s="95"/>
      <c r="RY93" s="95"/>
      <c r="RZ93" s="95"/>
      <c r="SA93" s="95"/>
      <c r="SB93" s="95"/>
      <c r="SC93" s="95"/>
      <c r="SD93" s="95"/>
      <c r="SE93" s="95"/>
      <c r="SF93" s="95"/>
      <c r="SG93" s="95"/>
      <c r="SH93" s="95"/>
      <c r="SI93" s="95"/>
      <c r="SJ93" s="95"/>
      <c r="SK93" s="95"/>
      <c r="SL93" s="95"/>
      <c r="SM93" s="95"/>
      <c r="SN93" s="95"/>
      <c r="SO93" s="95"/>
      <c r="SP93" s="95"/>
      <c r="SQ93" s="95"/>
      <c r="SR93" s="95"/>
      <c r="SS93" s="95"/>
      <c r="ST93" s="95"/>
      <c r="SU93" s="95"/>
      <c r="SV93" s="95"/>
      <c r="SW93" s="95"/>
      <c r="SX93" s="95"/>
      <c r="SY93" s="95"/>
      <c r="SZ93" s="95"/>
      <c r="TA93" s="95"/>
      <c r="TB93" s="95"/>
      <c r="TC93" s="95"/>
      <c r="TD93" s="95"/>
      <c r="TE93" s="95"/>
      <c r="TF93" s="95"/>
      <c r="TG93" s="95"/>
      <c r="TH93" s="95"/>
      <c r="TI93" s="95"/>
      <c r="TJ93" s="95"/>
      <c r="TK93" s="95"/>
      <c r="TL93" s="95"/>
      <c r="TM93" s="95"/>
      <c r="TN93" s="95"/>
      <c r="TO93" s="95"/>
      <c r="TP93" s="95"/>
      <c r="TQ93" s="95"/>
      <c r="TR93" s="95"/>
      <c r="TS93" s="95"/>
      <c r="TT93" s="95"/>
      <c r="TU93" s="95"/>
      <c r="TV93" s="95"/>
      <c r="TW93" s="95"/>
      <c r="TX93" s="95"/>
      <c r="TY93" s="95"/>
      <c r="TZ93" s="95"/>
      <c r="UA93" s="95"/>
      <c r="UB93" s="95"/>
      <c r="UC93" s="95"/>
      <c r="UD93" s="95"/>
      <c r="UE93" s="95"/>
      <c r="UF93" s="95"/>
      <c r="UG93" s="95"/>
      <c r="UH93" s="95"/>
      <c r="UI93" s="95"/>
      <c r="UJ93" s="95"/>
      <c r="UK93" s="95"/>
      <c r="UL93" s="95"/>
      <c r="UM93" s="95"/>
      <c r="UN93" s="95"/>
      <c r="UO93" s="95"/>
      <c r="UP93" s="95"/>
      <c r="UQ93" s="95"/>
      <c r="UR93" s="95"/>
      <c r="US93" s="95"/>
      <c r="UT93" s="95"/>
      <c r="UU93" s="95"/>
      <c r="UV93" s="95"/>
      <c r="UW93" s="95"/>
      <c r="UX93" s="95"/>
      <c r="UY93" s="95"/>
      <c r="UZ93" s="95"/>
      <c r="VA93" s="95"/>
      <c r="VB93" s="95"/>
      <c r="VC93" s="95"/>
      <c r="VD93" s="95"/>
      <c r="VE93" s="95"/>
      <c r="VF93" s="95"/>
      <c r="VG93" s="95"/>
      <c r="VH93" s="95"/>
      <c r="VI93" s="95"/>
      <c r="VJ93" s="95"/>
      <c r="VK93" s="95"/>
      <c r="VL93" s="95"/>
      <c r="VM93" s="95"/>
      <c r="VN93" s="95"/>
      <c r="VO93" s="95"/>
      <c r="VP93" s="95"/>
      <c r="VQ93" s="95"/>
      <c r="VR93" s="95"/>
      <c r="VS93" s="95"/>
      <c r="VT93" s="95"/>
      <c r="VU93" s="95"/>
      <c r="VV93" s="95"/>
      <c r="VW93" s="95"/>
      <c r="VX93" s="95"/>
      <c r="VY93" s="95"/>
      <c r="VZ93" s="95"/>
      <c r="WA93" s="95"/>
      <c r="WB93" s="95"/>
      <c r="WC93" s="95"/>
      <c r="WD93" s="95"/>
      <c r="WE93" s="95"/>
      <c r="WF93" s="95"/>
      <c r="WG93" s="95"/>
      <c r="WH93" s="95"/>
      <c r="WI93" s="95"/>
      <c r="WJ93" s="95"/>
      <c r="WK93" s="95"/>
      <c r="WL93" s="95"/>
      <c r="WM93" s="95"/>
      <c r="WN93" s="95"/>
      <c r="WO93" s="95"/>
      <c r="WP93" s="95"/>
      <c r="WQ93" s="95"/>
      <c r="WR93" s="95"/>
      <c r="WS93" s="95"/>
      <c r="WT93" s="95"/>
      <c r="WU93" s="95"/>
      <c r="WV93" s="95"/>
      <c r="WW93" s="95"/>
      <c r="WX93" s="95"/>
      <c r="WY93" s="95"/>
      <c r="WZ93" s="95"/>
      <c r="XA93" s="95"/>
      <c r="XB93" s="95"/>
      <c r="XC93" s="95"/>
      <c r="XD93" s="95"/>
      <c r="XE93" s="95"/>
      <c r="XF93" s="95"/>
      <c r="XG93" s="95"/>
      <c r="XH93" s="95"/>
      <c r="XI93" s="95"/>
      <c r="XJ93" s="95"/>
      <c r="XK93" s="95"/>
      <c r="XL93" s="95"/>
      <c r="XM93" s="95"/>
      <c r="XN93" s="95"/>
      <c r="XO93" s="95"/>
      <c r="XP93" s="95"/>
      <c r="XQ93" s="95"/>
      <c r="XR93" s="95"/>
      <c r="XS93" s="95"/>
      <c r="XT93" s="95"/>
      <c r="XU93" s="95"/>
      <c r="XV93" s="95"/>
      <c r="XW93" s="95"/>
      <c r="XX93" s="95"/>
      <c r="XY93" s="95"/>
      <c r="XZ93" s="95"/>
      <c r="YA93" s="95"/>
      <c r="YB93" s="95"/>
      <c r="YC93" s="95"/>
      <c r="YD93" s="95"/>
      <c r="YE93" s="95"/>
      <c r="YF93" s="95"/>
      <c r="YG93" s="95"/>
      <c r="YH93" s="95"/>
      <c r="YI93" s="95"/>
      <c r="YJ93" s="95"/>
      <c r="YK93" s="95"/>
      <c r="YL93" s="95"/>
      <c r="YM93" s="95"/>
      <c r="YN93" s="95"/>
      <c r="YO93" s="95"/>
      <c r="YP93" s="95"/>
      <c r="YQ93" s="95"/>
      <c r="YR93" s="95"/>
      <c r="YS93" s="95"/>
      <c r="YT93" s="95"/>
      <c r="YU93" s="95"/>
      <c r="YV93" s="95"/>
      <c r="YW93" s="95"/>
      <c r="YX93" s="95"/>
      <c r="YY93" s="95"/>
      <c r="YZ93" s="95"/>
      <c r="ZA93" s="95"/>
      <c r="ZB93" s="95"/>
      <c r="ZC93" s="95"/>
      <c r="ZD93" s="95"/>
      <c r="ZE93" s="95"/>
      <c r="ZF93" s="95"/>
      <c r="ZG93" s="95"/>
      <c r="ZH93" s="95"/>
      <c r="ZI93" s="95"/>
      <c r="ZJ93" s="95"/>
      <c r="ZK93" s="95"/>
      <c r="ZL93" s="95"/>
      <c r="ZM93" s="95"/>
      <c r="ZN93" s="95"/>
      <c r="ZO93" s="95"/>
      <c r="ZP93" s="95"/>
      <c r="ZQ93" s="95"/>
      <c r="ZR93" s="95"/>
      <c r="ZS93" s="95"/>
      <c r="ZT93" s="95"/>
      <c r="ZU93" s="95"/>
      <c r="ZV93" s="95"/>
      <c r="ZW93" s="95"/>
      <c r="ZX93" s="95"/>
      <c r="ZY93" s="95"/>
      <c r="ZZ93" s="95"/>
      <c r="AAA93" s="95"/>
      <c r="AAB93" s="95"/>
      <c r="AAC93" s="95"/>
      <c r="AAD93" s="95"/>
      <c r="AAE93" s="95"/>
      <c r="AAF93" s="95"/>
      <c r="AAG93" s="95"/>
      <c r="AAH93" s="95"/>
      <c r="AAI93" s="95"/>
      <c r="AAJ93" s="95"/>
      <c r="AAK93" s="95"/>
      <c r="AAL93" s="95"/>
      <c r="AAM93" s="95"/>
      <c r="AAN93" s="95"/>
      <c r="AAO93" s="95"/>
      <c r="AAP93" s="95"/>
      <c r="AAQ93" s="95"/>
      <c r="AAR93" s="95"/>
      <c r="AAS93" s="95"/>
      <c r="AAT93" s="95"/>
      <c r="AAU93" s="95"/>
      <c r="AAV93" s="95"/>
      <c r="AAW93" s="95"/>
      <c r="AAX93" s="95"/>
      <c r="AAY93" s="95"/>
      <c r="AAZ93" s="95"/>
      <c r="ABA93" s="95"/>
      <c r="ABB93" s="95"/>
      <c r="ABC93" s="95"/>
      <c r="ABD93" s="95"/>
      <c r="ABE93" s="95"/>
      <c r="ABF93" s="95"/>
      <c r="ABG93" s="95"/>
      <c r="ABH93" s="95"/>
      <c r="ABI93" s="95"/>
      <c r="ABJ93" s="95"/>
      <c r="ABK93" s="95"/>
      <c r="ABL93" s="95"/>
      <c r="ABM93" s="95"/>
      <c r="ABN93" s="95"/>
      <c r="ABO93" s="95"/>
      <c r="ABP93" s="95"/>
      <c r="ABQ93" s="95"/>
      <c r="ABR93" s="95"/>
      <c r="ABS93" s="95"/>
      <c r="ABT93" s="95"/>
      <c r="ABU93" s="95"/>
      <c r="ABV93" s="95"/>
      <c r="ABW93" s="95"/>
      <c r="ABX93" s="95"/>
      <c r="ABY93" s="95"/>
      <c r="ABZ93" s="95"/>
      <c r="ACA93" s="95"/>
      <c r="ACB93" s="95"/>
      <c r="ACC93" s="95"/>
      <c r="ACD93" s="95"/>
      <c r="ACE93" s="95"/>
      <c r="ACF93" s="95"/>
      <c r="ACG93" s="95"/>
      <c r="ACH93" s="95"/>
      <c r="ACI93" s="95"/>
      <c r="ACJ93" s="95"/>
      <c r="ACK93" s="95"/>
      <c r="ACL93" s="95"/>
      <c r="ACM93" s="95"/>
      <c r="ACN93" s="95"/>
      <c r="ACO93" s="95"/>
      <c r="ACP93" s="95"/>
      <c r="ACQ93" s="95"/>
      <c r="ACR93" s="95"/>
      <c r="ACS93" s="95"/>
      <c r="ACT93" s="95"/>
      <c r="ACU93" s="95"/>
      <c r="ACV93" s="95"/>
      <c r="ACW93" s="95"/>
      <c r="ACX93" s="95"/>
      <c r="ACY93" s="95"/>
      <c r="ACZ93" s="95"/>
      <c r="ADA93" s="95"/>
      <c r="ADB93" s="95"/>
      <c r="ADC93" s="95"/>
      <c r="ADD93" s="95"/>
      <c r="ADE93" s="95"/>
      <c r="ADF93" s="95"/>
      <c r="ADG93" s="95"/>
      <c r="ADH93" s="95"/>
      <c r="ADI93" s="95"/>
      <c r="ADJ93" s="95"/>
      <c r="ADK93" s="95"/>
      <c r="ADL93" s="95"/>
      <c r="ADM93" s="95"/>
      <c r="ADN93" s="95"/>
      <c r="ADO93" s="95"/>
      <c r="ADP93" s="95"/>
      <c r="ADQ93" s="95"/>
      <c r="ADR93" s="95"/>
      <c r="ADS93" s="95"/>
      <c r="ADT93" s="95"/>
      <c r="ADU93" s="95"/>
      <c r="ADV93" s="95"/>
      <c r="ADW93" s="95"/>
      <c r="ADX93" s="95"/>
      <c r="ADY93" s="95"/>
      <c r="ADZ93" s="95"/>
      <c r="AEA93" s="95"/>
      <c r="AEB93" s="95"/>
      <c r="AEC93" s="95"/>
      <c r="AED93" s="95"/>
      <c r="AEE93" s="95"/>
      <c r="AEF93" s="95"/>
      <c r="AEG93" s="95"/>
      <c r="AEH93" s="95"/>
      <c r="AEI93" s="95"/>
      <c r="AEJ93" s="95"/>
      <c r="AEK93" s="95"/>
      <c r="AEL93" s="95"/>
      <c r="AEM93" s="95"/>
      <c r="AEN93" s="95"/>
      <c r="AEO93" s="95"/>
      <c r="AEP93" s="95"/>
      <c r="AEQ93" s="95"/>
      <c r="AER93" s="95"/>
      <c r="AES93" s="95"/>
      <c r="AET93" s="95"/>
      <c r="AEU93" s="95"/>
      <c r="AEV93" s="95"/>
      <c r="AEW93" s="95"/>
      <c r="AEX93" s="95"/>
      <c r="AEY93" s="95"/>
      <c r="AEZ93" s="95"/>
      <c r="AFA93" s="95"/>
      <c r="AFB93" s="95"/>
      <c r="AFC93" s="95"/>
      <c r="AFD93" s="95"/>
      <c r="AFE93" s="95"/>
      <c r="AFF93" s="95"/>
      <c r="AFG93" s="95"/>
      <c r="AFH93" s="95"/>
      <c r="AFI93" s="95"/>
      <c r="AFJ93" s="95"/>
      <c r="AFK93" s="95"/>
      <c r="AFL93" s="95"/>
      <c r="AFM93" s="95"/>
      <c r="AFN93" s="95"/>
      <c r="AFO93" s="95"/>
      <c r="AFP93" s="95"/>
      <c r="AFQ93" s="95"/>
      <c r="AFR93" s="95"/>
      <c r="AFS93" s="95"/>
      <c r="AFT93" s="95"/>
      <c r="AFU93" s="95"/>
      <c r="AFV93" s="95"/>
      <c r="AFW93" s="95"/>
      <c r="AFX93" s="95"/>
      <c r="AFY93" s="95"/>
      <c r="AFZ93" s="95"/>
      <c r="AGA93" s="95"/>
      <c r="AGB93" s="95"/>
      <c r="AGC93" s="95"/>
      <c r="AGD93" s="95"/>
      <c r="AGE93" s="95"/>
      <c r="AGF93" s="95"/>
      <c r="AGG93" s="95"/>
      <c r="AGH93" s="95"/>
      <c r="AGI93" s="95"/>
      <c r="AGJ93" s="95"/>
      <c r="AGK93" s="95"/>
      <c r="AGL93" s="95"/>
      <c r="AGM93" s="95"/>
      <c r="AGN93" s="95"/>
      <c r="AGO93" s="95"/>
      <c r="AGP93" s="95"/>
      <c r="AGQ93" s="95"/>
      <c r="AGR93" s="95"/>
      <c r="AGS93" s="95"/>
      <c r="AGT93" s="95"/>
      <c r="AGU93" s="95"/>
      <c r="AGV93" s="95"/>
      <c r="AGW93" s="95"/>
      <c r="AGX93" s="95"/>
      <c r="AGY93" s="95"/>
      <c r="AGZ93" s="95"/>
      <c r="AHA93" s="95"/>
      <c r="AHB93" s="95"/>
      <c r="AHC93" s="95"/>
    </row>
    <row r="94" spans="1:887" s="73" customFormat="1" ht="20.100000000000001" customHeight="1">
      <c r="A94" s="191" t="str">
        <f>VLOOKUP(C94,'BASE DE DADOS'!A:B,2,FALSE)</f>
        <v>PEOPLE INATIVOS</v>
      </c>
      <c r="B94" s="90" t="s">
        <v>1723</v>
      </c>
      <c r="C94" s="191" t="s">
        <v>1724</v>
      </c>
      <c r="D94" s="75"/>
      <c r="E94" s="98">
        <v>148600.07999999999</v>
      </c>
      <c r="F94" s="103"/>
      <c r="G94" s="119"/>
      <c r="H94" s="193"/>
      <c r="I94" s="193"/>
      <c r="J94" s="193"/>
      <c r="K94" s="193"/>
      <c r="L94" s="193"/>
      <c r="M94" s="193"/>
      <c r="N94" s="193"/>
      <c r="O94" s="202">
        <v>45772</v>
      </c>
      <c r="P94" s="145" t="s">
        <v>2967</v>
      </c>
      <c r="Q94" s="226" t="s">
        <v>2968</v>
      </c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5"/>
      <c r="BP94" s="95"/>
      <c r="BQ94" s="95"/>
      <c r="BR94" s="95"/>
      <c r="BS94" s="95"/>
      <c r="BT94" s="95"/>
      <c r="BU94" s="95"/>
      <c r="BV94" s="95"/>
      <c r="BW94" s="95"/>
      <c r="BX94" s="95"/>
      <c r="BY94" s="95"/>
      <c r="BZ94" s="95"/>
      <c r="CA94" s="95"/>
      <c r="CB94" s="95"/>
      <c r="CC94" s="95"/>
      <c r="CD94" s="95"/>
      <c r="CE94" s="95"/>
      <c r="CF94" s="95"/>
      <c r="CG94" s="95"/>
      <c r="CH94" s="95"/>
      <c r="CI94" s="95"/>
      <c r="CJ94" s="95"/>
      <c r="CK94" s="95"/>
      <c r="CL94" s="95"/>
      <c r="CM94" s="95"/>
      <c r="CN94" s="95"/>
      <c r="CO94" s="95"/>
      <c r="CP94" s="95"/>
      <c r="CQ94" s="95"/>
      <c r="CR94" s="95"/>
      <c r="CS94" s="95"/>
      <c r="CT94" s="95"/>
      <c r="CU94" s="95"/>
      <c r="CV94" s="95"/>
      <c r="CW94" s="95"/>
      <c r="CX94" s="95"/>
      <c r="CY94" s="95"/>
      <c r="CZ94" s="95"/>
      <c r="DA94" s="95"/>
      <c r="DB94" s="95"/>
      <c r="DC94" s="95"/>
      <c r="DD94" s="95"/>
      <c r="DE94" s="95"/>
      <c r="DF94" s="95"/>
      <c r="DG94" s="95"/>
      <c r="DH94" s="95"/>
      <c r="DI94" s="95"/>
      <c r="DJ94" s="95"/>
      <c r="DK94" s="95"/>
      <c r="DL94" s="95"/>
      <c r="DM94" s="95"/>
      <c r="DN94" s="95"/>
      <c r="DO94" s="95"/>
      <c r="DP94" s="95"/>
      <c r="DQ94" s="95"/>
      <c r="DR94" s="95"/>
      <c r="DS94" s="95"/>
      <c r="DT94" s="95"/>
      <c r="DU94" s="95"/>
      <c r="DV94" s="95"/>
      <c r="DW94" s="95"/>
      <c r="DX94" s="95"/>
      <c r="DY94" s="95"/>
      <c r="DZ94" s="95"/>
      <c r="EA94" s="95"/>
      <c r="EB94" s="95"/>
      <c r="EC94" s="95"/>
      <c r="ED94" s="95"/>
      <c r="EE94" s="95"/>
      <c r="EF94" s="95"/>
      <c r="EG94" s="95"/>
      <c r="EH94" s="95"/>
      <c r="EI94" s="95"/>
      <c r="EJ94" s="95"/>
      <c r="EK94" s="95"/>
      <c r="EL94" s="95"/>
      <c r="EM94" s="95"/>
      <c r="EN94" s="95"/>
      <c r="EO94" s="95"/>
      <c r="EP94" s="95"/>
      <c r="EQ94" s="95"/>
      <c r="ER94" s="95"/>
      <c r="ES94" s="95"/>
      <c r="ET94" s="95"/>
      <c r="EU94" s="95"/>
      <c r="EV94" s="95"/>
      <c r="EW94" s="95"/>
      <c r="EX94" s="95"/>
      <c r="EY94" s="95"/>
      <c r="EZ94" s="95"/>
      <c r="FA94" s="95"/>
      <c r="FB94" s="95"/>
      <c r="FC94" s="95"/>
      <c r="FD94" s="95"/>
      <c r="FE94" s="95"/>
      <c r="FF94" s="95"/>
      <c r="FG94" s="95"/>
      <c r="FH94" s="95"/>
      <c r="FI94" s="95"/>
      <c r="FJ94" s="95"/>
      <c r="FK94" s="95"/>
      <c r="FL94" s="95"/>
      <c r="FM94" s="95"/>
      <c r="FN94" s="95"/>
      <c r="FO94" s="95"/>
      <c r="FP94" s="95"/>
      <c r="FQ94" s="95"/>
      <c r="FR94" s="95"/>
      <c r="FS94" s="95"/>
      <c r="FT94" s="95"/>
      <c r="FU94" s="95"/>
      <c r="FV94" s="95"/>
      <c r="FW94" s="95"/>
      <c r="FX94" s="95"/>
      <c r="FY94" s="95"/>
      <c r="FZ94" s="95"/>
      <c r="GA94" s="95"/>
      <c r="GB94" s="95"/>
      <c r="GC94" s="95"/>
      <c r="GD94" s="95"/>
      <c r="GE94" s="95"/>
      <c r="GF94" s="95"/>
      <c r="GG94" s="95"/>
      <c r="GH94" s="95"/>
      <c r="GI94" s="95"/>
      <c r="GJ94" s="95"/>
      <c r="GK94" s="95"/>
      <c r="GL94" s="95"/>
      <c r="GM94" s="95"/>
      <c r="GN94" s="95"/>
      <c r="GO94" s="95"/>
      <c r="GP94" s="95"/>
      <c r="GQ94" s="95"/>
      <c r="GR94" s="95"/>
      <c r="GS94" s="95"/>
      <c r="GT94" s="95"/>
      <c r="GU94" s="95"/>
      <c r="GV94" s="95"/>
      <c r="GW94" s="95"/>
      <c r="GX94" s="95"/>
      <c r="GY94" s="95"/>
      <c r="GZ94" s="95"/>
      <c r="HA94" s="95"/>
      <c r="HB94" s="95"/>
      <c r="HC94" s="95"/>
      <c r="HD94" s="95"/>
      <c r="HE94" s="95"/>
      <c r="HF94" s="95"/>
      <c r="HG94" s="95"/>
      <c r="HH94" s="95"/>
      <c r="HI94" s="95"/>
      <c r="HJ94" s="95"/>
      <c r="HK94" s="95"/>
      <c r="HL94" s="95"/>
      <c r="HM94" s="95"/>
      <c r="HN94" s="95"/>
      <c r="HO94" s="95"/>
      <c r="HP94" s="95"/>
      <c r="HQ94" s="95"/>
      <c r="HR94" s="95"/>
      <c r="HS94" s="95"/>
      <c r="HT94" s="95"/>
      <c r="HU94" s="95"/>
      <c r="HV94" s="95"/>
      <c r="HW94" s="95"/>
      <c r="HX94" s="95"/>
      <c r="HY94" s="95"/>
      <c r="HZ94" s="95"/>
      <c r="IA94" s="95"/>
      <c r="IB94" s="95"/>
      <c r="IC94" s="95"/>
      <c r="ID94" s="95"/>
      <c r="IE94" s="95"/>
      <c r="IF94" s="95"/>
      <c r="IG94" s="95"/>
      <c r="IH94" s="95"/>
      <c r="II94" s="95"/>
      <c r="IJ94" s="95"/>
      <c r="IK94" s="95"/>
      <c r="IL94" s="95"/>
      <c r="IM94" s="95"/>
      <c r="IN94" s="95"/>
      <c r="IO94" s="95"/>
      <c r="IP94" s="95"/>
      <c r="IQ94" s="95"/>
      <c r="IR94" s="95"/>
      <c r="IS94" s="95"/>
      <c r="IT94" s="95"/>
      <c r="IU94" s="95"/>
      <c r="IV94" s="95"/>
      <c r="IW94" s="95"/>
      <c r="IX94" s="95"/>
      <c r="IY94" s="95"/>
      <c r="IZ94" s="95"/>
      <c r="JA94" s="95"/>
      <c r="JB94" s="95"/>
      <c r="JC94" s="95"/>
      <c r="JD94" s="95"/>
      <c r="JE94" s="95"/>
      <c r="JF94" s="95"/>
      <c r="JG94" s="95"/>
      <c r="JH94" s="95"/>
      <c r="JI94" s="95"/>
      <c r="JJ94" s="95"/>
      <c r="JK94" s="95"/>
      <c r="JL94" s="95"/>
      <c r="JM94" s="95"/>
      <c r="JN94" s="95"/>
      <c r="JO94" s="95"/>
      <c r="JP94" s="95"/>
      <c r="JQ94" s="95"/>
      <c r="JR94" s="95"/>
      <c r="JS94" s="95"/>
      <c r="JT94" s="95"/>
      <c r="JU94" s="95"/>
      <c r="JV94" s="95"/>
      <c r="JW94" s="95"/>
      <c r="JX94" s="95"/>
      <c r="JY94" s="95"/>
      <c r="JZ94" s="95"/>
      <c r="KA94" s="95"/>
      <c r="KB94" s="95"/>
      <c r="KC94" s="95"/>
      <c r="KD94" s="95"/>
      <c r="KE94" s="95"/>
      <c r="KF94" s="95"/>
      <c r="KG94" s="95"/>
      <c r="KH94" s="95"/>
      <c r="KI94" s="95"/>
      <c r="KJ94" s="95"/>
      <c r="KK94" s="95"/>
      <c r="KL94" s="95"/>
      <c r="KM94" s="95"/>
      <c r="KN94" s="95"/>
      <c r="KO94" s="95"/>
      <c r="KP94" s="95"/>
      <c r="KQ94" s="95"/>
      <c r="KR94" s="95"/>
      <c r="KS94" s="95"/>
      <c r="KT94" s="95"/>
      <c r="KU94" s="95"/>
      <c r="KV94" s="95"/>
      <c r="KW94" s="95"/>
      <c r="KX94" s="95"/>
      <c r="KY94" s="95"/>
      <c r="KZ94" s="95"/>
      <c r="LA94" s="95"/>
      <c r="LB94" s="95"/>
      <c r="LC94" s="95"/>
      <c r="LD94" s="95"/>
      <c r="LE94" s="95"/>
      <c r="LF94" s="95"/>
      <c r="LG94" s="95"/>
      <c r="LH94" s="95"/>
      <c r="LI94" s="95"/>
      <c r="LJ94" s="95"/>
      <c r="LK94" s="95"/>
      <c r="LL94" s="95"/>
      <c r="LM94" s="95"/>
      <c r="LN94" s="95"/>
      <c r="LO94" s="95"/>
      <c r="LP94" s="95"/>
      <c r="LQ94" s="95"/>
      <c r="LR94" s="95"/>
      <c r="LS94" s="95"/>
      <c r="LT94" s="95"/>
      <c r="LU94" s="95"/>
      <c r="LV94" s="95"/>
      <c r="LW94" s="95"/>
      <c r="LX94" s="95"/>
      <c r="LY94" s="95"/>
      <c r="LZ94" s="95"/>
      <c r="MA94" s="95"/>
      <c r="MB94" s="95"/>
      <c r="MC94" s="95"/>
      <c r="MD94" s="95"/>
      <c r="ME94" s="95"/>
      <c r="MF94" s="95"/>
      <c r="MG94" s="95"/>
      <c r="MH94" s="95"/>
      <c r="MI94" s="95"/>
      <c r="MJ94" s="95"/>
      <c r="MK94" s="95"/>
      <c r="ML94" s="95"/>
      <c r="MM94" s="95"/>
      <c r="MN94" s="95"/>
      <c r="MO94" s="95"/>
      <c r="MP94" s="95"/>
      <c r="MQ94" s="95"/>
      <c r="MR94" s="95"/>
      <c r="MS94" s="95"/>
      <c r="MT94" s="95"/>
      <c r="MU94" s="95"/>
      <c r="MV94" s="95"/>
      <c r="MW94" s="95"/>
      <c r="MX94" s="95"/>
      <c r="MY94" s="95"/>
      <c r="MZ94" s="95"/>
      <c r="NA94" s="95"/>
      <c r="NB94" s="95"/>
      <c r="NC94" s="95"/>
      <c r="ND94" s="95"/>
      <c r="NE94" s="95"/>
      <c r="NF94" s="95"/>
      <c r="NG94" s="95"/>
      <c r="NH94" s="95"/>
      <c r="NI94" s="95"/>
      <c r="NJ94" s="95"/>
      <c r="NK94" s="95"/>
      <c r="NL94" s="95"/>
      <c r="NM94" s="95"/>
      <c r="NN94" s="95"/>
      <c r="NO94" s="95"/>
      <c r="NP94" s="95"/>
      <c r="NQ94" s="95"/>
      <c r="NR94" s="95"/>
      <c r="NS94" s="95"/>
      <c r="NT94" s="95"/>
      <c r="NU94" s="95"/>
      <c r="NV94" s="95"/>
      <c r="NW94" s="95"/>
      <c r="NX94" s="95"/>
      <c r="NY94" s="95"/>
      <c r="NZ94" s="95"/>
      <c r="OA94" s="95"/>
      <c r="OB94" s="95"/>
      <c r="OC94" s="95"/>
      <c r="OD94" s="95"/>
      <c r="OE94" s="95"/>
      <c r="OF94" s="95"/>
      <c r="OG94" s="95"/>
      <c r="OH94" s="95"/>
      <c r="OI94" s="95"/>
      <c r="OJ94" s="95"/>
      <c r="OK94" s="95"/>
      <c r="OL94" s="95"/>
      <c r="OM94" s="95"/>
      <c r="ON94" s="95"/>
      <c r="OO94" s="95"/>
      <c r="OP94" s="95"/>
      <c r="OQ94" s="95"/>
      <c r="OR94" s="95"/>
      <c r="OS94" s="95"/>
      <c r="OT94" s="95"/>
      <c r="OU94" s="95"/>
      <c r="OV94" s="95"/>
      <c r="OW94" s="95"/>
      <c r="OX94" s="95"/>
      <c r="OY94" s="95"/>
      <c r="OZ94" s="95"/>
      <c r="PA94" s="95"/>
      <c r="PB94" s="95"/>
      <c r="PC94" s="95"/>
      <c r="PD94" s="95"/>
      <c r="PE94" s="95"/>
      <c r="PF94" s="95"/>
      <c r="PG94" s="95"/>
      <c r="PH94" s="95"/>
      <c r="PI94" s="95"/>
      <c r="PJ94" s="95"/>
      <c r="PK94" s="95"/>
      <c r="PL94" s="95"/>
      <c r="PM94" s="95"/>
      <c r="PN94" s="95"/>
      <c r="PO94" s="95"/>
      <c r="PP94" s="95"/>
      <c r="PQ94" s="95"/>
      <c r="PR94" s="95"/>
      <c r="PS94" s="95"/>
      <c r="PT94" s="95"/>
      <c r="PU94" s="95"/>
      <c r="PV94" s="95"/>
      <c r="PW94" s="95"/>
      <c r="PX94" s="95"/>
      <c r="PY94" s="95"/>
      <c r="PZ94" s="95"/>
      <c r="QA94" s="95"/>
      <c r="QB94" s="95"/>
      <c r="QC94" s="95"/>
      <c r="QD94" s="95"/>
      <c r="QE94" s="95"/>
      <c r="QF94" s="95"/>
      <c r="QG94" s="95"/>
      <c r="QH94" s="95"/>
      <c r="QI94" s="95"/>
      <c r="QJ94" s="95"/>
      <c r="QK94" s="95"/>
      <c r="QL94" s="95"/>
      <c r="QM94" s="95"/>
      <c r="QN94" s="95"/>
      <c r="QO94" s="95"/>
      <c r="QP94" s="95"/>
      <c r="QQ94" s="95"/>
      <c r="QR94" s="95"/>
      <c r="QS94" s="95"/>
      <c r="QT94" s="95"/>
      <c r="QU94" s="95"/>
      <c r="QV94" s="95"/>
      <c r="QW94" s="95"/>
      <c r="QX94" s="95"/>
      <c r="QY94" s="95"/>
      <c r="QZ94" s="95"/>
      <c r="RA94" s="95"/>
      <c r="RB94" s="95"/>
      <c r="RC94" s="95"/>
      <c r="RD94" s="95"/>
      <c r="RE94" s="95"/>
      <c r="RF94" s="95"/>
      <c r="RG94" s="95"/>
      <c r="RH94" s="95"/>
      <c r="RI94" s="95"/>
      <c r="RJ94" s="95"/>
      <c r="RK94" s="95"/>
      <c r="RL94" s="95"/>
      <c r="RM94" s="95"/>
      <c r="RN94" s="95"/>
      <c r="RO94" s="95"/>
      <c r="RP94" s="95"/>
      <c r="RQ94" s="95"/>
      <c r="RR94" s="95"/>
      <c r="RS94" s="95"/>
      <c r="RT94" s="95"/>
      <c r="RU94" s="95"/>
      <c r="RV94" s="95"/>
      <c r="RW94" s="95"/>
      <c r="RX94" s="95"/>
      <c r="RY94" s="95"/>
      <c r="RZ94" s="95"/>
      <c r="SA94" s="95"/>
      <c r="SB94" s="95"/>
      <c r="SC94" s="95"/>
      <c r="SD94" s="95"/>
      <c r="SE94" s="95"/>
      <c r="SF94" s="95"/>
      <c r="SG94" s="95"/>
      <c r="SH94" s="95"/>
      <c r="SI94" s="95"/>
      <c r="SJ94" s="95"/>
      <c r="SK94" s="95"/>
      <c r="SL94" s="95"/>
      <c r="SM94" s="95"/>
      <c r="SN94" s="95"/>
      <c r="SO94" s="95"/>
      <c r="SP94" s="95"/>
      <c r="SQ94" s="95"/>
      <c r="SR94" s="95"/>
      <c r="SS94" s="95"/>
      <c r="ST94" s="95"/>
      <c r="SU94" s="95"/>
      <c r="SV94" s="95"/>
      <c r="SW94" s="95"/>
      <c r="SX94" s="95"/>
      <c r="SY94" s="95"/>
      <c r="SZ94" s="95"/>
      <c r="TA94" s="95"/>
      <c r="TB94" s="95"/>
      <c r="TC94" s="95"/>
      <c r="TD94" s="95"/>
      <c r="TE94" s="95"/>
      <c r="TF94" s="95"/>
      <c r="TG94" s="95"/>
      <c r="TH94" s="95"/>
      <c r="TI94" s="95"/>
      <c r="TJ94" s="95"/>
      <c r="TK94" s="95"/>
      <c r="TL94" s="95"/>
      <c r="TM94" s="95"/>
      <c r="TN94" s="95"/>
      <c r="TO94" s="95"/>
      <c r="TP94" s="95"/>
      <c r="TQ94" s="95"/>
      <c r="TR94" s="95"/>
      <c r="TS94" s="95"/>
      <c r="TT94" s="95"/>
      <c r="TU94" s="95"/>
      <c r="TV94" s="95"/>
      <c r="TW94" s="95"/>
      <c r="TX94" s="95"/>
      <c r="TY94" s="95"/>
      <c r="TZ94" s="95"/>
      <c r="UA94" s="95"/>
      <c r="UB94" s="95"/>
      <c r="UC94" s="95"/>
      <c r="UD94" s="95"/>
      <c r="UE94" s="95"/>
      <c r="UF94" s="95"/>
      <c r="UG94" s="95"/>
      <c r="UH94" s="95"/>
      <c r="UI94" s="95"/>
      <c r="UJ94" s="95"/>
      <c r="UK94" s="95"/>
      <c r="UL94" s="95"/>
      <c r="UM94" s="95"/>
      <c r="UN94" s="95"/>
      <c r="UO94" s="95"/>
      <c r="UP94" s="95"/>
      <c r="UQ94" s="95"/>
      <c r="UR94" s="95"/>
      <c r="US94" s="95"/>
      <c r="UT94" s="95"/>
      <c r="UU94" s="95"/>
      <c r="UV94" s="95"/>
      <c r="UW94" s="95"/>
      <c r="UX94" s="95"/>
      <c r="UY94" s="95"/>
      <c r="UZ94" s="95"/>
      <c r="VA94" s="95"/>
      <c r="VB94" s="95"/>
      <c r="VC94" s="95"/>
      <c r="VD94" s="95"/>
      <c r="VE94" s="95"/>
      <c r="VF94" s="95"/>
      <c r="VG94" s="95"/>
      <c r="VH94" s="95"/>
      <c r="VI94" s="95"/>
      <c r="VJ94" s="95"/>
      <c r="VK94" s="95"/>
      <c r="VL94" s="95"/>
      <c r="VM94" s="95"/>
      <c r="VN94" s="95"/>
      <c r="VO94" s="95"/>
      <c r="VP94" s="95"/>
      <c r="VQ94" s="95"/>
      <c r="VR94" s="95"/>
      <c r="VS94" s="95"/>
      <c r="VT94" s="95"/>
      <c r="VU94" s="95"/>
      <c r="VV94" s="95"/>
      <c r="VW94" s="95"/>
      <c r="VX94" s="95"/>
      <c r="VY94" s="95"/>
      <c r="VZ94" s="95"/>
      <c r="WA94" s="95"/>
      <c r="WB94" s="95"/>
      <c r="WC94" s="95"/>
      <c r="WD94" s="95"/>
      <c r="WE94" s="95"/>
      <c r="WF94" s="95"/>
      <c r="WG94" s="95"/>
      <c r="WH94" s="95"/>
      <c r="WI94" s="95"/>
      <c r="WJ94" s="95"/>
      <c r="WK94" s="95"/>
      <c r="WL94" s="95"/>
      <c r="WM94" s="95"/>
      <c r="WN94" s="95"/>
      <c r="WO94" s="95"/>
      <c r="WP94" s="95"/>
      <c r="WQ94" s="95"/>
      <c r="WR94" s="95"/>
      <c r="WS94" s="95"/>
      <c r="WT94" s="95"/>
      <c r="WU94" s="95"/>
      <c r="WV94" s="95"/>
      <c r="WW94" s="95"/>
      <c r="WX94" s="95"/>
      <c r="WY94" s="95"/>
      <c r="WZ94" s="95"/>
      <c r="XA94" s="95"/>
      <c r="XB94" s="95"/>
      <c r="XC94" s="95"/>
      <c r="XD94" s="95"/>
      <c r="XE94" s="95"/>
      <c r="XF94" s="95"/>
      <c r="XG94" s="95"/>
      <c r="XH94" s="95"/>
      <c r="XI94" s="95"/>
      <c r="XJ94" s="95"/>
      <c r="XK94" s="95"/>
      <c r="XL94" s="95"/>
      <c r="XM94" s="95"/>
      <c r="XN94" s="95"/>
      <c r="XO94" s="95"/>
      <c r="XP94" s="95"/>
      <c r="XQ94" s="95"/>
      <c r="XR94" s="95"/>
      <c r="XS94" s="95"/>
      <c r="XT94" s="95"/>
      <c r="XU94" s="95"/>
      <c r="XV94" s="95"/>
      <c r="XW94" s="95"/>
      <c r="XX94" s="95"/>
      <c r="XY94" s="95"/>
      <c r="XZ94" s="95"/>
      <c r="YA94" s="95"/>
      <c r="YB94" s="95"/>
      <c r="YC94" s="95"/>
      <c r="YD94" s="95"/>
      <c r="YE94" s="95"/>
      <c r="YF94" s="95"/>
      <c r="YG94" s="95"/>
      <c r="YH94" s="95"/>
      <c r="YI94" s="95"/>
      <c r="YJ94" s="95"/>
      <c r="YK94" s="95"/>
      <c r="YL94" s="95"/>
      <c r="YM94" s="95"/>
      <c r="YN94" s="95"/>
      <c r="YO94" s="95"/>
      <c r="YP94" s="95"/>
      <c r="YQ94" s="95"/>
      <c r="YR94" s="95"/>
      <c r="YS94" s="95"/>
      <c r="YT94" s="95"/>
      <c r="YU94" s="95"/>
      <c r="YV94" s="95"/>
      <c r="YW94" s="95"/>
      <c r="YX94" s="95"/>
      <c r="YY94" s="95"/>
      <c r="YZ94" s="95"/>
      <c r="ZA94" s="95"/>
      <c r="ZB94" s="95"/>
      <c r="ZC94" s="95"/>
      <c r="ZD94" s="95"/>
      <c r="ZE94" s="95"/>
      <c r="ZF94" s="95"/>
      <c r="ZG94" s="95"/>
      <c r="ZH94" s="95"/>
      <c r="ZI94" s="95"/>
      <c r="ZJ94" s="95"/>
      <c r="ZK94" s="95"/>
      <c r="ZL94" s="95"/>
      <c r="ZM94" s="95"/>
      <c r="ZN94" s="95"/>
      <c r="ZO94" s="95"/>
      <c r="ZP94" s="95"/>
      <c r="ZQ94" s="95"/>
      <c r="ZR94" s="95"/>
      <c r="ZS94" s="95"/>
      <c r="ZT94" s="95"/>
      <c r="ZU94" s="95"/>
      <c r="ZV94" s="95"/>
      <c r="ZW94" s="95"/>
      <c r="ZX94" s="95"/>
      <c r="ZY94" s="95"/>
      <c r="ZZ94" s="95"/>
      <c r="AAA94" s="95"/>
      <c r="AAB94" s="95"/>
      <c r="AAC94" s="95"/>
      <c r="AAD94" s="95"/>
      <c r="AAE94" s="95"/>
      <c r="AAF94" s="95"/>
      <c r="AAG94" s="95"/>
      <c r="AAH94" s="95"/>
      <c r="AAI94" s="95"/>
      <c r="AAJ94" s="95"/>
      <c r="AAK94" s="95"/>
      <c r="AAL94" s="95"/>
      <c r="AAM94" s="95"/>
      <c r="AAN94" s="95"/>
      <c r="AAO94" s="95"/>
      <c r="AAP94" s="95"/>
      <c r="AAQ94" s="95"/>
      <c r="AAR94" s="95"/>
      <c r="AAS94" s="95"/>
      <c r="AAT94" s="95"/>
      <c r="AAU94" s="95"/>
      <c r="AAV94" s="95"/>
      <c r="AAW94" s="95"/>
      <c r="AAX94" s="95"/>
      <c r="AAY94" s="95"/>
      <c r="AAZ94" s="95"/>
      <c r="ABA94" s="95"/>
      <c r="ABB94" s="95"/>
      <c r="ABC94" s="95"/>
      <c r="ABD94" s="95"/>
      <c r="ABE94" s="95"/>
      <c r="ABF94" s="95"/>
      <c r="ABG94" s="95"/>
      <c r="ABH94" s="95"/>
      <c r="ABI94" s="95"/>
      <c r="ABJ94" s="95"/>
      <c r="ABK94" s="95"/>
      <c r="ABL94" s="95"/>
      <c r="ABM94" s="95"/>
      <c r="ABN94" s="95"/>
      <c r="ABO94" s="95"/>
      <c r="ABP94" s="95"/>
      <c r="ABQ94" s="95"/>
      <c r="ABR94" s="95"/>
      <c r="ABS94" s="95"/>
      <c r="ABT94" s="95"/>
      <c r="ABU94" s="95"/>
      <c r="ABV94" s="95"/>
      <c r="ABW94" s="95"/>
      <c r="ABX94" s="95"/>
      <c r="ABY94" s="95"/>
      <c r="ABZ94" s="95"/>
      <c r="ACA94" s="95"/>
      <c r="ACB94" s="95"/>
      <c r="ACC94" s="95"/>
      <c r="ACD94" s="95"/>
      <c r="ACE94" s="95"/>
      <c r="ACF94" s="95"/>
      <c r="ACG94" s="95"/>
      <c r="ACH94" s="95"/>
      <c r="ACI94" s="95"/>
      <c r="ACJ94" s="95"/>
      <c r="ACK94" s="95"/>
      <c r="ACL94" s="95"/>
      <c r="ACM94" s="95"/>
      <c r="ACN94" s="95"/>
      <c r="ACO94" s="95"/>
      <c r="ACP94" s="95"/>
      <c r="ACQ94" s="95"/>
      <c r="ACR94" s="95"/>
      <c r="ACS94" s="95"/>
      <c r="ACT94" s="95"/>
      <c r="ACU94" s="95"/>
      <c r="ACV94" s="95"/>
      <c r="ACW94" s="95"/>
      <c r="ACX94" s="95"/>
      <c r="ACY94" s="95"/>
      <c r="ACZ94" s="95"/>
      <c r="ADA94" s="95"/>
      <c r="ADB94" s="95"/>
      <c r="ADC94" s="95"/>
      <c r="ADD94" s="95"/>
      <c r="ADE94" s="95"/>
      <c r="ADF94" s="95"/>
      <c r="ADG94" s="95"/>
      <c r="ADH94" s="95"/>
      <c r="ADI94" s="95"/>
      <c r="ADJ94" s="95"/>
      <c r="ADK94" s="95"/>
      <c r="ADL94" s="95"/>
      <c r="ADM94" s="95"/>
      <c r="ADN94" s="95"/>
      <c r="ADO94" s="95"/>
      <c r="ADP94" s="95"/>
      <c r="ADQ94" s="95"/>
      <c r="ADR94" s="95"/>
      <c r="ADS94" s="95"/>
      <c r="ADT94" s="95"/>
      <c r="ADU94" s="95"/>
      <c r="ADV94" s="95"/>
      <c r="ADW94" s="95"/>
      <c r="ADX94" s="95"/>
      <c r="ADY94" s="95"/>
      <c r="ADZ94" s="95"/>
      <c r="AEA94" s="95"/>
      <c r="AEB94" s="95"/>
      <c r="AEC94" s="95"/>
      <c r="AED94" s="95"/>
      <c r="AEE94" s="95"/>
      <c r="AEF94" s="95"/>
      <c r="AEG94" s="95"/>
      <c r="AEH94" s="95"/>
      <c r="AEI94" s="95"/>
      <c r="AEJ94" s="95"/>
      <c r="AEK94" s="95"/>
      <c r="AEL94" s="95"/>
      <c r="AEM94" s="95"/>
      <c r="AEN94" s="95"/>
      <c r="AEO94" s="95"/>
      <c r="AEP94" s="95"/>
      <c r="AEQ94" s="95"/>
      <c r="AER94" s="95"/>
      <c r="AES94" s="95"/>
      <c r="AET94" s="95"/>
      <c r="AEU94" s="95"/>
      <c r="AEV94" s="95"/>
      <c r="AEW94" s="95"/>
      <c r="AEX94" s="95"/>
      <c r="AEY94" s="95"/>
      <c r="AEZ94" s="95"/>
      <c r="AFA94" s="95"/>
      <c r="AFB94" s="95"/>
      <c r="AFC94" s="95"/>
      <c r="AFD94" s="95"/>
      <c r="AFE94" s="95"/>
      <c r="AFF94" s="95"/>
      <c r="AFG94" s="95"/>
      <c r="AFH94" s="95"/>
      <c r="AFI94" s="95"/>
      <c r="AFJ94" s="95"/>
      <c r="AFK94" s="95"/>
      <c r="AFL94" s="95"/>
      <c r="AFM94" s="95"/>
      <c r="AFN94" s="95"/>
      <c r="AFO94" s="95"/>
      <c r="AFP94" s="95"/>
      <c r="AFQ94" s="95"/>
      <c r="AFR94" s="95"/>
      <c r="AFS94" s="95"/>
      <c r="AFT94" s="95"/>
      <c r="AFU94" s="95"/>
      <c r="AFV94" s="95"/>
      <c r="AFW94" s="95"/>
      <c r="AFX94" s="95"/>
      <c r="AFY94" s="95"/>
      <c r="AFZ94" s="95"/>
      <c r="AGA94" s="95"/>
      <c r="AGB94" s="95"/>
      <c r="AGC94" s="95"/>
      <c r="AGD94" s="95"/>
      <c r="AGE94" s="95"/>
      <c r="AGF94" s="95"/>
      <c r="AGG94" s="95"/>
      <c r="AGH94" s="95"/>
      <c r="AGI94" s="95"/>
      <c r="AGJ94" s="95"/>
      <c r="AGK94" s="95"/>
      <c r="AGL94" s="95"/>
      <c r="AGM94" s="95"/>
      <c r="AGN94" s="95"/>
      <c r="AGO94" s="95"/>
      <c r="AGP94" s="95"/>
      <c r="AGQ94" s="95"/>
      <c r="AGR94" s="95"/>
      <c r="AGS94" s="95"/>
      <c r="AGT94" s="95"/>
      <c r="AGU94" s="95"/>
      <c r="AGV94" s="95"/>
      <c r="AGW94" s="95"/>
      <c r="AGX94" s="95"/>
      <c r="AGY94" s="95"/>
      <c r="AGZ94" s="95"/>
      <c r="AHA94" s="95"/>
      <c r="AHB94" s="95"/>
      <c r="AHC94" s="95"/>
    </row>
    <row r="95" spans="1:887" ht="20.100000000000001" customHeight="1">
      <c r="A95" s="191" t="str">
        <f>VLOOKUP(C95,'BASE DE DADOS'!A:B,2,FALSE)</f>
        <v>PREPARA INATIVOS</v>
      </c>
      <c r="B95" s="90" t="s">
        <v>2218</v>
      </c>
      <c r="C95" s="191" t="s">
        <v>1207</v>
      </c>
      <c r="D95" s="75">
        <v>18320.62</v>
      </c>
      <c r="E95" s="74" t="s">
        <v>2821</v>
      </c>
      <c r="F95" s="103"/>
      <c r="G95" s="192"/>
      <c r="H95" s="193"/>
      <c r="I95" s="193"/>
      <c r="J95" s="193"/>
      <c r="K95" s="193"/>
      <c r="L95" s="193"/>
      <c r="M95" s="193"/>
      <c r="N95" s="193" t="s">
        <v>1743</v>
      </c>
      <c r="O95" s="202">
        <v>44827</v>
      </c>
      <c r="P95" s="146" t="s">
        <v>2822</v>
      </c>
      <c r="Q95" s="195" t="s">
        <v>2316</v>
      </c>
    </row>
    <row r="96" spans="1:887" ht="20.100000000000001" customHeight="1">
      <c r="A96" s="191" t="str">
        <f>VLOOKUP(C96,'BASE DE DADOS'!A:B,2,FALSE)</f>
        <v>PREPARA INATIVOS</v>
      </c>
      <c r="B96" s="90" t="s">
        <v>267</v>
      </c>
      <c r="C96" s="62" t="s">
        <v>268</v>
      </c>
      <c r="D96" s="75">
        <v>95942.41</v>
      </c>
      <c r="E96" s="98">
        <v>172632.46</v>
      </c>
      <c r="F96" s="103"/>
      <c r="G96" s="192"/>
      <c r="H96" s="193"/>
      <c r="I96" s="193"/>
      <c r="J96" s="193"/>
      <c r="K96" s="193"/>
      <c r="L96" s="193"/>
      <c r="M96" s="193"/>
      <c r="N96" s="193" t="s">
        <v>1743</v>
      </c>
      <c r="O96" s="202">
        <v>44524</v>
      </c>
      <c r="P96" s="145" t="s">
        <v>2823</v>
      </c>
      <c r="Q96" s="195" t="s">
        <v>2824</v>
      </c>
    </row>
    <row r="97" spans="1:887" s="141" customFormat="1" ht="20.100000000000001" customHeight="1">
      <c r="A97" s="164" t="s">
        <v>2159</v>
      </c>
      <c r="B97" s="165" t="s">
        <v>1829</v>
      </c>
      <c r="C97" s="164" t="s">
        <v>2275</v>
      </c>
      <c r="D97" s="166">
        <v>15573.71</v>
      </c>
      <c r="E97" s="166"/>
      <c r="F97" s="167"/>
      <c r="G97" s="168"/>
      <c r="H97" s="169"/>
      <c r="I97" s="169"/>
      <c r="J97" s="169" t="s">
        <v>1743</v>
      </c>
      <c r="K97" s="169"/>
      <c r="L97" s="169"/>
      <c r="M97" s="169"/>
      <c r="N97" s="169"/>
      <c r="O97" s="169"/>
      <c r="P97" s="170"/>
      <c r="Q97" s="139" t="s">
        <v>2276</v>
      </c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  <c r="AQ97" s="140"/>
      <c r="AR97" s="140"/>
      <c r="AS97" s="140"/>
      <c r="AT97" s="140"/>
      <c r="AU97" s="140"/>
      <c r="AV97" s="140"/>
      <c r="AW97" s="140"/>
      <c r="AX97" s="140"/>
      <c r="AY97" s="140"/>
      <c r="AZ97" s="140"/>
      <c r="BA97" s="140"/>
      <c r="BB97" s="140"/>
      <c r="BC97" s="140"/>
      <c r="BD97" s="140"/>
      <c r="BE97" s="140"/>
      <c r="BF97" s="140"/>
      <c r="BG97" s="140"/>
      <c r="BH97" s="140"/>
      <c r="BI97" s="140"/>
      <c r="BJ97" s="140"/>
      <c r="BK97" s="140"/>
      <c r="BL97" s="140"/>
      <c r="BM97" s="140"/>
      <c r="BN97" s="140"/>
      <c r="BO97" s="140"/>
      <c r="BP97" s="140"/>
      <c r="BQ97" s="140"/>
      <c r="BR97" s="140"/>
      <c r="BS97" s="140"/>
      <c r="BT97" s="140"/>
      <c r="BU97" s="140"/>
      <c r="BV97" s="140"/>
      <c r="BW97" s="140"/>
      <c r="BX97" s="140"/>
      <c r="BY97" s="140"/>
      <c r="BZ97" s="140"/>
      <c r="CA97" s="140"/>
      <c r="CB97" s="140"/>
      <c r="CC97" s="140"/>
      <c r="CD97" s="140"/>
      <c r="CE97" s="140"/>
      <c r="CF97" s="140"/>
      <c r="CG97" s="140"/>
      <c r="CH97" s="140"/>
      <c r="CI97" s="140"/>
      <c r="CJ97" s="140"/>
      <c r="CK97" s="140"/>
      <c r="CL97" s="140"/>
      <c r="CM97" s="140"/>
      <c r="CN97" s="140"/>
      <c r="CO97" s="140"/>
      <c r="CP97" s="140"/>
      <c r="CQ97" s="140"/>
      <c r="CR97" s="140"/>
      <c r="CS97" s="140"/>
      <c r="CT97" s="140"/>
      <c r="CU97" s="140"/>
      <c r="CV97" s="140"/>
      <c r="CW97" s="140"/>
      <c r="CX97" s="140"/>
      <c r="CY97" s="140"/>
      <c r="CZ97" s="140"/>
      <c r="DA97" s="140"/>
      <c r="DB97" s="140"/>
      <c r="DC97" s="140"/>
      <c r="DD97" s="140"/>
      <c r="DE97" s="140"/>
      <c r="DF97" s="140"/>
      <c r="DG97" s="140"/>
      <c r="DH97" s="140"/>
      <c r="DI97" s="140"/>
      <c r="DJ97" s="140"/>
      <c r="DK97" s="140"/>
      <c r="DL97" s="140"/>
      <c r="DM97" s="140"/>
      <c r="DN97" s="140"/>
      <c r="DO97" s="140"/>
      <c r="DP97" s="140"/>
      <c r="DQ97" s="140"/>
      <c r="DR97" s="140"/>
      <c r="DS97" s="140"/>
      <c r="DT97" s="140"/>
      <c r="DU97" s="140"/>
      <c r="DV97" s="140"/>
      <c r="DW97" s="140"/>
      <c r="DX97" s="140"/>
      <c r="DY97" s="140"/>
      <c r="DZ97" s="140"/>
      <c r="EA97" s="140"/>
      <c r="EB97" s="140"/>
      <c r="EC97" s="140"/>
      <c r="ED97" s="140"/>
      <c r="EE97" s="140"/>
      <c r="EF97" s="140"/>
      <c r="EG97" s="140"/>
      <c r="EH97" s="140"/>
      <c r="EI97" s="140"/>
      <c r="EJ97" s="140"/>
      <c r="EK97" s="140"/>
      <c r="EL97" s="140"/>
      <c r="EM97" s="140"/>
      <c r="EN97" s="140"/>
      <c r="EO97" s="140"/>
      <c r="EP97" s="140"/>
      <c r="EQ97" s="140"/>
      <c r="ER97" s="140"/>
      <c r="ES97" s="140"/>
      <c r="ET97" s="140"/>
      <c r="EU97" s="140"/>
      <c r="EV97" s="140"/>
      <c r="EW97" s="140"/>
      <c r="EX97" s="140"/>
      <c r="EY97" s="140"/>
      <c r="EZ97" s="140"/>
      <c r="FA97" s="140"/>
      <c r="FB97" s="140"/>
      <c r="FC97" s="140"/>
      <c r="FD97" s="140"/>
      <c r="FE97" s="140"/>
      <c r="FF97" s="140"/>
      <c r="FG97" s="140"/>
      <c r="FH97" s="140"/>
      <c r="FI97" s="140"/>
      <c r="FJ97" s="140"/>
      <c r="FK97" s="140"/>
      <c r="FL97" s="140"/>
      <c r="FM97" s="140"/>
      <c r="FN97" s="140"/>
      <c r="FO97" s="140"/>
      <c r="FP97" s="140"/>
      <c r="FQ97" s="140"/>
      <c r="FR97" s="140"/>
      <c r="FS97" s="140"/>
      <c r="FT97" s="140"/>
      <c r="FU97" s="140"/>
      <c r="FV97" s="140"/>
      <c r="FW97" s="140"/>
      <c r="FX97" s="140"/>
      <c r="FY97" s="140"/>
      <c r="FZ97" s="140"/>
      <c r="GA97" s="140"/>
      <c r="GB97" s="140"/>
      <c r="GC97" s="140"/>
      <c r="GD97" s="140"/>
      <c r="GE97" s="140"/>
      <c r="GF97" s="140"/>
      <c r="GG97" s="140"/>
      <c r="GH97" s="140"/>
      <c r="GI97" s="140"/>
      <c r="GJ97" s="140"/>
      <c r="GK97" s="140"/>
      <c r="GL97" s="140"/>
      <c r="GM97" s="140"/>
      <c r="GN97" s="140"/>
      <c r="GO97" s="140"/>
      <c r="GP97" s="140"/>
      <c r="GQ97" s="140"/>
      <c r="GR97" s="140"/>
      <c r="GS97" s="140"/>
      <c r="GT97" s="140"/>
      <c r="GU97" s="140"/>
      <c r="GV97" s="140"/>
      <c r="GW97" s="140"/>
      <c r="GX97" s="140"/>
      <c r="GY97" s="140"/>
      <c r="GZ97" s="140"/>
      <c r="HA97" s="140"/>
      <c r="HB97" s="140"/>
      <c r="HC97" s="140"/>
      <c r="HD97" s="140"/>
      <c r="HE97" s="140"/>
      <c r="HF97" s="140"/>
      <c r="HG97" s="140"/>
      <c r="HH97" s="140"/>
      <c r="HI97" s="140"/>
      <c r="HJ97" s="140"/>
      <c r="HK97" s="140"/>
      <c r="HL97" s="140"/>
      <c r="HM97" s="140"/>
      <c r="HN97" s="140"/>
      <c r="HO97" s="140"/>
      <c r="HP97" s="140"/>
      <c r="HQ97" s="140"/>
      <c r="HR97" s="140"/>
      <c r="HS97" s="140"/>
      <c r="HT97" s="140"/>
      <c r="HU97" s="140"/>
      <c r="HV97" s="140"/>
      <c r="HW97" s="140"/>
      <c r="HX97" s="140"/>
      <c r="HY97" s="140"/>
      <c r="HZ97" s="140"/>
      <c r="IA97" s="140"/>
      <c r="IB97" s="140"/>
      <c r="IC97" s="140"/>
      <c r="ID97" s="140"/>
      <c r="IE97" s="140"/>
      <c r="IF97" s="140"/>
      <c r="IG97" s="140"/>
      <c r="IH97" s="140"/>
      <c r="II97" s="140"/>
      <c r="IJ97" s="140"/>
      <c r="IK97" s="140"/>
      <c r="IL97" s="140"/>
      <c r="IM97" s="140"/>
      <c r="IN97" s="140"/>
      <c r="IO97" s="140"/>
      <c r="IP97" s="140"/>
      <c r="IQ97" s="140"/>
      <c r="IR97" s="140"/>
      <c r="IS97" s="140"/>
      <c r="IT97" s="140"/>
      <c r="IU97" s="140"/>
      <c r="IV97" s="140"/>
      <c r="IW97" s="140"/>
      <c r="IX97" s="140"/>
      <c r="IY97" s="140"/>
      <c r="IZ97" s="140"/>
      <c r="JA97" s="140"/>
      <c r="JB97" s="140"/>
      <c r="JC97" s="140"/>
      <c r="JD97" s="140"/>
      <c r="JE97" s="140"/>
      <c r="JF97" s="140"/>
      <c r="JG97" s="140"/>
      <c r="JH97" s="140"/>
      <c r="JI97" s="140"/>
      <c r="JJ97" s="140"/>
      <c r="JK97" s="140"/>
      <c r="JL97" s="140"/>
      <c r="JM97" s="140"/>
      <c r="JN97" s="140"/>
      <c r="JO97" s="140"/>
      <c r="JP97" s="140"/>
      <c r="JQ97" s="140"/>
      <c r="JR97" s="140"/>
      <c r="JS97" s="140"/>
      <c r="JT97" s="140"/>
      <c r="JU97" s="140"/>
      <c r="JV97" s="140"/>
      <c r="JW97" s="140"/>
      <c r="JX97" s="140"/>
      <c r="JY97" s="140"/>
      <c r="JZ97" s="140"/>
      <c r="KA97" s="140"/>
      <c r="KB97" s="140"/>
      <c r="KC97" s="140"/>
      <c r="KD97" s="140"/>
      <c r="KE97" s="140"/>
      <c r="KF97" s="140"/>
      <c r="KG97" s="140"/>
      <c r="KH97" s="140"/>
      <c r="KI97" s="140"/>
      <c r="KJ97" s="140"/>
      <c r="KK97" s="140"/>
      <c r="KL97" s="140"/>
      <c r="KM97" s="140"/>
      <c r="KN97" s="140"/>
      <c r="KO97" s="140"/>
      <c r="KP97" s="140"/>
      <c r="KQ97" s="140"/>
      <c r="KR97" s="140"/>
      <c r="KS97" s="140"/>
      <c r="KT97" s="140"/>
      <c r="KU97" s="140"/>
      <c r="KV97" s="140"/>
      <c r="KW97" s="140"/>
      <c r="KX97" s="140"/>
      <c r="KY97" s="140"/>
      <c r="KZ97" s="140"/>
      <c r="LA97" s="140"/>
      <c r="LB97" s="140"/>
      <c r="LC97" s="140"/>
      <c r="LD97" s="140"/>
      <c r="LE97" s="140"/>
      <c r="LF97" s="140"/>
      <c r="LG97" s="140"/>
      <c r="LH97" s="140"/>
      <c r="LI97" s="140"/>
      <c r="LJ97" s="140"/>
      <c r="LK97" s="140"/>
      <c r="LL97" s="140"/>
      <c r="LM97" s="140"/>
      <c r="LN97" s="140"/>
      <c r="LO97" s="140"/>
      <c r="LP97" s="140"/>
      <c r="LQ97" s="140"/>
      <c r="LR97" s="140"/>
      <c r="LS97" s="140"/>
      <c r="LT97" s="140"/>
      <c r="LU97" s="140"/>
      <c r="LV97" s="140"/>
      <c r="LW97" s="140"/>
      <c r="LX97" s="140"/>
      <c r="LY97" s="140"/>
      <c r="LZ97" s="140"/>
      <c r="MA97" s="140"/>
      <c r="MB97" s="140"/>
      <c r="MC97" s="140"/>
      <c r="MD97" s="140"/>
      <c r="ME97" s="140"/>
      <c r="MF97" s="140"/>
      <c r="MG97" s="140"/>
      <c r="MH97" s="140"/>
      <c r="MI97" s="140"/>
      <c r="MJ97" s="140"/>
      <c r="MK97" s="140"/>
      <c r="ML97" s="140"/>
      <c r="MM97" s="140"/>
      <c r="MN97" s="140"/>
      <c r="MO97" s="140"/>
      <c r="MP97" s="140"/>
      <c r="MQ97" s="140"/>
      <c r="MR97" s="140"/>
      <c r="MS97" s="140"/>
      <c r="MT97" s="140"/>
      <c r="MU97" s="140"/>
      <c r="MV97" s="140"/>
      <c r="MW97" s="140"/>
      <c r="MX97" s="140"/>
      <c r="MY97" s="140"/>
      <c r="MZ97" s="140"/>
      <c r="NA97" s="140"/>
      <c r="NB97" s="140"/>
      <c r="NC97" s="140"/>
      <c r="ND97" s="140"/>
      <c r="NE97" s="140"/>
      <c r="NF97" s="140"/>
      <c r="NG97" s="140"/>
      <c r="NH97" s="140"/>
      <c r="NI97" s="140"/>
      <c r="NJ97" s="140"/>
      <c r="NK97" s="140"/>
      <c r="NL97" s="140"/>
      <c r="NM97" s="140"/>
      <c r="NN97" s="140"/>
      <c r="NO97" s="140"/>
      <c r="NP97" s="140"/>
      <c r="NQ97" s="140"/>
      <c r="NR97" s="140"/>
      <c r="NS97" s="140"/>
      <c r="NT97" s="140"/>
      <c r="NU97" s="140"/>
      <c r="NV97" s="140"/>
      <c r="NW97" s="140"/>
      <c r="NX97" s="140"/>
      <c r="NY97" s="140"/>
      <c r="NZ97" s="140"/>
      <c r="OA97" s="140"/>
      <c r="OB97" s="140"/>
      <c r="OC97" s="140"/>
      <c r="OD97" s="140"/>
      <c r="OE97" s="140"/>
      <c r="OF97" s="140"/>
      <c r="OG97" s="140"/>
      <c r="OH97" s="140"/>
      <c r="OI97" s="140"/>
      <c r="OJ97" s="140"/>
      <c r="OK97" s="140"/>
      <c r="OL97" s="140"/>
      <c r="OM97" s="140"/>
      <c r="ON97" s="140"/>
      <c r="OO97" s="140"/>
      <c r="OP97" s="140"/>
      <c r="OQ97" s="140"/>
      <c r="OR97" s="140"/>
      <c r="OS97" s="140"/>
      <c r="OT97" s="140"/>
      <c r="OU97" s="140"/>
      <c r="OV97" s="140"/>
      <c r="OW97" s="140"/>
      <c r="OX97" s="140"/>
      <c r="OY97" s="140"/>
      <c r="OZ97" s="140"/>
      <c r="PA97" s="140"/>
      <c r="PB97" s="140"/>
      <c r="PC97" s="140"/>
      <c r="PD97" s="140"/>
      <c r="PE97" s="140"/>
      <c r="PF97" s="140"/>
      <c r="PG97" s="140"/>
      <c r="PH97" s="140"/>
      <c r="PI97" s="140"/>
      <c r="PJ97" s="140"/>
      <c r="PK97" s="140"/>
      <c r="PL97" s="140"/>
      <c r="PM97" s="140"/>
      <c r="PN97" s="140"/>
      <c r="PO97" s="140"/>
      <c r="PP97" s="140"/>
      <c r="PQ97" s="140"/>
      <c r="PR97" s="140"/>
      <c r="PS97" s="140"/>
      <c r="PT97" s="140"/>
      <c r="PU97" s="140"/>
      <c r="PV97" s="140"/>
      <c r="PW97" s="140"/>
      <c r="PX97" s="140"/>
      <c r="PY97" s="140"/>
      <c r="PZ97" s="140"/>
      <c r="QA97" s="140"/>
      <c r="QB97" s="140"/>
      <c r="QC97" s="140"/>
      <c r="QD97" s="140"/>
      <c r="QE97" s="140"/>
      <c r="QF97" s="140"/>
      <c r="QG97" s="140"/>
      <c r="QH97" s="140"/>
      <c r="QI97" s="140"/>
      <c r="QJ97" s="140"/>
      <c r="QK97" s="140"/>
      <c r="QL97" s="140"/>
      <c r="QM97" s="140"/>
      <c r="QN97" s="140"/>
      <c r="QO97" s="140"/>
      <c r="QP97" s="140"/>
      <c r="QQ97" s="140"/>
      <c r="QR97" s="140"/>
      <c r="QS97" s="140"/>
      <c r="QT97" s="140"/>
      <c r="QU97" s="140"/>
      <c r="QV97" s="140"/>
      <c r="QW97" s="140"/>
      <c r="QX97" s="140"/>
      <c r="QY97" s="140"/>
      <c r="QZ97" s="140"/>
      <c r="RA97" s="140"/>
      <c r="RB97" s="140"/>
      <c r="RC97" s="140"/>
      <c r="RD97" s="140"/>
      <c r="RE97" s="140"/>
      <c r="RF97" s="140"/>
      <c r="RG97" s="140"/>
      <c r="RH97" s="140"/>
      <c r="RI97" s="140"/>
      <c r="RJ97" s="140"/>
      <c r="RK97" s="140"/>
      <c r="RL97" s="140"/>
      <c r="RM97" s="140"/>
      <c r="RN97" s="140"/>
      <c r="RO97" s="140"/>
      <c r="RP97" s="140"/>
      <c r="RQ97" s="140"/>
      <c r="RR97" s="140"/>
      <c r="RS97" s="140"/>
      <c r="RT97" s="140"/>
      <c r="RU97" s="140"/>
      <c r="RV97" s="140"/>
      <c r="RW97" s="140"/>
      <c r="RX97" s="140"/>
      <c r="RY97" s="140"/>
      <c r="RZ97" s="140"/>
      <c r="SA97" s="140"/>
      <c r="SB97" s="140"/>
      <c r="SC97" s="140"/>
      <c r="SD97" s="140"/>
      <c r="SE97" s="140"/>
      <c r="SF97" s="140"/>
      <c r="SG97" s="140"/>
      <c r="SH97" s="140"/>
      <c r="SI97" s="140"/>
      <c r="SJ97" s="140"/>
      <c r="SK97" s="140"/>
      <c r="SL97" s="140"/>
      <c r="SM97" s="140"/>
      <c r="SN97" s="140"/>
      <c r="SO97" s="140"/>
      <c r="SP97" s="140"/>
      <c r="SQ97" s="140"/>
      <c r="SR97" s="140"/>
      <c r="SS97" s="140"/>
      <c r="ST97" s="140"/>
      <c r="SU97" s="140"/>
      <c r="SV97" s="140"/>
      <c r="SW97" s="140"/>
      <c r="SX97" s="140"/>
      <c r="SY97" s="140"/>
      <c r="SZ97" s="140"/>
      <c r="TA97" s="140"/>
      <c r="TB97" s="140"/>
      <c r="TC97" s="140"/>
      <c r="TD97" s="140"/>
      <c r="TE97" s="140"/>
      <c r="TF97" s="140"/>
      <c r="TG97" s="140"/>
      <c r="TH97" s="140"/>
      <c r="TI97" s="140"/>
      <c r="TJ97" s="140"/>
      <c r="TK97" s="140"/>
      <c r="TL97" s="140"/>
      <c r="TM97" s="140"/>
      <c r="TN97" s="140"/>
      <c r="TO97" s="140"/>
      <c r="TP97" s="140"/>
      <c r="TQ97" s="140"/>
      <c r="TR97" s="140"/>
      <c r="TS97" s="140"/>
      <c r="TT97" s="140"/>
      <c r="TU97" s="140"/>
      <c r="TV97" s="140"/>
      <c r="TW97" s="140"/>
      <c r="TX97" s="140"/>
      <c r="TY97" s="140"/>
      <c r="TZ97" s="140"/>
      <c r="UA97" s="140"/>
      <c r="UB97" s="140"/>
      <c r="UC97" s="140"/>
      <c r="UD97" s="140"/>
      <c r="UE97" s="140"/>
      <c r="UF97" s="140"/>
      <c r="UG97" s="140"/>
      <c r="UH97" s="140"/>
      <c r="UI97" s="140"/>
      <c r="UJ97" s="140"/>
      <c r="UK97" s="140"/>
      <c r="UL97" s="140"/>
      <c r="UM97" s="140"/>
      <c r="UN97" s="140"/>
      <c r="UO97" s="140"/>
      <c r="UP97" s="140"/>
      <c r="UQ97" s="140"/>
      <c r="UR97" s="140"/>
      <c r="US97" s="140"/>
      <c r="UT97" s="140"/>
      <c r="UU97" s="140"/>
      <c r="UV97" s="140"/>
      <c r="UW97" s="140"/>
      <c r="UX97" s="140"/>
      <c r="UY97" s="140"/>
      <c r="UZ97" s="140"/>
      <c r="VA97" s="140"/>
      <c r="VB97" s="140"/>
      <c r="VC97" s="140"/>
      <c r="VD97" s="140"/>
      <c r="VE97" s="140"/>
      <c r="VF97" s="140"/>
      <c r="VG97" s="140"/>
      <c r="VH97" s="140"/>
      <c r="VI97" s="140"/>
      <c r="VJ97" s="140"/>
      <c r="VK97" s="140"/>
      <c r="VL97" s="140"/>
      <c r="VM97" s="140"/>
      <c r="VN97" s="140"/>
      <c r="VO97" s="140"/>
      <c r="VP97" s="140"/>
      <c r="VQ97" s="140"/>
      <c r="VR97" s="140"/>
      <c r="VS97" s="140"/>
      <c r="VT97" s="140"/>
      <c r="VU97" s="140"/>
      <c r="VV97" s="140"/>
      <c r="VW97" s="140"/>
      <c r="VX97" s="140"/>
      <c r="VY97" s="140"/>
      <c r="VZ97" s="140"/>
      <c r="WA97" s="140"/>
      <c r="WB97" s="140"/>
      <c r="WC97" s="140"/>
      <c r="WD97" s="140"/>
      <c r="WE97" s="140"/>
      <c r="WF97" s="140"/>
      <c r="WG97" s="140"/>
      <c r="WH97" s="140"/>
      <c r="WI97" s="140"/>
      <c r="WJ97" s="140"/>
      <c r="WK97" s="140"/>
      <c r="WL97" s="140"/>
      <c r="WM97" s="140"/>
      <c r="WN97" s="140"/>
      <c r="WO97" s="140"/>
      <c r="WP97" s="140"/>
      <c r="WQ97" s="140"/>
      <c r="WR97" s="140"/>
      <c r="WS97" s="140"/>
      <c r="WT97" s="140"/>
      <c r="WU97" s="140"/>
      <c r="WV97" s="140"/>
      <c r="WW97" s="140"/>
      <c r="WX97" s="140"/>
      <c r="WY97" s="140"/>
      <c r="WZ97" s="140"/>
      <c r="XA97" s="140"/>
      <c r="XB97" s="140"/>
      <c r="XC97" s="140"/>
      <c r="XD97" s="140"/>
      <c r="XE97" s="140"/>
      <c r="XF97" s="140"/>
      <c r="XG97" s="140"/>
      <c r="XH97" s="140"/>
      <c r="XI97" s="140"/>
      <c r="XJ97" s="140"/>
      <c r="XK97" s="140"/>
      <c r="XL97" s="140"/>
      <c r="XM97" s="140"/>
      <c r="XN97" s="140"/>
      <c r="XO97" s="140"/>
      <c r="XP97" s="140"/>
      <c r="XQ97" s="140"/>
      <c r="XR97" s="140"/>
      <c r="XS97" s="140"/>
      <c r="XT97" s="140"/>
      <c r="XU97" s="140"/>
      <c r="XV97" s="140"/>
      <c r="XW97" s="140"/>
      <c r="XX97" s="140"/>
      <c r="XY97" s="140"/>
      <c r="XZ97" s="140"/>
      <c r="YA97" s="140"/>
      <c r="YB97" s="140"/>
      <c r="YC97" s="140"/>
      <c r="YD97" s="140"/>
      <c r="YE97" s="140"/>
      <c r="YF97" s="140"/>
      <c r="YG97" s="140"/>
      <c r="YH97" s="140"/>
      <c r="YI97" s="140"/>
      <c r="YJ97" s="140"/>
      <c r="YK97" s="140"/>
      <c r="YL97" s="140"/>
      <c r="YM97" s="140"/>
      <c r="YN97" s="140"/>
      <c r="YO97" s="140"/>
      <c r="YP97" s="140"/>
      <c r="YQ97" s="140"/>
      <c r="YR97" s="140"/>
      <c r="YS97" s="140"/>
      <c r="YT97" s="140"/>
      <c r="YU97" s="140"/>
      <c r="YV97" s="140"/>
      <c r="YW97" s="140"/>
      <c r="YX97" s="140"/>
      <c r="YY97" s="140"/>
      <c r="YZ97" s="140"/>
      <c r="ZA97" s="140"/>
      <c r="ZB97" s="140"/>
      <c r="ZC97" s="140"/>
      <c r="ZD97" s="140"/>
      <c r="ZE97" s="140"/>
      <c r="ZF97" s="140"/>
      <c r="ZG97" s="140"/>
      <c r="ZH97" s="140"/>
      <c r="ZI97" s="140"/>
      <c r="ZJ97" s="140"/>
      <c r="ZK97" s="140"/>
      <c r="ZL97" s="140"/>
      <c r="ZM97" s="140"/>
      <c r="ZN97" s="140"/>
      <c r="ZO97" s="140"/>
      <c r="ZP97" s="140"/>
      <c r="ZQ97" s="140"/>
      <c r="ZR97" s="140"/>
      <c r="ZS97" s="140"/>
      <c r="ZT97" s="140"/>
      <c r="ZU97" s="140"/>
      <c r="ZV97" s="140"/>
      <c r="ZW97" s="140"/>
      <c r="ZX97" s="140"/>
      <c r="ZY97" s="140"/>
      <c r="ZZ97" s="140"/>
      <c r="AAA97" s="140"/>
      <c r="AAB97" s="140"/>
      <c r="AAC97" s="140"/>
      <c r="AAD97" s="140"/>
      <c r="AAE97" s="140"/>
      <c r="AAF97" s="140"/>
      <c r="AAG97" s="140"/>
      <c r="AAH97" s="140"/>
      <c r="AAI97" s="140"/>
      <c r="AAJ97" s="140"/>
      <c r="AAK97" s="140"/>
      <c r="AAL97" s="140"/>
      <c r="AAM97" s="140"/>
      <c r="AAN97" s="140"/>
      <c r="AAO97" s="140"/>
      <c r="AAP97" s="140"/>
      <c r="AAQ97" s="140"/>
      <c r="AAR97" s="140"/>
      <c r="AAS97" s="140"/>
      <c r="AAT97" s="140"/>
      <c r="AAU97" s="140"/>
      <c r="AAV97" s="140"/>
      <c r="AAW97" s="140"/>
      <c r="AAX97" s="140"/>
      <c r="AAY97" s="140"/>
      <c r="AAZ97" s="140"/>
      <c r="ABA97" s="140"/>
      <c r="ABB97" s="140"/>
      <c r="ABC97" s="140"/>
      <c r="ABD97" s="140"/>
      <c r="ABE97" s="140"/>
      <c r="ABF97" s="140"/>
      <c r="ABG97" s="140"/>
      <c r="ABH97" s="140"/>
      <c r="ABI97" s="140"/>
      <c r="ABJ97" s="140"/>
      <c r="ABK97" s="140"/>
      <c r="ABL97" s="140"/>
      <c r="ABM97" s="140"/>
      <c r="ABN97" s="140"/>
      <c r="ABO97" s="140"/>
      <c r="ABP97" s="140"/>
      <c r="ABQ97" s="140"/>
      <c r="ABR97" s="140"/>
      <c r="ABS97" s="140"/>
      <c r="ABT97" s="140"/>
      <c r="ABU97" s="140"/>
      <c r="ABV97" s="140"/>
      <c r="ABW97" s="140"/>
      <c r="ABX97" s="140"/>
      <c r="ABY97" s="140"/>
      <c r="ABZ97" s="140"/>
      <c r="ACA97" s="140"/>
      <c r="ACB97" s="140"/>
      <c r="ACC97" s="140"/>
      <c r="ACD97" s="140"/>
      <c r="ACE97" s="140"/>
      <c r="ACF97" s="140"/>
      <c r="ACG97" s="140"/>
      <c r="ACH97" s="140"/>
      <c r="ACI97" s="140"/>
      <c r="ACJ97" s="140"/>
      <c r="ACK97" s="140"/>
      <c r="ACL97" s="140"/>
      <c r="ACM97" s="140"/>
      <c r="ACN97" s="140"/>
      <c r="ACO97" s="140"/>
      <c r="ACP97" s="140"/>
      <c r="ACQ97" s="140"/>
      <c r="ACR97" s="140"/>
      <c r="ACS97" s="140"/>
      <c r="ACT97" s="140"/>
      <c r="ACU97" s="140"/>
      <c r="ACV97" s="140"/>
      <c r="ACW97" s="140"/>
      <c r="ACX97" s="140"/>
      <c r="ACY97" s="140"/>
      <c r="ACZ97" s="140"/>
      <c r="ADA97" s="140"/>
      <c r="ADB97" s="140"/>
      <c r="ADC97" s="140"/>
      <c r="ADD97" s="140"/>
      <c r="ADE97" s="140"/>
      <c r="ADF97" s="140"/>
      <c r="ADG97" s="140"/>
      <c r="ADH97" s="140"/>
      <c r="ADI97" s="140"/>
      <c r="ADJ97" s="140"/>
      <c r="ADK97" s="140"/>
      <c r="ADL97" s="140"/>
      <c r="ADM97" s="140"/>
      <c r="ADN97" s="140"/>
      <c r="ADO97" s="140"/>
      <c r="ADP97" s="140"/>
      <c r="ADQ97" s="140"/>
      <c r="ADR97" s="140"/>
      <c r="ADS97" s="140"/>
      <c r="ADT97" s="140"/>
      <c r="ADU97" s="140"/>
      <c r="ADV97" s="140"/>
      <c r="ADW97" s="140"/>
      <c r="ADX97" s="140"/>
      <c r="ADY97" s="140"/>
      <c r="ADZ97" s="140"/>
      <c r="AEA97" s="140"/>
      <c r="AEB97" s="140"/>
      <c r="AEC97" s="140"/>
      <c r="AED97" s="140"/>
      <c r="AEE97" s="140"/>
      <c r="AEF97" s="140"/>
      <c r="AEG97" s="140"/>
      <c r="AEH97" s="140"/>
      <c r="AEI97" s="140"/>
      <c r="AEJ97" s="140"/>
      <c r="AEK97" s="140"/>
      <c r="AEL97" s="140"/>
      <c r="AEM97" s="140"/>
      <c r="AEN97" s="140"/>
      <c r="AEO97" s="140"/>
      <c r="AEP97" s="140"/>
      <c r="AEQ97" s="140"/>
      <c r="AER97" s="140"/>
      <c r="AES97" s="140"/>
      <c r="AET97" s="140"/>
      <c r="AEU97" s="140"/>
      <c r="AEV97" s="140"/>
      <c r="AEW97" s="140"/>
      <c r="AEX97" s="140"/>
      <c r="AEY97" s="140"/>
      <c r="AEZ97" s="140"/>
      <c r="AFA97" s="140"/>
      <c r="AFB97" s="140"/>
      <c r="AFC97" s="140"/>
      <c r="AFD97" s="140"/>
      <c r="AFE97" s="140"/>
      <c r="AFF97" s="140"/>
      <c r="AFG97" s="140"/>
      <c r="AFH97" s="140"/>
      <c r="AFI97" s="140"/>
      <c r="AFJ97" s="140"/>
      <c r="AFK97" s="140"/>
      <c r="AFL97" s="140"/>
      <c r="AFM97" s="140"/>
      <c r="AFN97" s="140"/>
      <c r="AFO97" s="140"/>
      <c r="AFP97" s="140"/>
      <c r="AFQ97" s="140"/>
      <c r="AFR97" s="140"/>
      <c r="AFS97" s="140"/>
      <c r="AFT97" s="140"/>
      <c r="AFU97" s="140"/>
      <c r="AFV97" s="140"/>
      <c r="AFW97" s="140"/>
      <c r="AFX97" s="140"/>
      <c r="AFY97" s="140"/>
      <c r="AFZ97" s="140"/>
      <c r="AGA97" s="140"/>
      <c r="AGB97" s="140"/>
      <c r="AGC97" s="140"/>
      <c r="AGD97" s="140"/>
      <c r="AGE97" s="140"/>
      <c r="AGF97" s="140"/>
      <c r="AGG97" s="140"/>
      <c r="AGH97" s="140"/>
      <c r="AGI97" s="140"/>
      <c r="AGJ97" s="140"/>
      <c r="AGK97" s="140"/>
      <c r="AGL97" s="140"/>
      <c r="AGM97" s="140"/>
      <c r="AGN97" s="140"/>
      <c r="AGO97" s="140"/>
      <c r="AGP97" s="140"/>
      <c r="AGQ97" s="140"/>
      <c r="AGR97" s="140"/>
      <c r="AGS97" s="140"/>
      <c r="AGT97" s="140"/>
      <c r="AGU97" s="140"/>
      <c r="AGV97" s="140"/>
      <c r="AGW97" s="140"/>
      <c r="AGX97" s="140"/>
      <c r="AGY97" s="140"/>
      <c r="AGZ97" s="140"/>
      <c r="AHA97" s="140"/>
      <c r="AHB97" s="140"/>
      <c r="AHC97" s="140"/>
    </row>
    <row r="98" spans="1:887" ht="20.100000000000001" customHeight="1">
      <c r="A98" s="191" t="str">
        <f>VLOOKUP(C98,'BASE DE DADOS'!A:B,2,FALSE)</f>
        <v>PREPARA INATIVOS</v>
      </c>
      <c r="B98" s="90" t="s">
        <v>522</v>
      </c>
      <c r="C98" s="191" t="s">
        <v>523</v>
      </c>
      <c r="D98" s="75">
        <v>194731.96</v>
      </c>
      <c r="E98" s="98">
        <v>172053.91</v>
      </c>
      <c r="F98" s="103"/>
      <c r="G98" s="192"/>
      <c r="H98" s="193"/>
      <c r="I98" s="193"/>
      <c r="J98" s="193"/>
      <c r="K98" s="193"/>
      <c r="L98" s="193"/>
      <c r="M98" s="193"/>
      <c r="N98" s="193" t="s">
        <v>1743</v>
      </c>
      <c r="O98" s="202">
        <v>44512</v>
      </c>
      <c r="P98" s="145" t="s">
        <v>2825</v>
      </c>
      <c r="Q98" s="195"/>
    </row>
    <row r="99" spans="1:887" ht="20.100000000000001" customHeight="1">
      <c r="A99" s="219" t="str">
        <f>VLOOKUP(C99,'BASE DE DADOS'!A:B,2,FALSE)</f>
        <v>PINGUS ENGLISH INATIVOS</v>
      </c>
      <c r="B99" s="92" t="s">
        <v>163</v>
      </c>
      <c r="C99" s="219" t="s">
        <v>2576</v>
      </c>
      <c r="D99" s="77">
        <v>61327.8</v>
      </c>
      <c r="E99" s="77"/>
      <c r="F99" s="105"/>
      <c r="G99" s="220"/>
      <c r="H99" s="85"/>
      <c r="I99" s="221"/>
      <c r="J99" s="221"/>
      <c r="K99" s="221"/>
      <c r="L99" s="221"/>
      <c r="M99" s="221"/>
      <c r="N99" s="221"/>
      <c r="O99" s="221"/>
      <c r="P99" s="85"/>
      <c r="Q99" s="195" t="s">
        <v>2960</v>
      </c>
    </row>
    <row r="100" spans="1:887" ht="20.100000000000001" customHeight="1">
      <c r="A100" s="191" t="str">
        <f>VLOOKUP(C100,'BASE DE DADOS'!A:B,2,FALSE)</f>
        <v>PEOPLE INATIVOS</v>
      </c>
      <c r="B100" s="90" t="s">
        <v>1956</v>
      </c>
      <c r="C100" s="191" t="s">
        <v>1957</v>
      </c>
      <c r="D100" s="75">
        <v>35956.03</v>
      </c>
      <c r="E100" s="76">
        <v>86025.67</v>
      </c>
      <c r="F100" s="103"/>
      <c r="G100" s="192"/>
      <c r="H100" s="193"/>
      <c r="I100" s="193"/>
      <c r="J100" s="193"/>
      <c r="K100" s="193"/>
      <c r="L100" s="193"/>
      <c r="M100" s="193"/>
      <c r="N100" s="193" t="s">
        <v>1743</v>
      </c>
      <c r="O100" s="202">
        <v>44645</v>
      </c>
      <c r="P100" s="146" t="s">
        <v>2826</v>
      </c>
      <c r="Q100" s="195"/>
    </row>
    <row r="101" spans="1:887" ht="20.100000000000001" customHeight="1">
      <c r="A101" s="191" t="str">
        <f>VLOOKUP(C101,'BASE DE DADOS'!A:B,2,FALSE)</f>
        <v>PREPARA INATIVOS</v>
      </c>
      <c r="B101" s="90" t="s">
        <v>269</v>
      </c>
      <c r="C101" s="191" t="s">
        <v>270</v>
      </c>
      <c r="D101" s="75">
        <v>240605.84</v>
      </c>
      <c r="E101" s="76">
        <v>154205.37</v>
      </c>
      <c r="F101" s="103"/>
      <c r="G101" s="192"/>
      <c r="H101" s="193"/>
      <c r="I101" s="193"/>
      <c r="J101" s="193"/>
      <c r="K101" s="193"/>
      <c r="L101" s="193"/>
      <c r="M101" s="193"/>
      <c r="N101" s="193" t="s">
        <v>1743</v>
      </c>
      <c r="O101" s="202">
        <v>44673</v>
      </c>
      <c r="P101" s="146" t="s">
        <v>2827</v>
      </c>
      <c r="Q101" s="195"/>
    </row>
    <row r="102" spans="1:887" ht="20.100000000000001" customHeight="1">
      <c r="A102" s="191" t="str">
        <f>VLOOKUP(C102,'BASE DE DADOS'!A:B,2,FALSE)</f>
        <v>MICROLINS INATIVOS</v>
      </c>
      <c r="B102" s="90" t="s">
        <v>1885</v>
      </c>
      <c r="C102" s="191" t="s">
        <v>1886</v>
      </c>
      <c r="D102" s="75">
        <v>33039.160000000003</v>
      </c>
      <c r="E102" s="76">
        <v>26731.14</v>
      </c>
      <c r="F102" s="103"/>
      <c r="G102" s="192"/>
      <c r="H102" s="193"/>
      <c r="I102" s="193"/>
      <c r="J102" s="193"/>
      <c r="K102" s="193"/>
      <c r="L102" s="193"/>
      <c r="M102" s="193"/>
      <c r="N102" s="193" t="s">
        <v>1743</v>
      </c>
      <c r="O102" s="202">
        <v>45056</v>
      </c>
      <c r="P102" s="146" t="s">
        <v>2828</v>
      </c>
      <c r="Q102" s="195" t="s">
        <v>2829</v>
      </c>
    </row>
    <row r="103" spans="1:887" ht="20.100000000000001" customHeight="1">
      <c r="A103" s="191" t="str">
        <f>VLOOKUP(C103,'BASE DE DADOS'!A:B,2,FALSE)</f>
        <v>PREPARA INATIVOS</v>
      </c>
      <c r="B103" s="90" t="s">
        <v>886</v>
      </c>
      <c r="C103" s="191" t="s">
        <v>887</v>
      </c>
      <c r="D103" s="75">
        <v>181473.1</v>
      </c>
      <c r="E103" s="76">
        <v>4121.09</v>
      </c>
      <c r="F103" s="103"/>
      <c r="G103" s="192"/>
      <c r="H103" s="193"/>
      <c r="I103" s="193"/>
      <c r="J103" s="193"/>
      <c r="K103" s="193"/>
      <c r="L103" s="193"/>
      <c r="M103" s="193"/>
      <c r="N103" s="193" t="s">
        <v>1743</v>
      </c>
      <c r="O103" s="202">
        <v>44911</v>
      </c>
      <c r="P103" s="146" t="s">
        <v>2830</v>
      </c>
      <c r="Q103" s="114"/>
    </row>
    <row r="104" spans="1:887" ht="20.100000000000001" customHeight="1">
      <c r="A104" s="191" t="str">
        <f>VLOOKUP(C104,'BASE DE DADOS'!A:B,2,FALSE)</f>
        <v>PREPARA INATIVOS</v>
      </c>
      <c r="B104" s="90" t="s">
        <v>221</v>
      </c>
      <c r="C104" s="191" t="s">
        <v>222</v>
      </c>
      <c r="D104" s="75">
        <v>75787.02</v>
      </c>
      <c r="E104" s="76">
        <v>59852.49</v>
      </c>
      <c r="F104" s="103"/>
      <c r="G104" s="192"/>
      <c r="H104" s="193"/>
      <c r="I104" s="193"/>
      <c r="J104" s="193"/>
      <c r="K104" s="193"/>
      <c r="L104" s="193"/>
      <c r="M104" s="193"/>
      <c r="N104" s="193" t="s">
        <v>1743</v>
      </c>
      <c r="O104" s="202">
        <v>44764</v>
      </c>
      <c r="P104" s="145" t="s">
        <v>2831</v>
      </c>
      <c r="Q104" s="195" t="s">
        <v>2832</v>
      </c>
    </row>
    <row r="105" spans="1:887" ht="20.100000000000001" customHeight="1">
      <c r="A105" s="198" t="str">
        <f>VLOOKUP(C105,'BASE DE DADOS'!A:B,2,FALSE)</f>
        <v>MICROLINS INATIVOS</v>
      </c>
      <c r="B105" s="199" t="s">
        <v>1958</v>
      </c>
      <c r="C105" s="198" t="s">
        <v>1959</v>
      </c>
      <c r="D105" s="162">
        <v>165378.74</v>
      </c>
      <c r="E105" s="162"/>
      <c r="F105" s="163"/>
      <c r="G105" s="200"/>
      <c r="H105" s="201"/>
      <c r="I105" s="201"/>
      <c r="J105" s="201" t="s">
        <v>1743</v>
      </c>
      <c r="K105" s="201"/>
      <c r="L105" s="201"/>
      <c r="M105" s="201"/>
      <c r="N105" s="201"/>
      <c r="O105" s="201"/>
      <c r="P105" s="157"/>
      <c r="Q105" s="195" t="s">
        <v>2422</v>
      </c>
    </row>
    <row r="106" spans="1:887" ht="20.100000000000001" customHeight="1">
      <c r="A106" s="191" t="str">
        <f>VLOOKUP(C106,'BASE DE DADOS'!A:B,2,FALSE)</f>
        <v>ENSINA MAIS INATIVOS</v>
      </c>
      <c r="B106" s="90" t="s">
        <v>36</v>
      </c>
      <c r="C106" s="191" t="s">
        <v>1924</v>
      </c>
      <c r="D106" s="75">
        <v>73557.919999999998</v>
      </c>
      <c r="E106" s="76">
        <v>5192.04</v>
      </c>
      <c r="F106" s="103"/>
      <c r="G106" s="192"/>
      <c r="H106" s="193"/>
      <c r="I106" s="193"/>
      <c r="J106" s="193"/>
      <c r="K106" s="193"/>
      <c r="L106" s="193"/>
      <c r="M106" s="61"/>
      <c r="N106" s="193" t="s">
        <v>1743</v>
      </c>
      <c r="O106" s="202">
        <v>45523</v>
      </c>
      <c r="P106" s="146" t="s">
        <v>2833</v>
      </c>
      <c r="Q106" s="195" t="s">
        <v>2689</v>
      </c>
    </row>
    <row r="107" spans="1:887" ht="20.100000000000001" customHeight="1">
      <c r="A107" s="191" t="str">
        <f>VLOOKUP(C107,'BASE DE DADOS'!A:B,2,FALSE)</f>
        <v>PREPARA INATIVOS</v>
      </c>
      <c r="B107" s="90" t="s">
        <v>205</v>
      </c>
      <c r="C107" s="191" t="s">
        <v>206</v>
      </c>
      <c r="D107" s="75">
        <v>86033.52</v>
      </c>
      <c r="E107" s="98">
        <v>158279.59</v>
      </c>
      <c r="F107" s="103"/>
      <c r="G107" s="192"/>
      <c r="H107" s="193"/>
      <c r="I107" s="193"/>
      <c r="J107" s="193"/>
      <c r="K107" s="193"/>
      <c r="L107" s="193"/>
      <c r="M107" s="193"/>
      <c r="N107" s="193" t="s">
        <v>1743</v>
      </c>
      <c r="O107" s="202">
        <v>44725</v>
      </c>
      <c r="P107" s="145" t="s">
        <v>2834</v>
      </c>
      <c r="Q107" s="195" t="s">
        <v>2256</v>
      </c>
    </row>
    <row r="108" spans="1:887" ht="20.100000000000001" customHeight="1">
      <c r="A108" s="191" t="str">
        <f>VLOOKUP(C108,'BASE DE DADOS'!A:B,2,FALSE)</f>
        <v>PREPARA INATIVOS</v>
      </c>
      <c r="B108" s="90" t="s">
        <v>2176</v>
      </c>
      <c r="C108" s="62" t="s">
        <v>306</v>
      </c>
      <c r="D108" s="75">
        <v>210405.85</v>
      </c>
      <c r="E108" s="76">
        <v>224158.12</v>
      </c>
      <c r="F108" s="103"/>
      <c r="G108" s="192"/>
      <c r="H108" s="193"/>
      <c r="I108" s="193"/>
      <c r="J108" s="193"/>
      <c r="K108" s="193"/>
      <c r="L108" s="193"/>
      <c r="M108" s="193"/>
      <c r="N108" s="193" t="s">
        <v>1743</v>
      </c>
      <c r="O108" s="202">
        <v>44537</v>
      </c>
      <c r="P108" s="146" t="s">
        <v>2835</v>
      </c>
      <c r="Q108" s="195"/>
    </row>
    <row r="109" spans="1:887" ht="20.100000000000001" customHeight="1">
      <c r="A109" s="191" t="str">
        <f>VLOOKUP(C109,'BASE DE DADOS'!A:B,2,FALSE)</f>
        <v>PREPARA INATIVOS</v>
      </c>
      <c r="B109" s="90" t="s">
        <v>207</v>
      </c>
      <c r="C109" s="191" t="s">
        <v>208</v>
      </c>
      <c r="D109" s="75">
        <v>85764.6</v>
      </c>
      <c r="E109" s="98">
        <v>149972.38</v>
      </c>
      <c r="F109" s="103"/>
      <c r="G109" s="192"/>
      <c r="H109" s="193"/>
      <c r="I109" s="193"/>
      <c r="J109" s="193"/>
      <c r="K109" s="193"/>
      <c r="L109" s="193"/>
      <c r="M109" s="193"/>
      <c r="N109" s="193" t="s">
        <v>1743</v>
      </c>
      <c r="O109" s="202">
        <v>44662</v>
      </c>
      <c r="P109" s="146" t="s">
        <v>2836</v>
      </c>
      <c r="Q109" s="195" t="s">
        <v>2236</v>
      </c>
    </row>
    <row r="110" spans="1:887" ht="20.100000000000001" customHeight="1">
      <c r="A110" s="191" t="str">
        <f>VLOOKUP(C110,'BASE DE DADOS'!A:B,2,FALSE)</f>
        <v>PREPARA INATIVOS</v>
      </c>
      <c r="B110" s="90" t="s">
        <v>248</v>
      </c>
      <c r="C110" s="191" t="s">
        <v>249</v>
      </c>
      <c r="D110" s="75">
        <v>31084.93</v>
      </c>
      <c r="E110" s="76">
        <v>66716.03</v>
      </c>
      <c r="F110" s="103"/>
      <c r="G110" s="192"/>
      <c r="H110" s="193"/>
      <c r="I110" s="193"/>
      <c r="J110" s="193"/>
      <c r="K110" s="193"/>
      <c r="L110" s="193"/>
      <c r="M110" s="193"/>
      <c r="N110" s="193" t="s">
        <v>1743</v>
      </c>
      <c r="O110" s="202">
        <v>44544</v>
      </c>
      <c r="P110" s="146" t="s">
        <v>2837</v>
      </c>
      <c r="Q110" s="195"/>
    </row>
    <row r="111" spans="1:887" ht="20.100000000000001" customHeight="1">
      <c r="A111" s="191" t="str">
        <f>VLOOKUP(C111,'BASE DE DADOS'!A:B,2,FALSE)</f>
        <v>PREPARA INATIVOS</v>
      </c>
      <c r="B111" s="90" t="s">
        <v>181</v>
      </c>
      <c r="C111" s="191" t="s">
        <v>182</v>
      </c>
      <c r="D111" s="75">
        <v>90735.88</v>
      </c>
      <c r="E111" s="76">
        <v>33747.949999999997</v>
      </c>
      <c r="F111" s="103"/>
      <c r="G111" s="192"/>
      <c r="H111" s="193"/>
      <c r="I111" s="193"/>
      <c r="J111" s="193"/>
      <c r="K111" s="193"/>
      <c r="L111" s="193"/>
      <c r="M111" s="193"/>
      <c r="N111" s="193" t="s">
        <v>1743</v>
      </c>
      <c r="O111" s="202">
        <v>44834</v>
      </c>
      <c r="P111" s="146" t="s">
        <v>2838</v>
      </c>
      <c r="Q111" s="195"/>
    </row>
    <row r="112" spans="1:887" ht="20.100000000000001" customHeight="1">
      <c r="A112" s="191" t="str">
        <f>VLOOKUP(C112,'BASE DE DADOS'!A:B,2,FALSE)</f>
        <v>PREPARA INATIVOS</v>
      </c>
      <c r="B112" s="90" t="s">
        <v>153</v>
      </c>
      <c r="C112" s="191" t="s">
        <v>154</v>
      </c>
      <c r="D112" s="75">
        <v>35740.32</v>
      </c>
      <c r="E112" s="76">
        <v>14681.5</v>
      </c>
      <c r="F112" s="103"/>
      <c r="G112" s="192"/>
      <c r="H112" s="193"/>
      <c r="I112" s="193"/>
      <c r="J112" s="193"/>
      <c r="K112" s="193"/>
      <c r="L112" s="193"/>
      <c r="M112" s="193"/>
      <c r="N112" s="193" t="s">
        <v>1743</v>
      </c>
      <c r="O112" s="202">
        <v>44764</v>
      </c>
      <c r="P112" s="146" t="s">
        <v>2839</v>
      </c>
      <c r="Q112" s="195" t="s">
        <v>2318</v>
      </c>
    </row>
    <row r="113" spans="1:887" s="73" customFormat="1" ht="20.100000000000001" customHeight="1">
      <c r="A113" s="191" t="str">
        <f>VLOOKUP(C113,'BASE DE DADOS'!A:B,2,FALSE)</f>
        <v>PREPARA INATIVOS</v>
      </c>
      <c r="B113" s="90" t="s">
        <v>315</v>
      </c>
      <c r="C113" s="191" t="s">
        <v>316</v>
      </c>
      <c r="D113" s="75">
        <v>82797</v>
      </c>
      <c r="E113" s="99">
        <v>72204.94</v>
      </c>
      <c r="F113" s="103"/>
      <c r="G113" s="192"/>
      <c r="H113" s="67"/>
      <c r="I113" s="193"/>
      <c r="J113" s="193"/>
      <c r="K113" s="193"/>
      <c r="L113" s="193"/>
      <c r="M113" s="193"/>
      <c r="N113" s="193" t="s">
        <v>1743</v>
      </c>
      <c r="O113" s="101">
        <v>46010</v>
      </c>
      <c r="P113" s="87" t="s">
        <v>2974</v>
      </c>
      <c r="Q113" s="226" t="s">
        <v>3525</v>
      </c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95"/>
      <c r="BP113" s="95"/>
      <c r="BQ113" s="95"/>
      <c r="BR113" s="95"/>
      <c r="BS113" s="95"/>
      <c r="BT113" s="95"/>
      <c r="BU113" s="95"/>
      <c r="BV113" s="95"/>
      <c r="BW113" s="95"/>
      <c r="BX113" s="95"/>
      <c r="BY113" s="95"/>
      <c r="BZ113" s="95"/>
      <c r="CA113" s="95"/>
      <c r="CB113" s="95"/>
      <c r="CC113" s="95"/>
      <c r="CD113" s="95"/>
      <c r="CE113" s="95"/>
      <c r="CF113" s="95"/>
      <c r="CG113" s="95"/>
      <c r="CH113" s="95"/>
      <c r="CI113" s="95"/>
      <c r="CJ113" s="95"/>
      <c r="CK113" s="95"/>
      <c r="CL113" s="95"/>
      <c r="CM113" s="95"/>
      <c r="CN113" s="95"/>
      <c r="CO113" s="95"/>
      <c r="CP113" s="95"/>
      <c r="CQ113" s="95"/>
      <c r="CR113" s="95"/>
      <c r="CS113" s="95"/>
      <c r="CT113" s="95"/>
      <c r="CU113" s="95"/>
      <c r="CV113" s="95"/>
      <c r="CW113" s="95"/>
      <c r="CX113" s="95"/>
      <c r="CY113" s="95"/>
      <c r="CZ113" s="95"/>
      <c r="DA113" s="95"/>
      <c r="DB113" s="95"/>
      <c r="DC113" s="95"/>
      <c r="DD113" s="95"/>
      <c r="DE113" s="95"/>
      <c r="DF113" s="95"/>
      <c r="DG113" s="95"/>
      <c r="DH113" s="95"/>
      <c r="DI113" s="95"/>
      <c r="DJ113" s="95"/>
      <c r="DK113" s="95"/>
      <c r="DL113" s="95"/>
      <c r="DM113" s="95"/>
      <c r="DN113" s="95"/>
      <c r="DO113" s="95"/>
      <c r="DP113" s="95"/>
      <c r="DQ113" s="95"/>
      <c r="DR113" s="95"/>
      <c r="DS113" s="95"/>
      <c r="DT113" s="95"/>
      <c r="DU113" s="95"/>
      <c r="DV113" s="95"/>
      <c r="DW113" s="95"/>
      <c r="DX113" s="95"/>
      <c r="DY113" s="95"/>
      <c r="DZ113" s="95"/>
      <c r="EA113" s="95"/>
      <c r="EB113" s="95"/>
      <c r="EC113" s="95"/>
      <c r="ED113" s="95"/>
      <c r="EE113" s="95"/>
      <c r="EF113" s="95"/>
      <c r="EG113" s="95"/>
      <c r="EH113" s="95"/>
      <c r="EI113" s="95"/>
      <c r="EJ113" s="95"/>
      <c r="EK113" s="95"/>
      <c r="EL113" s="95"/>
      <c r="EM113" s="95"/>
      <c r="EN113" s="95"/>
      <c r="EO113" s="95"/>
      <c r="EP113" s="95"/>
      <c r="EQ113" s="95"/>
      <c r="ER113" s="95"/>
      <c r="ES113" s="95"/>
      <c r="ET113" s="95"/>
      <c r="EU113" s="95"/>
      <c r="EV113" s="95"/>
      <c r="EW113" s="95"/>
      <c r="EX113" s="95"/>
      <c r="EY113" s="95"/>
      <c r="EZ113" s="95"/>
      <c r="FA113" s="95"/>
      <c r="FB113" s="95"/>
      <c r="FC113" s="95"/>
      <c r="FD113" s="95"/>
      <c r="FE113" s="95"/>
      <c r="FF113" s="95"/>
      <c r="FG113" s="95"/>
      <c r="FH113" s="95"/>
      <c r="FI113" s="95"/>
      <c r="FJ113" s="95"/>
      <c r="FK113" s="95"/>
      <c r="FL113" s="95"/>
      <c r="FM113" s="95"/>
      <c r="FN113" s="95"/>
      <c r="FO113" s="95"/>
      <c r="FP113" s="95"/>
      <c r="FQ113" s="95"/>
      <c r="FR113" s="95"/>
      <c r="FS113" s="95"/>
      <c r="FT113" s="95"/>
      <c r="FU113" s="95"/>
      <c r="FV113" s="95"/>
      <c r="FW113" s="95"/>
      <c r="FX113" s="95"/>
      <c r="FY113" s="95"/>
      <c r="FZ113" s="95"/>
      <c r="GA113" s="95"/>
      <c r="GB113" s="95"/>
      <c r="GC113" s="95"/>
      <c r="GD113" s="95"/>
      <c r="GE113" s="95"/>
      <c r="GF113" s="95"/>
      <c r="GG113" s="95"/>
      <c r="GH113" s="95"/>
      <c r="GI113" s="95"/>
      <c r="GJ113" s="95"/>
      <c r="GK113" s="95"/>
      <c r="GL113" s="95"/>
      <c r="GM113" s="95"/>
      <c r="GN113" s="95"/>
      <c r="GO113" s="95"/>
      <c r="GP113" s="95"/>
      <c r="GQ113" s="95"/>
      <c r="GR113" s="95"/>
      <c r="GS113" s="95"/>
      <c r="GT113" s="95"/>
      <c r="GU113" s="95"/>
      <c r="GV113" s="95"/>
      <c r="GW113" s="95"/>
      <c r="GX113" s="95"/>
      <c r="GY113" s="95"/>
      <c r="GZ113" s="95"/>
      <c r="HA113" s="95"/>
      <c r="HB113" s="95"/>
      <c r="HC113" s="95"/>
      <c r="HD113" s="95"/>
      <c r="HE113" s="95"/>
      <c r="HF113" s="95"/>
      <c r="HG113" s="95"/>
      <c r="HH113" s="95"/>
      <c r="HI113" s="95"/>
      <c r="HJ113" s="95"/>
      <c r="HK113" s="95"/>
      <c r="HL113" s="95"/>
      <c r="HM113" s="95"/>
      <c r="HN113" s="95"/>
      <c r="HO113" s="95"/>
      <c r="HP113" s="95"/>
      <c r="HQ113" s="95"/>
      <c r="HR113" s="95"/>
      <c r="HS113" s="95"/>
      <c r="HT113" s="95"/>
      <c r="HU113" s="95"/>
      <c r="HV113" s="95"/>
      <c r="HW113" s="95"/>
      <c r="HX113" s="95"/>
      <c r="HY113" s="95"/>
      <c r="HZ113" s="95"/>
      <c r="IA113" s="95"/>
      <c r="IB113" s="95"/>
      <c r="IC113" s="95"/>
      <c r="ID113" s="95"/>
      <c r="IE113" s="95"/>
      <c r="IF113" s="95"/>
      <c r="IG113" s="95"/>
      <c r="IH113" s="95"/>
      <c r="II113" s="95"/>
      <c r="IJ113" s="95"/>
      <c r="IK113" s="95"/>
      <c r="IL113" s="95"/>
      <c r="IM113" s="95"/>
      <c r="IN113" s="95"/>
      <c r="IO113" s="95"/>
      <c r="IP113" s="95"/>
      <c r="IQ113" s="95"/>
      <c r="IR113" s="95"/>
      <c r="IS113" s="95"/>
      <c r="IT113" s="95"/>
      <c r="IU113" s="95"/>
      <c r="IV113" s="95"/>
      <c r="IW113" s="95"/>
      <c r="IX113" s="95"/>
      <c r="IY113" s="95"/>
      <c r="IZ113" s="95"/>
      <c r="JA113" s="95"/>
      <c r="JB113" s="95"/>
      <c r="JC113" s="95"/>
      <c r="JD113" s="95"/>
      <c r="JE113" s="95"/>
      <c r="JF113" s="95"/>
      <c r="JG113" s="95"/>
      <c r="JH113" s="95"/>
      <c r="JI113" s="95"/>
      <c r="JJ113" s="95"/>
      <c r="JK113" s="95"/>
      <c r="JL113" s="95"/>
      <c r="JM113" s="95"/>
      <c r="JN113" s="95"/>
      <c r="JO113" s="95"/>
      <c r="JP113" s="95"/>
      <c r="JQ113" s="95"/>
      <c r="JR113" s="95"/>
      <c r="JS113" s="95"/>
      <c r="JT113" s="95"/>
      <c r="JU113" s="95"/>
      <c r="JV113" s="95"/>
      <c r="JW113" s="95"/>
      <c r="JX113" s="95"/>
      <c r="JY113" s="95"/>
      <c r="JZ113" s="95"/>
      <c r="KA113" s="95"/>
      <c r="KB113" s="95"/>
      <c r="KC113" s="95"/>
      <c r="KD113" s="95"/>
      <c r="KE113" s="95"/>
      <c r="KF113" s="95"/>
      <c r="KG113" s="95"/>
      <c r="KH113" s="95"/>
      <c r="KI113" s="95"/>
      <c r="KJ113" s="95"/>
      <c r="KK113" s="95"/>
      <c r="KL113" s="95"/>
      <c r="KM113" s="95"/>
      <c r="KN113" s="95"/>
      <c r="KO113" s="95"/>
      <c r="KP113" s="95"/>
      <c r="KQ113" s="95"/>
      <c r="KR113" s="95"/>
      <c r="KS113" s="95"/>
      <c r="KT113" s="95"/>
      <c r="KU113" s="95"/>
      <c r="KV113" s="95"/>
      <c r="KW113" s="95"/>
      <c r="KX113" s="95"/>
      <c r="KY113" s="95"/>
      <c r="KZ113" s="95"/>
      <c r="LA113" s="95"/>
      <c r="LB113" s="95"/>
      <c r="LC113" s="95"/>
      <c r="LD113" s="95"/>
      <c r="LE113" s="95"/>
      <c r="LF113" s="95"/>
      <c r="LG113" s="95"/>
      <c r="LH113" s="95"/>
      <c r="LI113" s="95"/>
      <c r="LJ113" s="95"/>
      <c r="LK113" s="95"/>
      <c r="LL113" s="95"/>
      <c r="LM113" s="95"/>
      <c r="LN113" s="95"/>
      <c r="LO113" s="95"/>
      <c r="LP113" s="95"/>
      <c r="LQ113" s="95"/>
      <c r="LR113" s="95"/>
      <c r="LS113" s="95"/>
      <c r="LT113" s="95"/>
      <c r="LU113" s="95"/>
      <c r="LV113" s="95"/>
      <c r="LW113" s="95"/>
      <c r="LX113" s="95"/>
      <c r="LY113" s="95"/>
      <c r="LZ113" s="95"/>
      <c r="MA113" s="95"/>
      <c r="MB113" s="95"/>
      <c r="MC113" s="95"/>
      <c r="MD113" s="95"/>
      <c r="ME113" s="95"/>
      <c r="MF113" s="95"/>
      <c r="MG113" s="95"/>
      <c r="MH113" s="95"/>
      <c r="MI113" s="95"/>
      <c r="MJ113" s="95"/>
      <c r="MK113" s="95"/>
      <c r="ML113" s="95"/>
      <c r="MM113" s="95"/>
      <c r="MN113" s="95"/>
      <c r="MO113" s="95"/>
      <c r="MP113" s="95"/>
      <c r="MQ113" s="95"/>
      <c r="MR113" s="95"/>
      <c r="MS113" s="95"/>
      <c r="MT113" s="95"/>
      <c r="MU113" s="95"/>
      <c r="MV113" s="95"/>
      <c r="MW113" s="95"/>
      <c r="MX113" s="95"/>
      <c r="MY113" s="95"/>
      <c r="MZ113" s="95"/>
      <c r="NA113" s="95"/>
      <c r="NB113" s="95"/>
      <c r="NC113" s="95"/>
      <c r="ND113" s="95"/>
      <c r="NE113" s="95"/>
      <c r="NF113" s="95"/>
      <c r="NG113" s="95"/>
      <c r="NH113" s="95"/>
      <c r="NI113" s="95"/>
      <c r="NJ113" s="95"/>
      <c r="NK113" s="95"/>
      <c r="NL113" s="95"/>
      <c r="NM113" s="95"/>
      <c r="NN113" s="95"/>
      <c r="NO113" s="95"/>
      <c r="NP113" s="95"/>
      <c r="NQ113" s="95"/>
      <c r="NR113" s="95"/>
      <c r="NS113" s="95"/>
      <c r="NT113" s="95"/>
      <c r="NU113" s="95"/>
      <c r="NV113" s="95"/>
      <c r="NW113" s="95"/>
      <c r="NX113" s="95"/>
      <c r="NY113" s="95"/>
      <c r="NZ113" s="95"/>
      <c r="OA113" s="95"/>
      <c r="OB113" s="95"/>
      <c r="OC113" s="95"/>
      <c r="OD113" s="95"/>
      <c r="OE113" s="95"/>
      <c r="OF113" s="95"/>
      <c r="OG113" s="95"/>
      <c r="OH113" s="95"/>
      <c r="OI113" s="95"/>
      <c r="OJ113" s="95"/>
      <c r="OK113" s="95"/>
      <c r="OL113" s="95"/>
      <c r="OM113" s="95"/>
      <c r="ON113" s="95"/>
      <c r="OO113" s="95"/>
      <c r="OP113" s="95"/>
      <c r="OQ113" s="95"/>
      <c r="OR113" s="95"/>
      <c r="OS113" s="95"/>
      <c r="OT113" s="95"/>
      <c r="OU113" s="95"/>
      <c r="OV113" s="95"/>
      <c r="OW113" s="95"/>
      <c r="OX113" s="95"/>
      <c r="OY113" s="95"/>
      <c r="OZ113" s="95"/>
      <c r="PA113" s="95"/>
      <c r="PB113" s="95"/>
      <c r="PC113" s="95"/>
      <c r="PD113" s="95"/>
      <c r="PE113" s="95"/>
      <c r="PF113" s="95"/>
      <c r="PG113" s="95"/>
      <c r="PH113" s="95"/>
      <c r="PI113" s="95"/>
      <c r="PJ113" s="95"/>
      <c r="PK113" s="95"/>
      <c r="PL113" s="95"/>
      <c r="PM113" s="95"/>
      <c r="PN113" s="95"/>
      <c r="PO113" s="95"/>
      <c r="PP113" s="95"/>
      <c r="PQ113" s="95"/>
      <c r="PR113" s="95"/>
      <c r="PS113" s="95"/>
      <c r="PT113" s="95"/>
      <c r="PU113" s="95"/>
      <c r="PV113" s="95"/>
      <c r="PW113" s="95"/>
      <c r="PX113" s="95"/>
      <c r="PY113" s="95"/>
      <c r="PZ113" s="95"/>
      <c r="QA113" s="95"/>
      <c r="QB113" s="95"/>
      <c r="QC113" s="95"/>
      <c r="QD113" s="95"/>
      <c r="QE113" s="95"/>
      <c r="QF113" s="95"/>
      <c r="QG113" s="95"/>
      <c r="QH113" s="95"/>
      <c r="QI113" s="95"/>
      <c r="QJ113" s="95"/>
      <c r="QK113" s="95"/>
      <c r="QL113" s="95"/>
      <c r="QM113" s="95"/>
      <c r="QN113" s="95"/>
      <c r="QO113" s="95"/>
      <c r="QP113" s="95"/>
      <c r="QQ113" s="95"/>
      <c r="QR113" s="95"/>
      <c r="QS113" s="95"/>
      <c r="QT113" s="95"/>
      <c r="QU113" s="95"/>
      <c r="QV113" s="95"/>
      <c r="QW113" s="95"/>
      <c r="QX113" s="95"/>
      <c r="QY113" s="95"/>
      <c r="QZ113" s="95"/>
      <c r="RA113" s="95"/>
      <c r="RB113" s="95"/>
      <c r="RC113" s="95"/>
      <c r="RD113" s="95"/>
      <c r="RE113" s="95"/>
      <c r="RF113" s="95"/>
      <c r="RG113" s="95"/>
      <c r="RH113" s="95"/>
      <c r="RI113" s="95"/>
      <c r="RJ113" s="95"/>
      <c r="RK113" s="95"/>
      <c r="RL113" s="95"/>
      <c r="RM113" s="95"/>
      <c r="RN113" s="95"/>
      <c r="RO113" s="95"/>
      <c r="RP113" s="95"/>
      <c r="RQ113" s="95"/>
      <c r="RR113" s="95"/>
      <c r="RS113" s="95"/>
      <c r="RT113" s="95"/>
      <c r="RU113" s="95"/>
      <c r="RV113" s="95"/>
      <c r="RW113" s="95"/>
      <c r="RX113" s="95"/>
      <c r="RY113" s="95"/>
      <c r="RZ113" s="95"/>
      <c r="SA113" s="95"/>
      <c r="SB113" s="95"/>
      <c r="SC113" s="95"/>
      <c r="SD113" s="95"/>
      <c r="SE113" s="95"/>
      <c r="SF113" s="95"/>
      <c r="SG113" s="95"/>
      <c r="SH113" s="95"/>
      <c r="SI113" s="95"/>
      <c r="SJ113" s="95"/>
      <c r="SK113" s="95"/>
      <c r="SL113" s="95"/>
      <c r="SM113" s="95"/>
      <c r="SN113" s="95"/>
      <c r="SO113" s="95"/>
      <c r="SP113" s="95"/>
      <c r="SQ113" s="95"/>
      <c r="SR113" s="95"/>
      <c r="SS113" s="95"/>
      <c r="ST113" s="95"/>
      <c r="SU113" s="95"/>
      <c r="SV113" s="95"/>
      <c r="SW113" s="95"/>
      <c r="SX113" s="95"/>
      <c r="SY113" s="95"/>
      <c r="SZ113" s="95"/>
      <c r="TA113" s="95"/>
      <c r="TB113" s="95"/>
      <c r="TC113" s="95"/>
      <c r="TD113" s="95"/>
      <c r="TE113" s="95"/>
      <c r="TF113" s="95"/>
      <c r="TG113" s="95"/>
      <c r="TH113" s="95"/>
      <c r="TI113" s="95"/>
      <c r="TJ113" s="95"/>
      <c r="TK113" s="95"/>
      <c r="TL113" s="95"/>
      <c r="TM113" s="95"/>
      <c r="TN113" s="95"/>
      <c r="TO113" s="95"/>
      <c r="TP113" s="95"/>
      <c r="TQ113" s="95"/>
      <c r="TR113" s="95"/>
      <c r="TS113" s="95"/>
      <c r="TT113" s="95"/>
      <c r="TU113" s="95"/>
      <c r="TV113" s="95"/>
      <c r="TW113" s="95"/>
      <c r="TX113" s="95"/>
      <c r="TY113" s="95"/>
      <c r="TZ113" s="95"/>
      <c r="UA113" s="95"/>
      <c r="UB113" s="95"/>
      <c r="UC113" s="95"/>
      <c r="UD113" s="95"/>
      <c r="UE113" s="95"/>
      <c r="UF113" s="95"/>
      <c r="UG113" s="95"/>
      <c r="UH113" s="95"/>
      <c r="UI113" s="95"/>
      <c r="UJ113" s="95"/>
      <c r="UK113" s="95"/>
      <c r="UL113" s="95"/>
      <c r="UM113" s="95"/>
      <c r="UN113" s="95"/>
      <c r="UO113" s="95"/>
      <c r="UP113" s="95"/>
      <c r="UQ113" s="95"/>
      <c r="UR113" s="95"/>
      <c r="US113" s="95"/>
      <c r="UT113" s="95"/>
      <c r="UU113" s="95"/>
      <c r="UV113" s="95"/>
      <c r="UW113" s="95"/>
      <c r="UX113" s="95"/>
      <c r="UY113" s="95"/>
      <c r="UZ113" s="95"/>
      <c r="VA113" s="95"/>
      <c r="VB113" s="95"/>
      <c r="VC113" s="95"/>
      <c r="VD113" s="95"/>
      <c r="VE113" s="95"/>
      <c r="VF113" s="95"/>
      <c r="VG113" s="95"/>
      <c r="VH113" s="95"/>
      <c r="VI113" s="95"/>
      <c r="VJ113" s="95"/>
      <c r="VK113" s="95"/>
      <c r="VL113" s="95"/>
      <c r="VM113" s="95"/>
      <c r="VN113" s="95"/>
      <c r="VO113" s="95"/>
      <c r="VP113" s="95"/>
      <c r="VQ113" s="95"/>
      <c r="VR113" s="95"/>
      <c r="VS113" s="95"/>
      <c r="VT113" s="95"/>
      <c r="VU113" s="95"/>
      <c r="VV113" s="95"/>
      <c r="VW113" s="95"/>
      <c r="VX113" s="95"/>
      <c r="VY113" s="95"/>
      <c r="VZ113" s="95"/>
      <c r="WA113" s="95"/>
      <c r="WB113" s="95"/>
      <c r="WC113" s="95"/>
      <c r="WD113" s="95"/>
      <c r="WE113" s="95"/>
      <c r="WF113" s="95"/>
      <c r="WG113" s="95"/>
      <c r="WH113" s="95"/>
      <c r="WI113" s="95"/>
      <c r="WJ113" s="95"/>
      <c r="WK113" s="95"/>
      <c r="WL113" s="95"/>
      <c r="WM113" s="95"/>
      <c r="WN113" s="95"/>
      <c r="WO113" s="95"/>
      <c r="WP113" s="95"/>
      <c r="WQ113" s="95"/>
      <c r="WR113" s="95"/>
      <c r="WS113" s="95"/>
      <c r="WT113" s="95"/>
      <c r="WU113" s="95"/>
      <c r="WV113" s="95"/>
      <c r="WW113" s="95"/>
      <c r="WX113" s="95"/>
      <c r="WY113" s="95"/>
      <c r="WZ113" s="95"/>
      <c r="XA113" s="95"/>
      <c r="XB113" s="95"/>
      <c r="XC113" s="95"/>
      <c r="XD113" s="95"/>
      <c r="XE113" s="95"/>
      <c r="XF113" s="95"/>
      <c r="XG113" s="95"/>
      <c r="XH113" s="95"/>
      <c r="XI113" s="95"/>
      <c r="XJ113" s="95"/>
      <c r="XK113" s="95"/>
      <c r="XL113" s="95"/>
      <c r="XM113" s="95"/>
      <c r="XN113" s="95"/>
      <c r="XO113" s="95"/>
      <c r="XP113" s="95"/>
      <c r="XQ113" s="95"/>
      <c r="XR113" s="95"/>
      <c r="XS113" s="95"/>
      <c r="XT113" s="95"/>
      <c r="XU113" s="95"/>
      <c r="XV113" s="95"/>
      <c r="XW113" s="95"/>
      <c r="XX113" s="95"/>
      <c r="XY113" s="95"/>
      <c r="XZ113" s="95"/>
      <c r="YA113" s="95"/>
      <c r="YB113" s="95"/>
      <c r="YC113" s="95"/>
      <c r="YD113" s="95"/>
      <c r="YE113" s="95"/>
      <c r="YF113" s="95"/>
      <c r="YG113" s="95"/>
      <c r="YH113" s="95"/>
      <c r="YI113" s="95"/>
      <c r="YJ113" s="95"/>
      <c r="YK113" s="95"/>
      <c r="YL113" s="95"/>
      <c r="YM113" s="95"/>
      <c r="YN113" s="95"/>
      <c r="YO113" s="95"/>
      <c r="YP113" s="95"/>
      <c r="YQ113" s="95"/>
      <c r="YR113" s="95"/>
      <c r="YS113" s="95"/>
      <c r="YT113" s="95"/>
      <c r="YU113" s="95"/>
      <c r="YV113" s="95"/>
      <c r="YW113" s="95"/>
      <c r="YX113" s="95"/>
      <c r="YY113" s="95"/>
      <c r="YZ113" s="95"/>
      <c r="ZA113" s="95"/>
      <c r="ZB113" s="95"/>
      <c r="ZC113" s="95"/>
      <c r="ZD113" s="95"/>
      <c r="ZE113" s="95"/>
      <c r="ZF113" s="95"/>
      <c r="ZG113" s="95"/>
      <c r="ZH113" s="95"/>
      <c r="ZI113" s="95"/>
      <c r="ZJ113" s="95"/>
      <c r="ZK113" s="95"/>
      <c r="ZL113" s="95"/>
      <c r="ZM113" s="95"/>
      <c r="ZN113" s="95"/>
      <c r="ZO113" s="95"/>
      <c r="ZP113" s="95"/>
      <c r="ZQ113" s="95"/>
      <c r="ZR113" s="95"/>
      <c r="ZS113" s="95"/>
      <c r="ZT113" s="95"/>
      <c r="ZU113" s="95"/>
      <c r="ZV113" s="95"/>
      <c r="ZW113" s="95"/>
      <c r="ZX113" s="95"/>
      <c r="ZY113" s="95"/>
      <c r="ZZ113" s="95"/>
      <c r="AAA113" s="95"/>
      <c r="AAB113" s="95"/>
      <c r="AAC113" s="95"/>
      <c r="AAD113" s="95"/>
      <c r="AAE113" s="95"/>
      <c r="AAF113" s="95"/>
      <c r="AAG113" s="95"/>
      <c r="AAH113" s="95"/>
      <c r="AAI113" s="95"/>
      <c r="AAJ113" s="95"/>
      <c r="AAK113" s="95"/>
      <c r="AAL113" s="95"/>
      <c r="AAM113" s="95"/>
      <c r="AAN113" s="95"/>
      <c r="AAO113" s="95"/>
      <c r="AAP113" s="95"/>
      <c r="AAQ113" s="95"/>
      <c r="AAR113" s="95"/>
      <c r="AAS113" s="95"/>
      <c r="AAT113" s="95"/>
      <c r="AAU113" s="95"/>
      <c r="AAV113" s="95"/>
      <c r="AAW113" s="95"/>
      <c r="AAX113" s="95"/>
      <c r="AAY113" s="95"/>
      <c r="AAZ113" s="95"/>
      <c r="ABA113" s="95"/>
      <c r="ABB113" s="95"/>
      <c r="ABC113" s="95"/>
      <c r="ABD113" s="95"/>
      <c r="ABE113" s="95"/>
      <c r="ABF113" s="95"/>
      <c r="ABG113" s="95"/>
      <c r="ABH113" s="95"/>
      <c r="ABI113" s="95"/>
      <c r="ABJ113" s="95"/>
      <c r="ABK113" s="95"/>
      <c r="ABL113" s="95"/>
      <c r="ABM113" s="95"/>
      <c r="ABN113" s="95"/>
      <c r="ABO113" s="95"/>
      <c r="ABP113" s="95"/>
      <c r="ABQ113" s="95"/>
      <c r="ABR113" s="95"/>
      <c r="ABS113" s="95"/>
      <c r="ABT113" s="95"/>
      <c r="ABU113" s="95"/>
      <c r="ABV113" s="95"/>
      <c r="ABW113" s="95"/>
      <c r="ABX113" s="95"/>
      <c r="ABY113" s="95"/>
      <c r="ABZ113" s="95"/>
      <c r="ACA113" s="95"/>
      <c r="ACB113" s="95"/>
      <c r="ACC113" s="95"/>
      <c r="ACD113" s="95"/>
      <c r="ACE113" s="95"/>
      <c r="ACF113" s="95"/>
      <c r="ACG113" s="95"/>
      <c r="ACH113" s="95"/>
      <c r="ACI113" s="95"/>
      <c r="ACJ113" s="95"/>
      <c r="ACK113" s="95"/>
      <c r="ACL113" s="95"/>
      <c r="ACM113" s="95"/>
      <c r="ACN113" s="95"/>
      <c r="ACO113" s="95"/>
      <c r="ACP113" s="95"/>
      <c r="ACQ113" s="95"/>
      <c r="ACR113" s="95"/>
      <c r="ACS113" s="95"/>
      <c r="ACT113" s="95"/>
      <c r="ACU113" s="95"/>
      <c r="ACV113" s="95"/>
      <c r="ACW113" s="95"/>
      <c r="ACX113" s="95"/>
      <c r="ACY113" s="95"/>
      <c r="ACZ113" s="95"/>
      <c r="ADA113" s="95"/>
      <c r="ADB113" s="95"/>
      <c r="ADC113" s="95"/>
      <c r="ADD113" s="95"/>
      <c r="ADE113" s="95"/>
      <c r="ADF113" s="95"/>
      <c r="ADG113" s="95"/>
      <c r="ADH113" s="95"/>
      <c r="ADI113" s="95"/>
      <c r="ADJ113" s="95"/>
      <c r="ADK113" s="95"/>
      <c r="ADL113" s="95"/>
      <c r="ADM113" s="95"/>
      <c r="ADN113" s="95"/>
      <c r="ADO113" s="95"/>
      <c r="ADP113" s="95"/>
      <c r="ADQ113" s="95"/>
      <c r="ADR113" s="95"/>
      <c r="ADS113" s="95"/>
      <c r="ADT113" s="95"/>
      <c r="ADU113" s="95"/>
      <c r="ADV113" s="95"/>
      <c r="ADW113" s="95"/>
      <c r="ADX113" s="95"/>
      <c r="ADY113" s="95"/>
      <c r="ADZ113" s="95"/>
      <c r="AEA113" s="95"/>
      <c r="AEB113" s="95"/>
      <c r="AEC113" s="95"/>
      <c r="AED113" s="95"/>
      <c r="AEE113" s="95"/>
      <c r="AEF113" s="95"/>
      <c r="AEG113" s="95"/>
      <c r="AEH113" s="95"/>
      <c r="AEI113" s="95"/>
      <c r="AEJ113" s="95"/>
      <c r="AEK113" s="95"/>
      <c r="AEL113" s="95"/>
      <c r="AEM113" s="95"/>
      <c r="AEN113" s="95"/>
      <c r="AEO113" s="95"/>
      <c r="AEP113" s="95"/>
      <c r="AEQ113" s="95"/>
      <c r="AER113" s="95"/>
      <c r="AES113" s="95"/>
      <c r="AET113" s="95"/>
      <c r="AEU113" s="95"/>
      <c r="AEV113" s="95"/>
      <c r="AEW113" s="95"/>
      <c r="AEX113" s="95"/>
      <c r="AEY113" s="95"/>
      <c r="AEZ113" s="95"/>
      <c r="AFA113" s="95"/>
      <c r="AFB113" s="95"/>
      <c r="AFC113" s="95"/>
      <c r="AFD113" s="95"/>
      <c r="AFE113" s="95"/>
      <c r="AFF113" s="95"/>
      <c r="AFG113" s="95"/>
      <c r="AFH113" s="95"/>
      <c r="AFI113" s="95"/>
      <c r="AFJ113" s="95"/>
      <c r="AFK113" s="95"/>
      <c r="AFL113" s="95"/>
      <c r="AFM113" s="95"/>
      <c r="AFN113" s="95"/>
      <c r="AFO113" s="95"/>
      <c r="AFP113" s="95"/>
      <c r="AFQ113" s="95"/>
      <c r="AFR113" s="95"/>
      <c r="AFS113" s="95"/>
      <c r="AFT113" s="95"/>
      <c r="AFU113" s="95"/>
      <c r="AFV113" s="95"/>
      <c r="AFW113" s="95"/>
      <c r="AFX113" s="95"/>
      <c r="AFY113" s="95"/>
      <c r="AFZ113" s="95"/>
      <c r="AGA113" s="95"/>
      <c r="AGB113" s="95"/>
      <c r="AGC113" s="95"/>
      <c r="AGD113" s="95"/>
      <c r="AGE113" s="95"/>
      <c r="AGF113" s="95"/>
      <c r="AGG113" s="95"/>
      <c r="AGH113" s="95"/>
      <c r="AGI113" s="95"/>
      <c r="AGJ113" s="95"/>
      <c r="AGK113" s="95"/>
      <c r="AGL113" s="95"/>
      <c r="AGM113" s="95"/>
      <c r="AGN113" s="95"/>
      <c r="AGO113" s="95"/>
      <c r="AGP113" s="95"/>
      <c r="AGQ113" s="95"/>
      <c r="AGR113" s="95"/>
      <c r="AGS113" s="95"/>
      <c r="AGT113" s="95"/>
      <c r="AGU113" s="95"/>
      <c r="AGV113" s="95"/>
      <c r="AGW113" s="95"/>
      <c r="AGX113" s="95"/>
      <c r="AGY113" s="95"/>
      <c r="AGZ113" s="95"/>
      <c r="AHA113" s="95"/>
      <c r="AHB113" s="95"/>
      <c r="AHC113" s="95"/>
    </row>
    <row r="114" spans="1:887" s="141" customFormat="1" ht="20.100000000000001" customHeight="1">
      <c r="A114" s="133" t="s">
        <v>2155</v>
      </c>
      <c r="B114" s="134" t="s">
        <v>71</v>
      </c>
      <c r="C114" s="133" t="s">
        <v>72</v>
      </c>
      <c r="D114" s="135">
        <v>7921.75</v>
      </c>
      <c r="E114" s="136">
        <v>18081.62</v>
      </c>
      <c r="F114" s="137"/>
      <c r="G114" s="121"/>
      <c r="H114" s="64"/>
      <c r="I114" s="64"/>
      <c r="J114" s="64"/>
      <c r="K114" s="64"/>
      <c r="L114" s="64"/>
      <c r="M114" s="64"/>
      <c r="N114" s="64" t="s">
        <v>1743</v>
      </c>
      <c r="O114" s="138">
        <v>44804</v>
      </c>
      <c r="P114" s="155" t="s">
        <v>2840</v>
      </c>
      <c r="Q114" s="139" t="s">
        <v>2320</v>
      </c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  <c r="AQ114" s="140"/>
      <c r="AR114" s="140"/>
      <c r="AS114" s="140"/>
      <c r="AT114" s="140"/>
      <c r="AU114" s="140"/>
      <c r="AV114" s="140"/>
      <c r="AW114" s="140"/>
      <c r="AX114" s="140"/>
      <c r="AY114" s="140"/>
      <c r="AZ114" s="140"/>
      <c r="BA114" s="140"/>
      <c r="BB114" s="140"/>
      <c r="BC114" s="140"/>
      <c r="BD114" s="140"/>
      <c r="BE114" s="140"/>
      <c r="BF114" s="140"/>
      <c r="BG114" s="140"/>
      <c r="BH114" s="140"/>
      <c r="BI114" s="140"/>
      <c r="BJ114" s="140"/>
      <c r="BK114" s="140"/>
      <c r="BL114" s="140"/>
      <c r="BM114" s="140"/>
      <c r="BN114" s="140"/>
      <c r="BO114" s="140"/>
      <c r="BP114" s="140"/>
      <c r="BQ114" s="140"/>
      <c r="BR114" s="140"/>
      <c r="BS114" s="140"/>
      <c r="BT114" s="140"/>
      <c r="BU114" s="140"/>
      <c r="BV114" s="140"/>
      <c r="BW114" s="140"/>
      <c r="BX114" s="140"/>
      <c r="BY114" s="140"/>
      <c r="BZ114" s="140"/>
      <c r="CA114" s="140"/>
      <c r="CB114" s="140"/>
      <c r="CC114" s="140"/>
      <c r="CD114" s="140"/>
      <c r="CE114" s="140"/>
      <c r="CF114" s="140"/>
      <c r="CG114" s="140"/>
      <c r="CH114" s="140"/>
      <c r="CI114" s="140"/>
      <c r="CJ114" s="140"/>
      <c r="CK114" s="140"/>
      <c r="CL114" s="140"/>
      <c r="CM114" s="140"/>
      <c r="CN114" s="140"/>
      <c r="CO114" s="140"/>
      <c r="CP114" s="140"/>
      <c r="CQ114" s="140"/>
      <c r="CR114" s="140"/>
      <c r="CS114" s="140"/>
      <c r="CT114" s="140"/>
      <c r="CU114" s="140"/>
      <c r="CV114" s="140"/>
      <c r="CW114" s="140"/>
      <c r="CX114" s="140"/>
      <c r="CY114" s="140"/>
      <c r="CZ114" s="140"/>
      <c r="DA114" s="140"/>
      <c r="DB114" s="140"/>
      <c r="DC114" s="140"/>
      <c r="DD114" s="140"/>
      <c r="DE114" s="140"/>
      <c r="DF114" s="140"/>
      <c r="DG114" s="140"/>
      <c r="DH114" s="140"/>
      <c r="DI114" s="140"/>
      <c r="DJ114" s="140"/>
      <c r="DK114" s="140"/>
      <c r="DL114" s="140"/>
      <c r="DM114" s="140"/>
      <c r="DN114" s="140"/>
      <c r="DO114" s="140"/>
      <c r="DP114" s="140"/>
      <c r="DQ114" s="140"/>
      <c r="DR114" s="140"/>
      <c r="DS114" s="140"/>
      <c r="DT114" s="140"/>
      <c r="DU114" s="140"/>
      <c r="DV114" s="140"/>
      <c r="DW114" s="140"/>
      <c r="DX114" s="140"/>
      <c r="DY114" s="140"/>
      <c r="DZ114" s="140"/>
      <c r="EA114" s="140"/>
      <c r="EB114" s="140"/>
      <c r="EC114" s="140"/>
      <c r="ED114" s="140"/>
      <c r="EE114" s="140"/>
      <c r="EF114" s="140"/>
      <c r="EG114" s="140"/>
      <c r="EH114" s="140"/>
      <c r="EI114" s="140"/>
      <c r="EJ114" s="140"/>
      <c r="EK114" s="140"/>
      <c r="EL114" s="140"/>
      <c r="EM114" s="140"/>
      <c r="EN114" s="140"/>
      <c r="EO114" s="140"/>
      <c r="EP114" s="140"/>
      <c r="EQ114" s="140"/>
      <c r="ER114" s="140"/>
      <c r="ES114" s="140"/>
      <c r="ET114" s="140"/>
      <c r="EU114" s="140"/>
      <c r="EV114" s="140"/>
      <c r="EW114" s="140"/>
      <c r="EX114" s="140"/>
      <c r="EY114" s="140"/>
      <c r="EZ114" s="140"/>
      <c r="FA114" s="140"/>
      <c r="FB114" s="140"/>
      <c r="FC114" s="140"/>
      <c r="FD114" s="140"/>
      <c r="FE114" s="140"/>
      <c r="FF114" s="140"/>
      <c r="FG114" s="140"/>
      <c r="FH114" s="140"/>
      <c r="FI114" s="140"/>
      <c r="FJ114" s="140"/>
      <c r="FK114" s="140"/>
      <c r="FL114" s="140"/>
      <c r="FM114" s="140"/>
      <c r="FN114" s="140"/>
      <c r="FO114" s="140"/>
      <c r="FP114" s="140"/>
      <c r="FQ114" s="140"/>
      <c r="FR114" s="140"/>
      <c r="FS114" s="140"/>
      <c r="FT114" s="140"/>
      <c r="FU114" s="140"/>
      <c r="FV114" s="140"/>
      <c r="FW114" s="140"/>
      <c r="FX114" s="140"/>
      <c r="FY114" s="140"/>
      <c r="FZ114" s="140"/>
      <c r="GA114" s="140"/>
      <c r="GB114" s="140"/>
      <c r="GC114" s="140"/>
      <c r="GD114" s="140"/>
      <c r="GE114" s="140"/>
      <c r="GF114" s="140"/>
      <c r="GG114" s="140"/>
      <c r="GH114" s="140"/>
      <c r="GI114" s="140"/>
      <c r="GJ114" s="140"/>
      <c r="GK114" s="140"/>
      <c r="GL114" s="140"/>
      <c r="GM114" s="140"/>
      <c r="GN114" s="140"/>
      <c r="GO114" s="140"/>
      <c r="GP114" s="140"/>
      <c r="GQ114" s="140"/>
      <c r="GR114" s="140"/>
      <c r="GS114" s="140"/>
      <c r="GT114" s="140"/>
      <c r="GU114" s="140"/>
      <c r="GV114" s="140"/>
      <c r="GW114" s="140"/>
      <c r="GX114" s="140"/>
      <c r="GY114" s="140"/>
      <c r="GZ114" s="140"/>
      <c r="HA114" s="140"/>
      <c r="HB114" s="140"/>
      <c r="HC114" s="140"/>
      <c r="HD114" s="140"/>
      <c r="HE114" s="140"/>
      <c r="HF114" s="140"/>
      <c r="HG114" s="140"/>
      <c r="HH114" s="140"/>
      <c r="HI114" s="140"/>
      <c r="HJ114" s="140"/>
      <c r="HK114" s="140"/>
      <c r="HL114" s="140"/>
      <c r="HM114" s="140"/>
      <c r="HN114" s="140"/>
      <c r="HO114" s="140"/>
      <c r="HP114" s="140"/>
      <c r="HQ114" s="140"/>
      <c r="HR114" s="140"/>
      <c r="HS114" s="140"/>
      <c r="HT114" s="140"/>
      <c r="HU114" s="140"/>
      <c r="HV114" s="140"/>
      <c r="HW114" s="140"/>
      <c r="HX114" s="140"/>
      <c r="HY114" s="140"/>
      <c r="HZ114" s="140"/>
      <c r="IA114" s="140"/>
      <c r="IB114" s="140"/>
      <c r="IC114" s="140"/>
      <c r="ID114" s="140"/>
      <c r="IE114" s="140"/>
      <c r="IF114" s="140"/>
      <c r="IG114" s="140"/>
      <c r="IH114" s="140"/>
      <c r="II114" s="140"/>
      <c r="IJ114" s="140"/>
      <c r="IK114" s="140"/>
      <c r="IL114" s="140"/>
      <c r="IM114" s="140"/>
      <c r="IN114" s="140"/>
      <c r="IO114" s="140"/>
      <c r="IP114" s="140"/>
      <c r="IQ114" s="140"/>
      <c r="IR114" s="140"/>
      <c r="IS114" s="140"/>
      <c r="IT114" s="140"/>
      <c r="IU114" s="140"/>
      <c r="IV114" s="140"/>
      <c r="IW114" s="140"/>
      <c r="IX114" s="140"/>
      <c r="IY114" s="140"/>
      <c r="IZ114" s="140"/>
      <c r="JA114" s="140"/>
      <c r="JB114" s="140"/>
      <c r="JC114" s="140"/>
      <c r="JD114" s="140"/>
      <c r="JE114" s="140"/>
      <c r="JF114" s="140"/>
      <c r="JG114" s="140"/>
      <c r="JH114" s="140"/>
      <c r="JI114" s="140"/>
      <c r="JJ114" s="140"/>
      <c r="JK114" s="140"/>
      <c r="JL114" s="140"/>
      <c r="JM114" s="140"/>
      <c r="JN114" s="140"/>
      <c r="JO114" s="140"/>
      <c r="JP114" s="140"/>
      <c r="JQ114" s="140"/>
      <c r="JR114" s="140"/>
      <c r="JS114" s="140"/>
      <c r="JT114" s="140"/>
      <c r="JU114" s="140"/>
      <c r="JV114" s="140"/>
      <c r="JW114" s="140"/>
      <c r="JX114" s="140"/>
      <c r="JY114" s="140"/>
      <c r="JZ114" s="140"/>
      <c r="KA114" s="140"/>
      <c r="KB114" s="140"/>
      <c r="KC114" s="140"/>
      <c r="KD114" s="140"/>
      <c r="KE114" s="140"/>
      <c r="KF114" s="140"/>
      <c r="KG114" s="140"/>
      <c r="KH114" s="140"/>
      <c r="KI114" s="140"/>
      <c r="KJ114" s="140"/>
      <c r="KK114" s="140"/>
      <c r="KL114" s="140"/>
      <c r="KM114" s="140"/>
      <c r="KN114" s="140"/>
      <c r="KO114" s="140"/>
      <c r="KP114" s="140"/>
      <c r="KQ114" s="140"/>
      <c r="KR114" s="140"/>
      <c r="KS114" s="140"/>
      <c r="KT114" s="140"/>
      <c r="KU114" s="140"/>
      <c r="KV114" s="140"/>
      <c r="KW114" s="140"/>
      <c r="KX114" s="140"/>
      <c r="KY114" s="140"/>
      <c r="KZ114" s="140"/>
      <c r="LA114" s="140"/>
      <c r="LB114" s="140"/>
      <c r="LC114" s="140"/>
      <c r="LD114" s="140"/>
      <c r="LE114" s="140"/>
      <c r="LF114" s="140"/>
      <c r="LG114" s="140"/>
      <c r="LH114" s="140"/>
      <c r="LI114" s="140"/>
      <c r="LJ114" s="140"/>
      <c r="LK114" s="140"/>
      <c r="LL114" s="140"/>
      <c r="LM114" s="140"/>
      <c r="LN114" s="140"/>
      <c r="LO114" s="140"/>
      <c r="LP114" s="140"/>
      <c r="LQ114" s="140"/>
      <c r="LR114" s="140"/>
      <c r="LS114" s="140"/>
      <c r="LT114" s="140"/>
      <c r="LU114" s="140"/>
      <c r="LV114" s="140"/>
      <c r="LW114" s="140"/>
      <c r="LX114" s="140"/>
      <c r="LY114" s="140"/>
      <c r="LZ114" s="140"/>
      <c r="MA114" s="140"/>
      <c r="MB114" s="140"/>
      <c r="MC114" s="140"/>
      <c r="MD114" s="140"/>
      <c r="ME114" s="140"/>
      <c r="MF114" s="140"/>
      <c r="MG114" s="140"/>
      <c r="MH114" s="140"/>
      <c r="MI114" s="140"/>
      <c r="MJ114" s="140"/>
      <c r="MK114" s="140"/>
      <c r="ML114" s="140"/>
      <c r="MM114" s="140"/>
      <c r="MN114" s="140"/>
      <c r="MO114" s="140"/>
      <c r="MP114" s="140"/>
      <c r="MQ114" s="140"/>
      <c r="MR114" s="140"/>
      <c r="MS114" s="140"/>
      <c r="MT114" s="140"/>
      <c r="MU114" s="140"/>
      <c r="MV114" s="140"/>
      <c r="MW114" s="140"/>
      <c r="MX114" s="140"/>
      <c r="MY114" s="140"/>
      <c r="MZ114" s="140"/>
      <c r="NA114" s="140"/>
      <c r="NB114" s="140"/>
      <c r="NC114" s="140"/>
      <c r="ND114" s="140"/>
      <c r="NE114" s="140"/>
      <c r="NF114" s="140"/>
      <c r="NG114" s="140"/>
      <c r="NH114" s="140"/>
      <c r="NI114" s="140"/>
      <c r="NJ114" s="140"/>
      <c r="NK114" s="140"/>
      <c r="NL114" s="140"/>
      <c r="NM114" s="140"/>
      <c r="NN114" s="140"/>
      <c r="NO114" s="140"/>
      <c r="NP114" s="140"/>
      <c r="NQ114" s="140"/>
      <c r="NR114" s="140"/>
      <c r="NS114" s="140"/>
      <c r="NT114" s="140"/>
      <c r="NU114" s="140"/>
      <c r="NV114" s="140"/>
      <c r="NW114" s="140"/>
      <c r="NX114" s="140"/>
      <c r="NY114" s="140"/>
      <c r="NZ114" s="140"/>
      <c r="OA114" s="140"/>
      <c r="OB114" s="140"/>
      <c r="OC114" s="140"/>
      <c r="OD114" s="140"/>
      <c r="OE114" s="140"/>
      <c r="OF114" s="140"/>
      <c r="OG114" s="140"/>
      <c r="OH114" s="140"/>
      <c r="OI114" s="140"/>
      <c r="OJ114" s="140"/>
      <c r="OK114" s="140"/>
      <c r="OL114" s="140"/>
      <c r="OM114" s="140"/>
      <c r="ON114" s="140"/>
      <c r="OO114" s="140"/>
      <c r="OP114" s="140"/>
      <c r="OQ114" s="140"/>
      <c r="OR114" s="140"/>
      <c r="OS114" s="140"/>
      <c r="OT114" s="140"/>
      <c r="OU114" s="140"/>
      <c r="OV114" s="140"/>
      <c r="OW114" s="140"/>
      <c r="OX114" s="140"/>
      <c r="OY114" s="140"/>
      <c r="OZ114" s="140"/>
      <c r="PA114" s="140"/>
      <c r="PB114" s="140"/>
      <c r="PC114" s="140"/>
      <c r="PD114" s="140"/>
      <c r="PE114" s="140"/>
      <c r="PF114" s="140"/>
      <c r="PG114" s="140"/>
      <c r="PH114" s="140"/>
      <c r="PI114" s="140"/>
      <c r="PJ114" s="140"/>
      <c r="PK114" s="140"/>
      <c r="PL114" s="140"/>
      <c r="PM114" s="140"/>
      <c r="PN114" s="140"/>
      <c r="PO114" s="140"/>
      <c r="PP114" s="140"/>
      <c r="PQ114" s="140"/>
      <c r="PR114" s="140"/>
      <c r="PS114" s="140"/>
      <c r="PT114" s="140"/>
      <c r="PU114" s="140"/>
      <c r="PV114" s="140"/>
      <c r="PW114" s="140"/>
      <c r="PX114" s="140"/>
      <c r="PY114" s="140"/>
      <c r="PZ114" s="140"/>
      <c r="QA114" s="140"/>
      <c r="QB114" s="140"/>
      <c r="QC114" s="140"/>
      <c r="QD114" s="140"/>
      <c r="QE114" s="140"/>
      <c r="QF114" s="140"/>
      <c r="QG114" s="140"/>
      <c r="QH114" s="140"/>
      <c r="QI114" s="140"/>
      <c r="QJ114" s="140"/>
      <c r="QK114" s="140"/>
      <c r="QL114" s="140"/>
      <c r="QM114" s="140"/>
      <c r="QN114" s="140"/>
      <c r="QO114" s="140"/>
      <c r="QP114" s="140"/>
      <c r="QQ114" s="140"/>
      <c r="QR114" s="140"/>
      <c r="QS114" s="140"/>
      <c r="QT114" s="140"/>
      <c r="QU114" s="140"/>
      <c r="QV114" s="140"/>
      <c r="QW114" s="140"/>
      <c r="QX114" s="140"/>
      <c r="QY114" s="140"/>
      <c r="QZ114" s="140"/>
      <c r="RA114" s="140"/>
      <c r="RB114" s="140"/>
      <c r="RC114" s="140"/>
      <c r="RD114" s="140"/>
      <c r="RE114" s="140"/>
      <c r="RF114" s="140"/>
      <c r="RG114" s="140"/>
      <c r="RH114" s="140"/>
      <c r="RI114" s="140"/>
      <c r="RJ114" s="140"/>
      <c r="RK114" s="140"/>
      <c r="RL114" s="140"/>
      <c r="RM114" s="140"/>
      <c r="RN114" s="140"/>
      <c r="RO114" s="140"/>
      <c r="RP114" s="140"/>
      <c r="RQ114" s="140"/>
      <c r="RR114" s="140"/>
      <c r="RS114" s="140"/>
      <c r="RT114" s="140"/>
      <c r="RU114" s="140"/>
      <c r="RV114" s="140"/>
      <c r="RW114" s="140"/>
      <c r="RX114" s="140"/>
      <c r="RY114" s="140"/>
      <c r="RZ114" s="140"/>
      <c r="SA114" s="140"/>
      <c r="SB114" s="140"/>
      <c r="SC114" s="140"/>
      <c r="SD114" s="140"/>
      <c r="SE114" s="140"/>
      <c r="SF114" s="140"/>
      <c r="SG114" s="140"/>
      <c r="SH114" s="140"/>
      <c r="SI114" s="140"/>
      <c r="SJ114" s="140"/>
      <c r="SK114" s="140"/>
      <c r="SL114" s="140"/>
      <c r="SM114" s="140"/>
      <c r="SN114" s="140"/>
      <c r="SO114" s="140"/>
      <c r="SP114" s="140"/>
      <c r="SQ114" s="140"/>
      <c r="SR114" s="140"/>
      <c r="SS114" s="140"/>
      <c r="ST114" s="140"/>
      <c r="SU114" s="140"/>
      <c r="SV114" s="140"/>
      <c r="SW114" s="140"/>
      <c r="SX114" s="140"/>
      <c r="SY114" s="140"/>
      <c r="SZ114" s="140"/>
      <c r="TA114" s="140"/>
      <c r="TB114" s="140"/>
      <c r="TC114" s="140"/>
      <c r="TD114" s="140"/>
      <c r="TE114" s="140"/>
      <c r="TF114" s="140"/>
      <c r="TG114" s="140"/>
      <c r="TH114" s="140"/>
      <c r="TI114" s="140"/>
      <c r="TJ114" s="140"/>
      <c r="TK114" s="140"/>
      <c r="TL114" s="140"/>
      <c r="TM114" s="140"/>
      <c r="TN114" s="140"/>
      <c r="TO114" s="140"/>
      <c r="TP114" s="140"/>
      <c r="TQ114" s="140"/>
      <c r="TR114" s="140"/>
      <c r="TS114" s="140"/>
      <c r="TT114" s="140"/>
      <c r="TU114" s="140"/>
      <c r="TV114" s="140"/>
      <c r="TW114" s="140"/>
      <c r="TX114" s="140"/>
      <c r="TY114" s="140"/>
      <c r="TZ114" s="140"/>
      <c r="UA114" s="140"/>
      <c r="UB114" s="140"/>
      <c r="UC114" s="140"/>
      <c r="UD114" s="140"/>
      <c r="UE114" s="140"/>
      <c r="UF114" s="140"/>
      <c r="UG114" s="140"/>
      <c r="UH114" s="140"/>
      <c r="UI114" s="140"/>
      <c r="UJ114" s="140"/>
      <c r="UK114" s="140"/>
      <c r="UL114" s="140"/>
      <c r="UM114" s="140"/>
      <c r="UN114" s="140"/>
      <c r="UO114" s="140"/>
      <c r="UP114" s="140"/>
      <c r="UQ114" s="140"/>
      <c r="UR114" s="140"/>
      <c r="US114" s="140"/>
      <c r="UT114" s="140"/>
      <c r="UU114" s="140"/>
      <c r="UV114" s="140"/>
      <c r="UW114" s="140"/>
      <c r="UX114" s="140"/>
      <c r="UY114" s="140"/>
      <c r="UZ114" s="140"/>
      <c r="VA114" s="140"/>
      <c r="VB114" s="140"/>
      <c r="VC114" s="140"/>
      <c r="VD114" s="140"/>
      <c r="VE114" s="140"/>
      <c r="VF114" s="140"/>
      <c r="VG114" s="140"/>
      <c r="VH114" s="140"/>
      <c r="VI114" s="140"/>
      <c r="VJ114" s="140"/>
      <c r="VK114" s="140"/>
      <c r="VL114" s="140"/>
      <c r="VM114" s="140"/>
      <c r="VN114" s="140"/>
      <c r="VO114" s="140"/>
      <c r="VP114" s="140"/>
      <c r="VQ114" s="140"/>
      <c r="VR114" s="140"/>
      <c r="VS114" s="140"/>
      <c r="VT114" s="140"/>
      <c r="VU114" s="140"/>
      <c r="VV114" s="140"/>
      <c r="VW114" s="140"/>
      <c r="VX114" s="140"/>
      <c r="VY114" s="140"/>
      <c r="VZ114" s="140"/>
      <c r="WA114" s="140"/>
      <c r="WB114" s="140"/>
      <c r="WC114" s="140"/>
      <c r="WD114" s="140"/>
      <c r="WE114" s="140"/>
      <c r="WF114" s="140"/>
      <c r="WG114" s="140"/>
      <c r="WH114" s="140"/>
      <c r="WI114" s="140"/>
      <c r="WJ114" s="140"/>
      <c r="WK114" s="140"/>
      <c r="WL114" s="140"/>
      <c r="WM114" s="140"/>
      <c r="WN114" s="140"/>
      <c r="WO114" s="140"/>
      <c r="WP114" s="140"/>
      <c r="WQ114" s="140"/>
      <c r="WR114" s="140"/>
      <c r="WS114" s="140"/>
      <c r="WT114" s="140"/>
      <c r="WU114" s="140"/>
      <c r="WV114" s="140"/>
      <c r="WW114" s="140"/>
      <c r="WX114" s="140"/>
      <c r="WY114" s="140"/>
      <c r="WZ114" s="140"/>
      <c r="XA114" s="140"/>
      <c r="XB114" s="140"/>
      <c r="XC114" s="140"/>
      <c r="XD114" s="140"/>
      <c r="XE114" s="140"/>
      <c r="XF114" s="140"/>
      <c r="XG114" s="140"/>
      <c r="XH114" s="140"/>
      <c r="XI114" s="140"/>
      <c r="XJ114" s="140"/>
      <c r="XK114" s="140"/>
      <c r="XL114" s="140"/>
      <c r="XM114" s="140"/>
      <c r="XN114" s="140"/>
      <c r="XO114" s="140"/>
      <c r="XP114" s="140"/>
      <c r="XQ114" s="140"/>
      <c r="XR114" s="140"/>
      <c r="XS114" s="140"/>
      <c r="XT114" s="140"/>
      <c r="XU114" s="140"/>
      <c r="XV114" s="140"/>
      <c r="XW114" s="140"/>
      <c r="XX114" s="140"/>
      <c r="XY114" s="140"/>
      <c r="XZ114" s="140"/>
      <c r="YA114" s="140"/>
      <c r="YB114" s="140"/>
      <c r="YC114" s="140"/>
      <c r="YD114" s="140"/>
      <c r="YE114" s="140"/>
      <c r="YF114" s="140"/>
      <c r="YG114" s="140"/>
      <c r="YH114" s="140"/>
      <c r="YI114" s="140"/>
      <c r="YJ114" s="140"/>
      <c r="YK114" s="140"/>
      <c r="YL114" s="140"/>
      <c r="YM114" s="140"/>
      <c r="YN114" s="140"/>
      <c r="YO114" s="140"/>
      <c r="YP114" s="140"/>
      <c r="YQ114" s="140"/>
      <c r="YR114" s="140"/>
      <c r="YS114" s="140"/>
      <c r="YT114" s="140"/>
      <c r="YU114" s="140"/>
      <c r="YV114" s="140"/>
      <c r="YW114" s="140"/>
      <c r="YX114" s="140"/>
      <c r="YY114" s="140"/>
      <c r="YZ114" s="140"/>
      <c r="ZA114" s="140"/>
      <c r="ZB114" s="140"/>
      <c r="ZC114" s="140"/>
      <c r="ZD114" s="140"/>
      <c r="ZE114" s="140"/>
      <c r="ZF114" s="140"/>
      <c r="ZG114" s="140"/>
      <c r="ZH114" s="140"/>
      <c r="ZI114" s="140"/>
      <c r="ZJ114" s="140"/>
      <c r="ZK114" s="140"/>
      <c r="ZL114" s="140"/>
      <c r="ZM114" s="140"/>
      <c r="ZN114" s="140"/>
      <c r="ZO114" s="140"/>
      <c r="ZP114" s="140"/>
      <c r="ZQ114" s="140"/>
      <c r="ZR114" s="140"/>
      <c r="ZS114" s="140"/>
      <c r="ZT114" s="140"/>
      <c r="ZU114" s="140"/>
      <c r="ZV114" s="140"/>
      <c r="ZW114" s="140"/>
      <c r="ZX114" s="140"/>
      <c r="ZY114" s="140"/>
      <c r="ZZ114" s="140"/>
      <c r="AAA114" s="140"/>
      <c r="AAB114" s="140"/>
      <c r="AAC114" s="140"/>
      <c r="AAD114" s="140"/>
      <c r="AAE114" s="140"/>
      <c r="AAF114" s="140"/>
      <c r="AAG114" s="140"/>
      <c r="AAH114" s="140"/>
      <c r="AAI114" s="140"/>
      <c r="AAJ114" s="140"/>
      <c r="AAK114" s="140"/>
      <c r="AAL114" s="140"/>
      <c r="AAM114" s="140"/>
      <c r="AAN114" s="140"/>
      <c r="AAO114" s="140"/>
      <c r="AAP114" s="140"/>
      <c r="AAQ114" s="140"/>
      <c r="AAR114" s="140"/>
      <c r="AAS114" s="140"/>
      <c r="AAT114" s="140"/>
      <c r="AAU114" s="140"/>
      <c r="AAV114" s="140"/>
      <c r="AAW114" s="140"/>
      <c r="AAX114" s="140"/>
      <c r="AAY114" s="140"/>
      <c r="AAZ114" s="140"/>
      <c r="ABA114" s="140"/>
      <c r="ABB114" s="140"/>
      <c r="ABC114" s="140"/>
      <c r="ABD114" s="140"/>
      <c r="ABE114" s="140"/>
      <c r="ABF114" s="140"/>
      <c r="ABG114" s="140"/>
      <c r="ABH114" s="140"/>
      <c r="ABI114" s="140"/>
      <c r="ABJ114" s="140"/>
      <c r="ABK114" s="140"/>
      <c r="ABL114" s="140"/>
      <c r="ABM114" s="140"/>
      <c r="ABN114" s="140"/>
      <c r="ABO114" s="140"/>
      <c r="ABP114" s="140"/>
      <c r="ABQ114" s="140"/>
      <c r="ABR114" s="140"/>
      <c r="ABS114" s="140"/>
      <c r="ABT114" s="140"/>
      <c r="ABU114" s="140"/>
      <c r="ABV114" s="140"/>
      <c r="ABW114" s="140"/>
      <c r="ABX114" s="140"/>
      <c r="ABY114" s="140"/>
      <c r="ABZ114" s="140"/>
      <c r="ACA114" s="140"/>
      <c r="ACB114" s="140"/>
      <c r="ACC114" s="140"/>
      <c r="ACD114" s="140"/>
      <c r="ACE114" s="140"/>
      <c r="ACF114" s="140"/>
      <c r="ACG114" s="140"/>
      <c r="ACH114" s="140"/>
      <c r="ACI114" s="140"/>
      <c r="ACJ114" s="140"/>
      <c r="ACK114" s="140"/>
      <c r="ACL114" s="140"/>
      <c r="ACM114" s="140"/>
      <c r="ACN114" s="140"/>
      <c r="ACO114" s="140"/>
      <c r="ACP114" s="140"/>
      <c r="ACQ114" s="140"/>
      <c r="ACR114" s="140"/>
      <c r="ACS114" s="140"/>
      <c r="ACT114" s="140"/>
      <c r="ACU114" s="140"/>
      <c r="ACV114" s="140"/>
      <c r="ACW114" s="140"/>
      <c r="ACX114" s="140"/>
      <c r="ACY114" s="140"/>
      <c r="ACZ114" s="140"/>
      <c r="ADA114" s="140"/>
      <c r="ADB114" s="140"/>
      <c r="ADC114" s="140"/>
      <c r="ADD114" s="140"/>
      <c r="ADE114" s="140"/>
      <c r="ADF114" s="140"/>
      <c r="ADG114" s="140"/>
      <c r="ADH114" s="140"/>
      <c r="ADI114" s="140"/>
      <c r="ADJ114" s="140"/>
      <c r="ADK114" s="140"/>
      <c r="ADL114" s="140"/>
      <c r="ADM114" s="140"/>
      <c r="ADN114" s="140"/>
      <c r="ADO114" s="140"/>
      <c r="ADP114" s="140"/>
      <c r="ADQ114" s="140"/>
      <c r="ADR114" s="140"/>
      <c r="ADS114" s="140"/>
      <c r="ADT114" s="140"/>
      <c r="ADU114" s="140"/>
      <c r="ADV114" s="140"/>
      <c r="ADW114" s="140"/>
      <c r="ADX114" s="140"/>
      <c r="ADY114" s="140"/>
      <c r="ADZ114" s="140"/>
      <c r="AEA114" s="140"/>
      <c r="AEB114" s="140"/>
      <c r="AEC114" s="140"/>
      <c r="AED114" s="140"/>
      <c r="AEE114" s="140"/>
      <c r="AEF114" s="140"/>
      <c r="AEG114" s="140"/>
      <c r="AEH114" s="140"/>
      <c r="AEI114" s="140"/>
      <c r="AEJ114" s="140"/>
      <c r="AEK114" s="140"/>
      <c r="AEL114" s="140"/>
      <c r="AEM114" s="140"/>
      <c r="AEN114" s="140"/>
      <c r="AEO114" s="140"/>
      <c r="AEP114" s="140"/>
      <c r="AEQ114" s="140"/>
      <c r="AER114" s="140"/>
      <c r="AES114" s="140"/>
      <c r="AET114" s="140"/>
      <c r="AEU114" s="140"/>
      <c r="AEV114" s="140"/>
      <c r="AEW114" s="140"/>
      <c r="AEX114" s="140"/>
      <c r="AEY114" s="140"/>
      <c r="AEZ114" s="140"/>
      <c r="AFA114" s="140"/>
      <c r="AFB114" s="140"/>
      <c r="AFC114" s="140"/>
      <c r="AFD114" s="140"/>
      <c r="AFE114" s="140"/>
      <c r="AFF114" s="140"/>
      <c r="AFG114" s="140"/>
      <c r="AFH114" s="140"/>
      <c r="AFI114" s="140"/>
      <c r="AFJ114" s="140"/>
      <c r="AFK114" s="140"/>
      <c r="AFL114" s="140"/>
      <c r="AFM114" s="140"/>
      <c r="AFN114" s="140"/>
      <c r="AFO114" s="140"/>
      <c r="AFP114" s="140"/>
      <c r="AFQ114" s="140"/>
      <c r="AFR114" s="140"/>
      <c r="AFS114" s="140"/>
      <c r="AFT114" s="140"/>
      <c r="AFU114" s="140"/>
      <c r="AFV114" s="140"/>
      <c r="AFW114" s="140"/>
      <c r="AFX114" s="140"/>
      <c r="AFY114" s="140"/>
      <c r="AFZ114" s="140"/>
      <c r="AGA114" s="140"/>
      <c r="AGB114" s="140"/>
      <c r="AGC114" s="140"/>
      <c r="AGD114" s="140"/>
      <c r="AGE114" s="140"/>
      <c r="AGF114" s="140"/>
      <c r="AGG114" s="140"/>
      <c r="AGH114" s="140"/>
      <c r="AGI114" s="140"/>
      <c r="AGJ114" s="140"/>
      <c r="AGK114" s="140"/>
      <c r="AGL114" s="140"/>
      <c r="AGM114" s="140"/>
      <c r="AGN114" s="140"/>
      <c r="AGO114" s="140"/>
      <c r="AGP114" s="140"/>
      <c r="AGQ114" s="140"/>
      <c r="AGR114" s="140"/>
      <c r="AGS114" s="140"/>
      <c r="AGT114" s="140"/>
      <c r="AGU114" s="140"/>
      <c r="AGV114" s="140"/>
      <c r="AGW114" s="140"/>
      <c r="AGX114" s="140"/>
      <c r="AGY114" s="140"/>
      <c r="AGZ114" s="140"/>
      <c r="AHA114" s="140"/>
      <c r="AHB114" s="140"/>
      <c r="AHC114" s="140"/>
    </row>
    <row r="115" spans="1:887" ht="20.100000000000001" customHeight="1">
      <c r="A115" s="191" t="str">
        <f>VLOOKUP(C115,'BASE DE DADOS'!A:B,2,FALSE)</f>
        <v>MICROLINS INATIVOS</v>
      </c>
      <c r="B115" s="90" t="s">
        <v>1950</v>
      </c>
      <c r="C115" s="191" t="s">
        <v>1951</v>
      </c>
      <c r="D115" s="75">
        <v>92770.11</v>
      </c>
      <c r="E115" s="76">
        <v>174984.21</v>
      </c>
      <c r="F115" s="103"/>
      <c r="G115" s="192"/>
      <c r="H115" s="193"/>
      <c r="I115" s="193"/>
      <c r="J115" s="193"/>
      <c r="K115" s="193"/>
      <c r="L115" s="193"/>
      <c r="M115" s="193"/>
      <c r="N115" s="193" t="s">
        <v>1743</v>
      </c>
      <c r="O115" s="202">
        <v>44860</v>
      </c>
      <c r="P115" s="146" t="s">
        <v>2841</v>
      </c>
      <c r="Q115" s="195"/>
    </row>
    <row r="116" spans="1:887" ht="20.100000000000001" customHeight="1">
      <c r="A116" s="191" t="str">
        <f>VLOOKUP(C116,'BASE DE DADOS'!A:B,2,FALSE)</f>
        <v>MICROLINS INATIVOS</v>
      </c>
      <c r="B116" s="90" t="s">
        <v>1772</v>
      </c>
      <c r="C116" s="191" t="s">
        <v>1773</v>
      </c>
      <c r="D116" s="75">
        <v>56169.08</v>
      </c>
      <c r="E116" s="98">
        <v>86269.35</v>
      </c>
      <c r="F116" s="103"/>
      <c r="G116" s="192"/>
      <c r="H116" s="193"/>
      <c r="I116" s="193"/>
      <c r="J116" s="193"/>
      <c r="K116" s="193"/>
      <c r="L116" s="193"/>
      <c r="M116" s="193"/>
      <c r="N116" s="193" t="s">
        <v>1743</v>
      </c>
      <c r="O116" s="202">
        <v>44855</v>
      </c>
      <c r="P116" s="145" t="s">
        <v>2842</v>
      </c>
      <c r="Q116" s="195" t="s">
        <v>2231</v>
      </c>
    </row>
    <row r="117" spans="1:887" ht="20.100000000000001" customHeight="1">
      <c r="A117" s="198" t="str">
        <f>VLOOKUP(C117,'BASE DE DADOS'!A:B,2,FALSE)</f>
        <v>SOS INATIVOS</v>
      </c>
      <c r="B117" s="199" t="s">
        <v>1248</v>
      </c>
      <c r="C117" s="198" t="s">
        <v>1249</v>
      </c>
      <c r="D117" s="162">
        <v>208976.67</v>
      </c>
      <c r="E117" s="162"/>
      <c r="F117" s="163"/>
      <c r="G117" s="200"/>
      <c r="H117" s="201"/>
      <c r="I117" s="201"/>
      <c r="J117" s="201" t="s">
        <v>1743</v>
      </c>
      <c r="K117" s="201"/>
      <c r="L117" s="201"/>
      <c r="M117" s="201"/>
      <c r="N117" s="201"/>
      <c r="O117" s="201"/>
      <c r="P117" s="157"/>
      <c r="Q117" s="195" t="s">
        <v>2380</v>
      </c>
    </row>
    <row r="118" spans="1:887" ht="20.100000000000001" customHeight="1">
      <c r="A118" s="198" t="str">
        <f>VLOOKUP(C118,'BASE DE DADOS'!A:B,2,FALSE)</f>
        <v>PREPARA INATIVOS</v>
      </c>
      <c r="B118" s="199" t="s">
        <v>293</v>
      </c>
      <c r="C118" s="198" t="s">
        <v>294</v>
      </c>
      <c r="D118" s="162">
        <v>24489.55</v>
      </c>
      <c r="E118" s="162"/>
      <c r="F118" s="163"/>
      <c r="G118" s="200"/>
      <c r="H118" s="201"/>
      <c r="I118" s="201"/>
      <c r="J118" s="201" t="s">
        <v>1743</v>
      </c>
      <c r="K118" s="201"/>
      <c r="L118" s="201"/>
      <c r="M118" s="201"/>
      <c r="N118" s="201"/>
      <c r="O118" s="201"/>
      <c r="P118" s="157"/>
      <c r="Q118" s="195" t="s">
        <v>2401</v>
      </c>
    </row>
    <row r="119" spans="1:887" ht="20.100000000000001" customHeight="1">
      <c r="A119" s="191" t="str">
        <f>VLOOKUP(C119,'BASE DE DADOS'!A:B,2,FALSE)</f>
        <v>PREPARA INATIVOS</v>
      </c>
      <c r="B119" s="90" t="s">
        <v>285</v>
      </c>
      <c r="C119" s="191" t="s">
        <v>286</v>
      </c>
      <c r="D119" s="75">
        <v>135602.76</v>
      </c>
      <c r="E119" s="76">
        <v>142535.24</v>
      </c>
      <c r="F119" s="107"/>
      <c r="G119" s="192"/>
      <c r="H119" s="193"/>
      <c r="I119" s="193"/>
      <c r="J119" s="193"/>
      <c r="K119" s="193"/>
      <c r="L119" s="193"/>
      <c r="M119" s="193"/>
      <c r="N119" s="193" t="s">
        <v>1743</v>
      </c>
      <c r="O119" s="202">
        <v>45056</v>
      </c>
      <c r="P119" s="145" t="s">
        <v>2843</v>
      </c>
      <c r="Q119" s="195" t="s">
        <v>2844</v>
      </c>
    </row>
    <row r="120" spans="1:887" s="141" customFormat="1" ht="20.100000000000001" customHeight="1">
      <c r="A120" s="164" t="s">
        <v>2153</v>
      </c>
      <c r="B120" s="165" t="s">
        <v>760</v>
      </c>
      <c r="C120" s="164" t="s">
        <v>2470</v>
      </c>
      <c r="D120" s="171">
        <v>13495.75</v>
      </c>
      <c r="E120" s="171"/>
      <c r="F120" s="172"/>
      <c r="G120" s="168"/>
      <c r="H120" s="169"/>
      <c r="I120" s="169"/>
      <c r="J120" s="169" t="s">
        <v>1743</v>
      </c>
      <c r="K120" s="169"/>
      <c r="L120" s="169"/>
      <c r="M120" s="169"/>
      <c r="N120" s="169"/>
      <c r="O120" s="169"/>
      <c r="P120" s="170"/>
      <c r="Q120" s="139" t="s">
        <v>2474</v>
      </c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  <c r="AQ120" s="140"/>
      <c r="AR120" s="140"/>
      <c r="AS120" s="140"/>
      <c r="AT120" s="140"/>
      <c r="AU120" s="140"/>
      <c r="AV120" s="140"/>
      <c r="AW120" s="140"/>
      <c r="AX120" s="140"/>
      <c r="AY120" s="140"/>
      <c r="AZ120" s="140"/>
      <c r="BA120" s="140"/>
      <c r="BB120" s="140"/>
      <c r="BC120" s="140"/>
      <c r="BD120" s="140"/>
      <c r="BE120" s="140"/>
      <c r="BF120" s="140"/>
      <c r="BG120" s="140"/>
      <c r="BH120" s="140"/>
      <c r="BI120" s="140"/>
      <c r="BJ120" s="140"/>
      <c r="BK120" s="140"/>
      <c r="BL120" s="140"/>
      <c r="BM120" s="140"/>
      <c r="BN120" s="140"/>
      <c r="BO120" s="140"/>
      <c r="BP120" s="140"/>
      <c r="BQ120" s="140"/>
      <c r="BR120" s="140"/>
      <c r="BS120" s="140"/>
      <c r="BT120" s="140"/>
      <c r="BU120" s="140"/>
      <c r="BV120" s="140"/>
      <c r="BW120" s="140"/>
      <c r="BX120" s="140"/>
      <c r="BY120" s="140"/>
      <c r="BZ120" s="140"/>
      <c r="CA120" s="140"/>
      <c r="CB120" s="140"/>
      <c r="CC120" s="140"/>
      <c r="CD120" s="140"/>
      <c r="CE120" s="140"/>
      <c r="CF120" s="140"/>
      <c r="CG120" s="140"/>
      <c r="CH120" s="140"/>
      <c r="CI120" s="140"/>
      <c r="CJ120" s="140"/>
      <c r="CK120" s="140"/>
      <c r="CL120" s="140"/>
      <c r="CM120" s="140"/>
      <c r="CN120" s="140"/>
      <c r="CO120" s="140"/>
      <c r="CP120" s="140"/>
      <c r="CQ120" s="140"/>
      <c r="CR120" s="140"/>
      <c r="CS120" s="140"/>
      <c r="CT120" s="140"/>
      <c r="CU120" s="140"/>
      <c r="CV120" s="140"/>
      <c r="CW120" s="140"/>
      <c r="CX120" s="140"/>
      <c r="CY120" s="140"/>
      <c r="CZ120" s="140"/>
      <c r="DA120" s="140"/>
      <c r="DB120" s="140"/>
      <c r="DC120" s="140"/>
      <c r="DD120" s="140"/>
      <c r="DE120" s="140"/>
      <c r="DF120" s="140"/>
      <c r="DG120" s="140"/>
      <c r="DH120" s="140"/>
      <c r="DI120" s="140"/>
      <c r="DJ120" s="140"/>
      <c r="DK120" s="140"/>
      <c r="DL120" s="140"/>
      <c r="DM120" s="140"/>
      <c r="DN120" s="140"/>
      <c r="DO120" s="140"/>
      <c r="DP120" s="140"/>
      <c r="DQ120" s="140"/>
      <c r="DR120" s="140"/>
      <c r="DS120" s="140"/>
      <c r="DT120" s="140"/>
      <c r="DU120" s="140"/>
      <c r="DV120" s="140"/>
      <c r="DW120" s="140"/>
      <c r="DX120" s="140"/>
      <c r="DY120" s="140"/>
      <c r="DZ120" s="140"/>
      <c r="EA120" s="140"/>
      <c r="EB120" s="140"/>
      <c r="EC120" s="140"/>
      <c r="ED120" s="140"/>
      <c r="EE120" s="140"/>
      <c r="EF120" s="140"/>
      <c r="EG120" s="140"/>
      <c r="EH120" s="140"/>
      <c r="EI120" s="140"/>
      <c r="EJ120" s="140"/>
      <c r="EK120" s="140"/>
      <c r="EL120" s="140"/>
      <c r="EM120" s="140"/>
      <c r="EN120" s="140"/>
      <c r="EO120" s="140"/>
      <c r="EP120" s="140"/>
      <c r="EQ120" s="140"/>
      <c r="ER120" s="140"/>
      <c r="ES120" s="140"/>
      <c r="ET120" s="140"/>
      <c r="EU120" s="140"/>
      <c r="EV120" s="140"/>
      <c r="EW120" s="140"/>
      <c r="EX120" s="140"/>
      <c r="EY120" s="140"/>
      <c r="EZ120" s="140"/>
      <c r="FA120" s="140"/>
      <c r="FB120" s="140"/>
      <c r="FC120" s="140"/>
      <c r="FD120" s="140"/>
      <c r="FE120" s="140"/>
      <c r="FF120" s="140"/>
      <c r="FG120" s="140"/>
      <c r="FH120" s="140"/>
      <c r="FI120" s="140"/>
      <c r="FJ120" s="140"/>
      <c r="FK120" s="140"/>
      <c r="FL120" s="140"/>
      <c r="FM120" s="140"/>
      <c r="FN120" s="140"/>
      <c r="FO120" s="140"/>
      <c r="FP120" s="140"/>
      <c r="FQ120" s="140"/>
      <c r="FR120" s="140"/>
      <c r="FS120" s="140"/>
      <c r="FT120" s="140"/>
      <c r="FU120" s="140"/>
      <c r="FV120" s="140"/>
      <c r="FW120" s="140"/>
      <c r="FX120" s="140"/>
      <c r="FY120" s="140"/>
      <c r="FZ120" s="140"/>
      <c r="GA120" s="140"/>
      <c r="GB120" s="140"/>
      <c r="GC120" s="140"/>
      <c r="GD120" s="140"/>
      <c r="GE120" s="140"/>
      <c r="GF120" s="140"/>
      <c r="GG120" s="140"/>
      <c r="GH120" s="140"/>
      <c r="GI120" s="140"/>
      <c r="GJ120" s="140"/>
      <c r="GK120" s="140"/>
      <c r="GL120" s="140"/>
      <c r="GM120" s="140"/>
      <c r="GN120" s="140"/>
      <c r="GO120" s="140"/>
      <c r="GP120" s="140"/>
      <c r="GQ120" s="140"/>
      <c r="GR120" s="140"/>
      <c r="GS120" s="140"/>
      <c r="GT120" s="140"/>
      <c r="GU120" s="140"/>
      <c r="GV120" s="140"/>
      <c r="GW120" s="140"/>
      <c r="GX120" s="140"/>
      <c r="GY120" s="140"/>
      <c r="GZ120" s="140"/>
      <c r="HA120" s="140"/>
      <c r="HB120" s="140"/>
      <c r="HC120" s="140"/>
      <c r="HD120" s="140"/>
      <c r="HE120" s="140"/>
      <c r="HF120" s="140"/>
      <c r="HG120" s="140"/>
      <c r="HH120" s="140"/>
      <c r="HI120" s="140"/>
      <c r="HJ120" s="140"/>
      <c r="HK120" s="140"/>
      <c r="HL120" s="140"/>
      <c r="HM120" s="140"/>
      <c r="HN120" s="140"/>
      <c r="HO120" s="140"/>
      <c r="HP120" s="140"/>
      <c r="HQ120" s="140"/>
      <c r="HR120" s="140"/>
      <c r="HS120" s="140"/>
      <c r="HT120" s="140"/>
      <c r="HU120" s="140"/>
      <c r="HV120" s="140"/>
      <c r="HW120" s="140"/>
      <c r="HX120" s="140"/>
      <c r="HY120" s="140"/>
      <c r="HZ120" s="140"/>
      <c r="IA120" s="140"/>
      <c r="IB120" s="140"/>
      <c r="IC120" s="140"/>
      <c r="ID120" s="140"/>
      <c r="IE120" s="140"/>
      <c r="IF120" s="140"/>
      <c r="IG120" s="140"/>
      <c r="IH120" s="140"/>
      <c r="II120" s="140"/>
      <c r="IJ120" s="140"/>
      <c r="IK120" s="140"/>
      <c r="IL120" s="140"/>
      <c r="IM120" s="140"/>
      <c r="IN120" s="140"/>
      <c r="IO120" s="140"/>
      <c r="IP120" s="140"/>
      <c r="IQ120" s="140"/>
      <c r="IR120" s="140"/>
      <c r="IS120" s="140"/>
      <c r="IT120" s="140"/>
      <c r="IU120" s="140"/>
      <c r="IV120" s="140"/>
      <c r="IW120" s="140"/>
      <c r="IX120" s="140"/>
      <c r="IY120" s="140"/>
      <c r="IZ120" s="140"/>
      <c r="JA120" s="140"/>
      <c r="JB120" s="140"/>
      <c r="JC120" s="140"/>
      <c r="JD120" s="140"/>
      <c r="JE120" s="140"/>
      <c r="JF120" s="140"/>
      <c r="JG120" s="140"/>
      <c r="JH120" s="140"/>
      <c r="JI120" s="140"/>
      <c r="JJ120" s="140"/>
      <c r="JK120" s="140"/>
      <c r="JL120" s="140"/>
      <c r="JM120" s="140"/>
      <c r="JN120" s="140"/>
      <c r="JO120" s="140"/>
      <c r="JP120" s="140"/>
      <c r="JQ120" s="140"/>
      <c r="JR120" s="140"/>
      <c r="JS120" s="140"/>
      <c r="JT120" s="140"/>
      <c r="JU120" s="140"/>
      <c r="JV120" s="140"/>
      <c r="JW120" s="140"/>
      <c r="JX120" s="140"/>
      <c r="JY120" s="140"/>
      <c r="JZ120" s="140"/>
      <c r="KA120" s="140"/>
      <c r="KB120" s="140"/>
      <c r="KC120" s="140"/>
      <c r="KD120" s="140"/>
      <c r="KE120" s="140"/>
      <c r="KF120" s="140"/>
      <c r="KG120" s="140"/>
      <c r="KH120" s="140"/>
      <c r="KI120" s="140"/>
      <c r="KJ120" s="140"/>
      <c r="KK120" s="140"/>
      <c r="KL120" s="140"/>
      <c r="KM120" s="140"/>
      <c r="KN120" s="140"/>
      <c r="KO120" s="140"/>
      <c r="KP120" s="140"/>
      <c r="KQ120" s="140"/>
      <c r="KR120" s="140"/>
      <c r="KS120" s="140"/>
      <c r="KT120" s="140"/>
      <c r="KU120" s="140"/>
      <c r="KV120" s="140"/>
      <c r="KW120" s="140"/>
      <c r="KX120" s="140"/>
      <c r="KY120" s="140"/>
      <c r="KZ120" s="140"/>
      <c r="LA120" s="140"/>
      <c r="LB120" s="140"/>
      <c r="LC120" s="140"/>
      <c r="LD120" s="140"/>
      <c r="LE120" s="140"/>
      <c r="LF120" s="140"/>
      <c r="LG120" s="140"/>
      <c r="LH120" s="140"/>
      <c r="LI120" s="140"/>
      <c r="LJ120" s="140"/>
      <c r="LK120" s="140"/>
      <c r="LL120" s="140"/>
      <c r="LM120" s="140"/>
      <c r="LN120" s="140"/>
      <c r="LO120" s="140"/>
      <c r="LP120" s="140"/>
      <c r="LQ120" s="140"/>
      <c r="LR120" s="140"/>
      <c r="LS120" s="140"/>
      <c r="LT120" s="140"/>
      <c r="LU120" s="140"/>
      <c r="LV120" s="140"/>
      <c r="LW120" s="140"/>
      <c r="LX120" s="140"/>
      <c r="LY120" s="140"/>
      <c r="LZ120" s="140"/>
      <c r="MA120" s="140"/>
      <c r="MB120" s="140"/>
      <c r="MC120" s="140"/>
      <c r="MD120" s="140"/>
      <c r="ME120" s="140"/>
      <c r="MF120" s="140"/>
      <c r="MG120" s="140"/>
      <c r="MH120" s="140"/>
      <c r="MI120" s="140"/>
      <c r="MJ120" s="140"/>
      <c r="MK120" s="140"/>
      <c r="ML120" s="140"/>
      <c r="MM120" s="140"/>
      <c r="MN120" s="140"/>
      <c r="MO120" s="140"/>
      <c r="MP120" s="140"/>
      <c r="MQ120" s="140"/>
      <c r="MR120" s="140"/>
      <c r="MS120" s="140"/>
      <c r="MT120" s="140"/>
      <c r="MU120" s="140"/>
      <c r="MV120" s="140"/>
      <c r="MW120" s="140"/>
      <c r="MX120" s="140"/>
      <c r="MY120" s="140"/>
      <c r="MZ120" s="140"/>
      <c r="NA120" s="140"/>
      <c r="NB120" s="140"/>
      <c r="NC120" s="140"/>
      <c r="ND120" s="140"/>
      <c r="NE120" s="140"/>
      <c r="NF120" s="140"/>
      <c r="NG120" s="140"/>
      <c r="NH120" s="140"/>
      <c r="NI120" s="140"/>
      <c r="NJ120" s="140"/>
      <c r="NK120" s="140"/>
      <c r="NL120" s="140"/>
      <c r="NM120" s="140"/>
      <c r="NN120" s="140"/>
      <c r="NO120" s="140"/>
      <c r="NP120" s="140"/>
      <c r="NQ120" s="140"/>
      <c r="NR120" s="140"/>
      <c r="NS120" s="140"/>
      <c r="NT120" s="140"/>
      <c r="NU120" s="140"/>
      <c r="NV120" s="140"/>
      <c r="NW120" s="140"/>
      <c r="NX120" s="140"/>
      <c r="NY120" s="140"/>
      <c r="NZ120" s="140"/>
      <c r="OA120" s="140"/>
      <c r="OB120" s="140"/>
      <c r="OC120" s="140"/>
      <c r="OD120" s="140"/>
      <c r="OE120" s="140"/>
      <c r="OF120" s="140"/>
      <c r="OG120" s="140"/>
      <c r="OH120" s="140"/>
      <c r="OI120" s="140"/>
      <c r="OJ120" s="140"/>
      <c r="OK120" s="140"/>
      <c r="OL120" s="140"/>
      <c r="OM120" s="140"/>
      <c r="ON120" s="140"/>
      <c r="OO120" s="140"/>
      <c r="OP120" s="140"/>
      <c r="OQ120" s="140"/>
      <c r="OR120" s="140"/>
      <c r="OS120" s="140"/>
      <c r="OT120" s="140"/>
      <c r="OU120" s="140"/>
      <c r="OV120" s="140"/>
      <c r="OW120" s="140"/>
      <c r="OX120" s="140"/>
      <c r="OY120" s="140"/>
      <c r="OZ120" s="140"/>
      <c r="PA120" s="140"/>
      <c r="PB120" s="140"/>
      <c r="PC120" s="140"/>
      <c r="PD120" s="140"/>
      <c r="PE120" s="140"/>
      <c r="PF120" s="140"/>
      <c r="PG120" s="140"/>
      <c r="PH120" s="140"/>
      <c r="PI120" s="140"/>
      <c r="PJ120" s="140"/>
      <c r="PK120" s="140"/>
      <c r="PL120" s="140"/>
      <c r="PM120" s="140"/>
      <c r="PN120" s="140"/>
      <c r="PO120" s="140"/>
      <c r="PP120" s="140"/>
      <c r="PQ120" s="140"/>
      <c r="PR120" s="140"/>
      <c r="PS120" s="140"/>
      <c r="PT120" s="140"/>
      <c r="PU120" s="140"/>
      <c r="PV120" s="140"/>
      <c r="PW120" s="140"/>
      <c r="PX120" s="140"/>
      <c r="PY120" s="140"/>
      <c r="PZ120" s="140"/>
      <c r="QA120" s="140"/>
      <c r="QB120" s="140"/>
      <c r="QC120" s="140"/>
      <c r="QD120" s="140"/>
      <c r="QE120" s="140"/>
      <c r="QF120" s="140"/>
      <c r="QG120" s="140"/>
      <c r="QH120" s="140"/>
      <c r="QI120" s="140"/>
      <c r="QJ120" s="140"/>
      <c r="QK120" s="140"/>
      <c r="QL120" s="140"/>
      <c r="QM120" s="140"/>
      <c r="QN120" s="140"/>
      <c r="QO120" s="140"/>
      <c r="QP120" s="140"/>
      <c r="QQ120" s="140"/>
      <c r="QR120" s="140"/>
      <c r="QS120" s="140"/>
      <c r="QT120" s="140"/>
      <c r="QU120" s="140"/>
      <c r="QV120" s="140"/>
      <c r="QW120" s="140"/>
      <c r="QX120" s="140"/>
      <c r="QY120" s="140"/>
      <c r="QZ120" s="140"/>
      <c r="RA120" s="140"/>
      <c r="RB120" s="140"/>
      <c r="RC120" s="140"/>
      <c r="RD120" s="140"/>
      <c r="RE120" s="140"/>
      <c r="RF120" s="140"/>
      <c r="RG120" s="140"/>
      <c r="RH120" s="140"/>
      <c r="RI120" s="140"/>
      <c r="RJ120" s="140"/>
      <c r="RK120" s="140"/>
      <c r="RL120" s="140"/>
      <c r="RM120" s="140"/>
      <c r="RN120" s="140"/>
      <c r="RO120" s="140"/>
      <c r="RP120" s="140"/>
      <c r="RQ120" s="140"/>
      <c r="RR120" s="140"/>
      <c r="RS120" s="140"/>
      <c r="RT120" s="140"/>
      <c r="RU120" s="140"/>
      <c r="RV120" s="140"/>
      <c r="RW120" s="140"/>
      <c r="RX120" s="140"/>
      <c r="RY120" s="140"/>
      <c r="RZ120" s="140"/>
      <c r="SA120" s="140"/>
      <c r="SB120" s="140"/>
      <c r="SC120" s="140"/>
      <c r="SD120" s="140"/>
      <c r="SE120" s="140"/>
      <c r="SF120" s="140"/>
      <c r="SG120" s="140"/>
      <c r="SH120" s="140"/>
      <c r="SI120" s="140"/>
      <c r="SJ120" s="140"/>
      <c r="SK120" s="140"/>
      <c r="SL120" s="140"/>
      <c r="SM120" s="140"/>
      <c r="SN120" s="140"/>
      <c r="SO120" s="140"/>
      <c r="SP120" s="140"/>
      <c r="SQ120" s="140"/>
      <c r="SR120" s="140"/>
      <c r="SS120" s="140"/>
      <c r="ST120" s="140"/>
      <c r="SU120" s="140"/>
      <c r="SV120" s="140"/>
      <c r="SW120" s="140"/>
      <c r="SX120" s="140"/>
      <c r="SY120" s="140"/>
      <c r="SZ120" s="140"/>
      <c r="TA120" s="140"/>
      <c r="TB120" s="140"/>
      <c r="TC120" s="140"/>
      <c r="TD120" s="140"/>
      <c r="TE120" s="140"/>
      <c r="TF120" s="140"/>
      <c r="TG120" s="140"/>
      <c r="TH120" s="140"/>
      <c r="TI120" s="140"/>
      <c r="TJ120" s="140"/>
      <c r="TK120" s="140"/>
      <c r="TL120" s="140"/>
      <c r="TM120" s="140"/>
      <c r="TN120" s="140"/>
      <c r="TO120" s="140"/>
      <c r="TP120" s="140"/>
      <c r="TQ120" s="140"/>
      <c r="TR120" s="140"/>
      <c r="TS120" s="140"/>
      <c r="TT120" s="140"/>
      <c r="TU120" s="140"/>
      <c r="TV120" s="140"/>
      <c r="TW120" s="140"/>
      <c r="TX120" s="140"/>
      <c r="TY120" s="140"/>
      <c r="TZ120" s="140"/>
      <c r="UA120" s="140"/>
      <c r="UB120" s="140"/>
      <c r="UC120" s="140"/>
      <c r="UD120" s="140"/>
      <c r="UE120" s="140"/>
      <c r="UF120" s="140"/>
      <c r="UG120" s="140"/>
      <c r="UH120" s="140"/>
      <c r="UI120" s="140"/>
      <c r="UJ120" s="140"/>
      <c r="UK120" s="140"/>
      <c r="UL120" s="140"/>
      <c r="UM120" s="140"/>
      <c r="UN120" s="140"/>
      <c r="UO120" s="140"/>
      <c r="UP120" s="140"/>
      <c r="UQ120" s="140"/>
      <c r="UR120" s="140"/>
      <c r="US120" s="140"/>
      <c r="UT120" s="140"/>
      <c r="UU120" s="140"/>
      <c r="UV120" s="140"/>
      <c r="UW120" s="140"/>
      <c r="UX120" s="140"/>
      <c r="UY120" s="140"/>
      <c r="UZ120" s="140"/>
      <c r="VA120" s="140"/>
      <c r="VB120" s="140"/>
      <c r="VC120" s="140"/>
      <c r="VD120" s="140"/>
      <c r="VE120" s="140"/>
      <c r="VF120" s="140"/>
      <c r="VG120" s="140"/>
      <c r="VH120" s="140"/>
      <c r="VI120" s="140"/>
      <c r="VJ120" s="140"/>
      <c r="VK120" s="140"/>
      <c r="VL120" s="140"/>
      <c r="VM120" s="140"/>
      <c r="VN120" s="140"/>
      <c r="VO120" s="140"/>
      <c r="VP120" s="140"/>
      <c r="VQ120" s="140"/>
      <c r="VR120" s="140"/>
      <c r="VS120" s="140"/>
      <c r="VT120" s="140"/>
      <c r="VU120" s="140"/>
      <c r="VV120" s="140"/>
      <c r="VW120" s="140"/>
      <c r="VX120" s="140"/>
      <c r="VY120" s="140"/>
      <c r="VZ120" s="140"/>
      <c r="WA120" s="140"/>
      <c r="WB120" s="140"/>
      <c r="WC120" s="140"/>
      <c r="WD120" s="140"/>
      <c r="WE120" s="140"/>
      <c r="WF120" s="140"/>
      <c r="WG120" s="140"/>
      <c r="WH120" s="140"/>
      <c r="WI120" s="140"/>
      <c r="WJ120" s="140"/>
      <c r="WK120" s="140"/>
      <c r="WL120" s="140"/>
      <c r="WM120" s="140"/>
      <c r="WN120" s="140"/>
      <c r="WO120" s="140"/>
      <c r="WP120" s="140"/>
      <c r="WQ120" s="140"/>
      <c r="WR120" s="140"/>
      <c r="WS120" s="140"/>
      <c r="WT120" s="140"/>
      <c r="WU120" s="140"/>
      <c r="WV120" s="140"/>
      <c r="WW120" s="140"/>
      <c r="WX120" s="140"/>
      <c r="WY120" s="140"/>
      <c r="WZ120" s="140"/>
      <c r="XA120" s="140"/>
      <c r="XB120" s="140"/>
      <c r="XC120" s="140"/>
      <c r="XD120" s="140"/>
      <c r="XE120" s="140"/>
      <c r="XF120" s="140"/>
      <c r="XG120" s="140"/>
      <c r="XH120" s="140"/>
      <c r="XI120" s="140"/>
      <c r="XJ120" s="140"/>
      <c r="XK120" s="140"/>
      <c r="XL120" s="140"/>
      <c r="XM120" s="140"/>
      <c r="XN120" s="140"/>
      <c r="XO120" s="140"/>
      <c r="XP120" s="140"/>
      <c r="XQ120" s="140"/>
      <c r="XR120" s="140"/>
      <c r="XS120" s="140"/>
      <c r="XT120" s="140"/>
      <c r="XU120" s="140"/>
      <c r="XV120" s="140"/>
      <c r="XW120" s="140"/>
      <c r="XX120" s="140"/>
      <c r="XY120" s="140"/>
      <c r="XZ120" s="140"/>
      <c r="YA120" s="140"/>
      <c r="YB120" s="140"/>
      <c r="YC120" s="140"/>
      <c r="YD120" s="140"/>
      <c r="YE120" s="140"/>
      <c r="YF120" s="140"/>
      <c r="YG120" s="140"/>
      <c r="YH120" s="140"/>
      <c r="YI120" s="140"/>
      <c r="YJ120" s="140"/>
      <c r="YK120" s="140"/>
      <c r="YL120" s="140"/>
      <c r="YM120" s="140"/>
      <c r="YN120" s="140"/>
      <c r="YO120" s="140"/>
      <c r="YP120" s="140"/>
      <c r="YQ120" s="140"/>
      <c r="YR120" s="140"/>
      <c r="YS120" s="140"/>
      <c r="YT120" s="140"/>
      <c r="YU120" s="140"/>
      <c r="YV120" s="140"/>
      <c r="YW120" s="140"/>
      <c r="YX120" s="140"/>
      <c r="YY120" s="140"/>
      <c r="YZ120" s="140"/>
      <c r="ZA120" s="140"/>
      <c r="ZB120" s="140"/>
      <c r="ZC120" s="140"/>
      <c r="ZD120" s="140"/>
      <c r="ZE120" s="140"/>
      <c r="ZF120" s="140"/>
      <c r="ZG120" s="140"/>
      <c r="ZH120" s="140"/>
      <c r="ZI120" s="140"/>
      <c r="ZJ120" s="140"/>
      <c r="ZK120" s="140"/>
      <c r="ZL120" s="140"/>
      <c r="ZM120" s="140"/>
      <c r="ZN120" s="140"/>
      <c r="ZO120" s="140"/>
      <c r="ZP120" s="140"/>
      <c r="ZQ120" s="140"/>
      <c r="ZR120" s="140"/>
      <c r="ZS120" s="140"/>
      <c r="ZT120" s="140"/>
      <c r="ZU120" s="140"/>
      <c r="ZV120" s="140"/>
      <c r="ZW120" s="140"/>
      <c r="ZX120" s="140"/>
      <c r="ZY120" s="140"/>
      <c r="ZZ120" s="140"/>
      <c r="AAA120" s="140"/>
      <c r="AAB120" s="140"/>
      <c r="AAC120" s="140"/>
      <c r="AAD120" s="140"/>
      <c r="AAE120" s="140"/>
      <c r="AAF120" s="140"/>
      <c r="AAG120" s="140"/>
      <c r="AAH120" s="140"/>
      <c r="AAI120" s="140"/>
      <c r="AAJ120" s="140"/>
      <c r="AAK120" s="140"/>
      <c r="AAL120" s="140"/>
      <c r="AAM120" s="140"/>
      <c r="AAN120" s="140"/>
      <c r="AAO120" s="140"/>
      <c r="AAP120" s="140"/>
      <c r="AAQ120" s="140"/>
      <c r="AAR120" s="140"/>
      <c r="AAS120" s="140"/>
      <c r="AAT120" s="140"/>
      <c r="AAU120" s="140"/>
      <c r="AAV120" s="140"/>
      <c r="AAW120" s="140"/>
      <c r="AAX120" s="140"/>
      <c r="AAY120" s="140"/>
      <c r="AAZ120" s="140"/>
      <c r="ABA120" s="140"/>
      <c r="ABB120" s="140"/>
      <c r="ABC120" s="140"/>
      <c r="ABD120" s="140"/>
      <c r="ABE120" s="140"/>
      <c r="ABF120" s="140"/>
      <c r="ABG120" s="140"/>
      <c r="ABH120" s="140"/>
      <c r="ABI120" s="140"/>
      <c r="ABJ120" s="140"/>
      <c r="ABK120" s="140"/>
      <c r="ABL120" s="140"/>
      <c r="ABM120" s="140"/>
      <c r="ABN120" s="140"/>
      <c r="ABO120" s="140"/>
      <c r="ABP120" s="140"/>
      <c r="ABQ120" s="140"/>
      <c r="ABR120" s="140"/>
      <c r="ABS120" s="140"/>
      <c r="ABT120" s="140"/>
      <c r="ABU120" s="140"/>
      <c r="ABV120" s="140"/>
      <c r="ABW120" s="140"/>
      <c r="ABX120" s="140"/>
      <c r="ABY120" s="140"/>
      <c r="ABZ120" s="140"/>
      <c r="ACA120" s="140"/>
      <c r="ACB120" s="140"/>
      <c r="ACC120" s="140"/>
      <c r="ACD120" s="140"/>
      <c r="ACE120" s="140"/>
      <c r="ACF120" s="140"/>
      <c r="ACG120" s="140"/>
      <c r="ACH120" s="140"/>
      <c r="ACI120" s="140"/>
      <c r="ACJ120" s="140"/>
      <c r="ACK120" s="140"/>
      <c r="ACL120" s="140"/>
      <c r="ACM120" s="140"/>
      <c r="ACN120" s="140"/>
      <c r="ACO120" s="140"/>
      <c r="ACP120" s="140"/>
      <c r="ACQ120" s="140"/>
      <c r="ACR120" s="140"/>
      <c r="ACS120" s="140"/>
      <c r="ACT120" s="140"/>
      <c r="ACU120" s="140"/>
      <c r="ACV120" s="140"/>
      <c r="ACW120" s="140"/>
      <c r="ACX120" s="140"/>
      <c r="ACY120" s="140"/>
      <c r="ACZ120" s="140"/>
      <c r="ADA120" s="140"/>
      <c r="ADB120" s="140"/>
      <c r="ADC120" s="140"/>
      <c r="ADD120" s="140"/>
      <c r="ADE120" s="140"/>
      <c r="ADF120" s="140"/>
      <c r="ADG120" s="140"/>
      <c r="ADH120" s="140"/>
      <c r="ADI120" s="140"/>
      <c r="ADJ120" s="140"/>
      <c r="ADK120" s="140"/>
      <c r="ADL120" s="140"/>
      <c r="ADM120" s="140"/>
      <c r="ADN120" s="140"/>
      <c r="ADO120" s="140"/>
      <c r="ADP120" s="140"/>
      <c r="ADQ120" s="140"/>
      <c r="ADR120" s="140"/>
      <c r="ADS120" s="140"/>
      <c r="ADT120" s="140"/>
      <c r="ADU120" s="140"/>
      <c r="ADV120" s="140"/>
      <c r="ADW120" s="140"/>
      <c r="ADX120" s="140"/>
      <c r="ADY120" s="140"/>
      <c r="ADZ120" s="140"/>
      <c r="AEA120" s="140"/>
      <c r="AEB120" s="140"/>
      <c r="AEC120" s="140"/>
      <c r="AED120" s="140"/>
      <c r="AEE120" s="140"/>
      <c r="AEF120" s="140"/>
      <c r="AEG120" s="140"/>
      <c r="AEH120" s="140"/>
      <c r="AEI120" s="140"/>
      <c r="AEJ120" s="140"/>
      <c r="AEK120" s="140"/>
      <c r="AEL120" s="140"/>
      <c r="AEM120" s="140"/>
      <c r="AEN120" s="140"/>
      <c r="AEO120" s="140"/>
      <c r="AEP120" s="140"/>
      <c r="AEQ120" s="140"/>
      <c r="AER120" s="140"/>
      <c r="AES120" s="140"/>
      <c r="AET120" s="140"/>
      <c r="AEU120" s="140"/>
      <c r="AEV120" s="140"/>
      <c r="AEW120" s="140"/>
      <c r="AEX120" s="140"/>
      <c r="AEY120" s="140"/>
      <c r="AEZ120" s="140"/>
      <c r="AFA120" s="140"/>
      <c r="AFB120" s="140"/>
      <c r="AFC120" s="140"/>
      <c r="AFD120" s="140"/>
      <c r="AFE120" s="140"/>
      <c r="AFF120" s="140"/>
      <c r="AFG120" s="140"/>
      <c r="AFH120" s="140"/>
      <c r="AFI120" s="140"/>
      <c r="AFJ120" s="140"/>
      <c r="AFK120" s="140"/>
      <c r="AFL120" s="140"/>
      <c r="AFM120" s="140"/>
      <c r="AFN120" s="140"/>
      <c r="AFO120" s="140"/>
      <c r="AFP120" s="140"/>
      <c r="AFQ120" s="140"/>
      <c r="AFR120" s="140"/>
      <c r="AFS120" s="140"/>
      <c r="AFT120" s="140"/>
      <c r="AFU120" s="140"/>
      <c r="AFV120" s="140"/>
      <c r="AFW120" s="140"/>
      <c r="AFX120" s="140"/>
      <c r="AFY120" s="140"/>
      <c r="AFZ120" s="140"/>
      <c r="AGA120" s="140"/>
      <c r="AGB120" s="140"/>
      <c r="AGC120" s="140"/>
      <c r="AGD120" s="140"/>
      <c r="AGE120" s="140"/>
      <c r="AGF120" s="140"/>
      <c r="AGG120" s="140"/>
      <c r="AGH120" s="140"/>
      <c r="AGI120" s="140"/>
      <c r="AGJ120" s="140"/>
      <c r="AGK120" s="140"/>
      <c r="AGL120" s="140"/>
      <c r="AGM120" s="140"/>
      <c r="AGN120" s="140"/>
      <c r="AGO120" s="140"/>
      <c r="AGP120" s="140"/>
      <c r="AGQ120" s="140"/>
      <c r="AGR120" s="140"/>
      <c r="AGS120" s="140"/>
      <c r="AGT120" s="140"/>
      <c r="AGU120" s="140"/>
      <c r="AGV120" s="140"/>
      <c r="AGW120" s="140"/>
      <c r="AGX120" s="140"/>
      <c r="AGY120" s="140"/>
      <c r="AGZ120" s="140"/>
      <c r="AHA120" s="140"/>
      <c r="AHB120" s="140"/>
      <c r="AHC120" s="140"/>
    </row>
    <row r="121" spans="1:887" ht="20.100000000000001" customHeight="1">
      <c r="A121" s="191" t="str">
        <f>VLOOKUP(C121,'BASE DE DADOS'!A:B,2,FALSE)</f>
        <v>PREPARA INATIVOS</v>
      </c>
      <c r="B121" s="90" t="s">
        <v>241</v>
      </c>
      <c r="C121" s="191" t="s">
        <v>242</v>
      </c>
      <c r="D121" s="75">
        <v>119484.01</v>
      </c>
      <c r="E121" s="76">
        <v>141662.72</v>
      </c>
      <c r="F121" s="107"/>
      <c r="G121" s="192"/>
      <c r="H121" s="193"/>
      <c r="I121" s="193"/>
      <c r="J121" s="193"/>
      <c r="K121" s="193"/>
      <c r="L121" s="193"/>
      <c r="M121" s="193"/>
      <c r="N121" s="193" t="s">
        <v>1743</v>
      </c>
      <c r="O121" s="202">
        <v>44981</v>
      </c>
      <c r="P121" s="146" t="s">
        <v>2845</v>
      </c>
      <c r="Q121" s="195" t="s">
        <v>2603</v>
      </c>
    </row>
    <row r="122" spans="1:887" ht="20.100000000000001" customHeight="1">
      <c r="A122" s="191" t="str">
        <f>VLOOKUP(C122,'BASE DE DADOS'!A:B,2,FALSE)</f>
        <v>PREPARA INATIVOS</v>
      </c>
      <c r="B122" s="90" t="s">
        <v>2426</v>
      </c>
      <c r="C122" s="65" t="s">
        <v>240</v>
      </c>
      <c r="D122" s="75">
        <v>214888.64</v>
      </c>
      <c r="E122" s="76">
        <v>255744.18</v>
      </c>
      <c r="F122" s="103"/>
      <c r="G122" s="192"/>
      <c r="H122" s="193"/>
      <c r="I122" s="193"/>
      <c r="J122" s="193"/>
      <c r="K122" s="193"/>
      <c r="L122" s="193"/>
      <c r="M122" s="193"/>
      <c r="N122" s="193" t="s">
        <v>1743</v>
      </c>
      <c r="O122" s="202">
        <v>44993</v>
      </c>
      <c r="P122" s="146" t="s">
        <v>2846</v>
      </c>
      <c r="Q122" s="195" t="s">
        <v>2473</v>
      </c>
    </row>
    <row r="123" spans="1:887" ht="20.100000000000001" customHeight="1">
      <c r="A123" s="191" t="str">
        <f>VLOOKUP(C123,'BASE DE DADOS'!A:B,2,FALSE)</f>
        <v>PREPARA INATIVOS</v>
      </c>
      <c r="B123" s="90" t="s">
        <v>209</v>
      </c>
      <c r="C123" s="65" t="s">
        <v>210</v>
      </c>
      <c r="D123" s="75">
        <v>29634.79</v>
      </c>
      <c r="E123" s="98">
        <v>74728.47</v>
      </c>
      <c r="F123" s="103"/>
      <c r="G123" s="192"/>
      <c r="H123" s="193"/>
      <c r="I123" s="193"/>
      <c r="J123" s="193"/>
      <c r="K123" s="193"/>
      <c r="L123" s="193"/>
      <c r="M123" s="193"/>
      <c r="N123" s="193" t="s">
        <v>1743</v>
      </c>
      <c r="O123" s="202">
        <v>45155</v>
      </c>
      <c r="P123" s="145" t="s">
        <v>2847</v>
      </c>
      <c r="Q123" s="195" t="s">
        <v>2472</v>
      </c>
    </row>
    <row r="124" spans="1:887" s="141" customFormat="1" ht="20.100000000000001" customHeight="1">
      <c r="A124" s="164" t="s">
        <v>2153</v>
      </c>
      <c r="B124" s="165" t="s">
        <v>914</v>
      </c>
      <c r="C124" s="164" t="s">
        <v>915</v>
      </c>
      <c r="D124" s="173">
        <v>38074.5</v>
      </c>
      <c r="E124" s="173"/>
      <c r="F124" s="174"/>
      <c r="G124" s="168"/>
      <c r="H124" s="169"/>
      <c r="I124" s="169"/>
      <c r="J124" s="169" t="s">
        <v>1743</v>
      </c>
      <c r="K124" s="169"/>
      <c r="L124" s="169"/>
      <c r="M124" s="169"/>
      <c r="N124" s="169"/>
      <c r="O124" s="169"/>
      <c r="P124" s="170"/>
      <c r="Q124" s="139" t="s">
        <v>2469</v>
      </c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  <c r="AQ124" s="140"/>
      <c r="AR124" s="140"/>
      <c r="AS124" s="140"/>
      <c r="AT124" s="140"/>
      <c r="AU124" s="140"/>
      <c r="AV124" s="140"/>
      <c r="AW124" s="140"/>
      <c r="AX124" s="140"/>
      <c r="AY124" s="140"/>
      <c r="AZ124" s="140"/>
      <c r="BA124" s="140"/>
      <c r="BB124" s="140"/>
      <c r="BC124" s="140"/>
      <c r="BD124" s="140"/>
      <c r="BE124" s="140"/>
      <c r="BF124" s="140"/>
      <c r="BG124" s="140"/>
      <c r="BH124" s="140"/>
      <c r="BI124" s="140"/>
      <c r="BJ124" s="140"/>
      <c r="BK124" s="140"/>
      <c r="BL124" s="140"/>
      <c r="BM124" s="140"/>
      <c r="BN124" s="140"/>
      <c r="BO124" s="140"/>
      <c r="BP124" s="140"/>
      <c r="BQ124" s="140"/>
      <c r="BR124" s="140"/>
      <c r="BS124" s="140"/>
      <c r="BT124" s="140"/>
      <c r="BU124" s="140"/>
      <c r="BV124" s="140"/>
      <c r="BW124" s="140"/>
      <c r="BX124" s="140"/>
      <c r="BY124" s="140"/>
      <c r="BZ124" s="140"/>
      <c r="CA124" s="140"/>
      <c r="CB124" s="140"/>
      <c r="CC124" s="140"/>
      <c r="CD124" s="140"/>
      <c r="CE124" s="140"/>
      <c r="CF124" s="140"/>
      <c r="CG124" s="140"/>
      <c r="CH124" s="140"/>
      <c r="CI124" s="140"/>
      <c r="CJ124" s="140"/>
      <c r="CK124" s="140"/>
      <c r="CL124" s="140"/>
      <c r="CM124" s="140"/>
      <c r="CN124" s="140"/>
      <c r="CO124" s="140"/>
      <c r="CP124" s="140"/>
      <c r="CQ124" s="140"/>
      <c r="CR124" s="140"/>
      <c r="CS124" s="140"/>
      <c r="CT124" s="140"/>
      <c r="CU124" s="140"/>
      <c r="CV124" s="140"/>
      <c r="CW124" s="140"/>
      <c r="CX124" s="140"/>
      <c r="CY124" s="140"/>
      <c r="CZ124" s="140"/>
      <c r="DA124" s="140"/>
      <c r="DB124" s="140"/>
      <c r="DC124" s="140"/>
      <c r="DD124" s="140"/>
      <c r="DE124" s="140"/>
      <c r="DF124" s="140"/>
      <c r="DG124" s="140"/>
      <c r="DH124" s="140"/>
      <c r="DI124" s="140"/>
      <c r="DJ124" s="140"/>
      <c r="DK124" s="140"/>
      <c r="DL124" s="140"/>
      <c r="DM124" s="140"/>
      <c r="DN124" s="140"/>
      <c r="DO124" s="140"/>
      <c r="DP124" s="140"/>
      <c r="DQ124" s="140"/>
      <c r="DR124" s="140"/>
      <c r="DS124" s="140"/>
      <c r="DT124" s="140"/>
      <c r="DU124" s="140"/>
      <c r="DV124" s="140"/>
      <c r="DW124" s="140"/>
      <c r="DX124" s="140"/>
      <c r="DY124" s="140"/>
      <c r="DZ124" s="140"/>
      <c r="EA124" s="140"/>
      <c r="EB124" s="140"/>
      <c r="EC124" s="140"/>
      <c r="ED124" s="140"/>
      <c r="EE124" s="140"/>
      <c r="EF124" s="140"/>
      <c r="EG124" s="140"/>
      <c r="EH124" s="140"/>
      <c r="EI124" s="140"/>
      <c r="EJ124" s="140"/>
      <c r="EK124" s="140"/>
      <c r="EL124" s="140"/>
      <c r="EM124" s="140"/>
      <c r="EN124" s="140"/>
      <c r="EO124" s="140"/>
      <c r="EP124" s="140"/>
      <c r="EQ124" s="140"/>
      <c r="ER124" s="140"/>
      <c r="ES124" s="140"/>
      <c r="ET124" s="140"/>
      <c r="EU124" s="140"/>
      <c r="EV124" s="140"/>
      <c r="EW124" s="140"/>
      <c r="EX124" s="140"/>
      <c r="EY124" s="140"/>
      <c r="EZ124" s="140"/>
      <c r="FA124" s="140"/>
      <c r="FB124" s="140"/>
      <c r="FC124" s="140"/>
      <c r="FD124" s="140"/>
      <c r="FE124" s="140"/>
      <c r="FF124" s="140"/>
      <c r="FG124" s="140"/>
      <c r="FH124" s="140"/>
      <c r="FI124" s="140"/>
      <c r="FJ124" s="140"/>
      <c r="FK124" s="140"/>
      <c r="FL124" s="140"/>
      <c r="FM124" s="140"/>
      <c r="FN124" s="140"/>
      <c r="FO124" s="140"/>
      <c r="FP124" s="140"/>
      <c r="FQ124" s="140"/>
      <c r="FR124" s="140"/>
      <c r="FS124" s="140"/>
      <c r="FT124" s="140"/>
      <c r="FU124" s="140"/>
      <c r="FV124" s="140"/>
      <c r="FW124" s="140"/>
      <c r="FX124" s="140"/>
      <c r="FY124" s="140"/>
      <c r="FZ124" s="140"/>
      <c r="GA124" s="140"/>
      <c r="GB124" s="140"/>
      <c r="GC124" s="140"/>
      <c r="GD124" s="140"/>
      <c r="GE124" s="140"/>
      <c r="GF124" s="140"/>
      <c r="GG124" s="140"/>
      <c r="GH124" s="140"/>
      <c r="GI124" s="140"/>
      <c r="GJ124" s="140"/>
      <c r="GK124" s="140"/>
      <c r="GL124" s="140"/>
      <c r="GM124" s="140"/>
      <c r="GN124" s="140"/>
      <c r="GO124" s="140"/>
      <c r="GP124" s="140"/>
      <c r="GQ124" s="140"/>
      <c r="GR124" s="140"/>
      <c r="GS124" s="140"/>
      <c r="GT124" s="140"/>
      <c r="GU124" s="140"/>
      <c r="GV124" s="140"/>
      <c r="GW124" s="140"/>
      <c r="GX124" s="140"/>
      <c r="GY124" s="140"/>
      <c r="GZ124" s="140"/>
      <c r="HA124" s="140"/>
      <c r="HB124" s="140"/>
      <c r="HC124" s="140"/>
      <c r="HD124" s="140"/>
      <c r="HE124" s="140"/>
      <c r="HF124" s="140"/>
      <c r="HG124" s="140"/>
      <c r="HH124" s="140"/>
      <c r="HI124" s="140"/>
      <c r="HJ124" s="140"/>
      <c r="HK124" s="140"/>
      <c r="HL124" s="140"/>
      <c r="HM124" s="140"/>
      <c r="HN124" s="140"/>
      <c r="HO124" s="140"/>
      <c r="HP124" s="140"/>
      <c r="HQ124" s="140"/>
      <c r="HR124" s="140"/>
      <c r="HS124" s="140"/>
      <c r="HT124" s="140"/>
      <c r="HU124" s="140"/>
      <c r="HV124" s="140"/>
      <c r="HW124" s="140"/>
      <c r="HX124" s="140"/>
      <c r="HY124" s="140"/>
      <c r="HZ124" s="140"/>
      <c r="IA124" s="140"/>
      <c r="IB124" s="140"/>
      <c r="IC124" s="140"/>
      <c r="ID124" s="140"/>
      <c r="IE124" s="140"/>
      <c r="IF124" s="140"/>
      <c r="IG124" s="140"/>
      <c r="IH124" s="140"/>
      <c r="II124" s="140"/>
      <c r="IJ124" s="140"/>
      <c r="IK124" s="140"/>
      <c r="IL124" s="140"/>
      <c r="IM124" s="140"/>
      <c r="IN124" s="140"/>
      <c r="IO124" s="140"/>
      <c r="IP124" s="140"/>
      <c r="IQ124" s="140"/>
      <c r="IR124" s="140"/>
      <c r="IS124" s="140"/>
      <c r="IT124" s="140"/>
      <c r="IU124" s="140"/>
      <c r="IV124" s="140"/>
      <c r="IW124" s="140"/>
      <c r="IX124" s="140"/>
      <c r="IY124" s="140"/>
      <c r="IZ124" s="140"/>
      <c r="JA124" s="140"/>
      <c r="JB124" s="140"/>
      <c r="JC124" s="140"/>
      <c r="JD124" s="140"/>
      <c r="JE124" s="140"/>
      <c r="JF124" s="140"/>
      <c r="JG124" s="140"/>
      <c r="JH124" s="140"/>
      <c r="JI124" s="140"/>
      <c r="JJ124" s="140"/>
      <c r="JK124" s="140"/>
      <c r="JL124" s="140"/>
      <c r="JM124" s="140"/>
      <c r="JN124" s="140"/>
      <c r="JO124" s="140"/>
      <c r="JP124" s="140"/>
      <c r="JQ124" s="140"/>
      <c r="JR124" s="140"/>
      <c r="JS124" s="140"/>
      <c r="JT124" s="140"/>
      <c r="JU124" s="140"/>
      <c r="JV124" s="140"/>
      <c r="JW124" s="140"/>
      <c r="JX124" s="140"/>
      <c r="JY124" s="140"/>
      <c r="JZ124" s="140"/>
      <c r="KA124" s="140"/>
      <c r="KB124" s="140"/>
      <c r="KC124" s="140"/>
      <c r="KD124" s="140"/>
      <c r="KE124" s="140"/>
      <c r="KF124" s="140"/>
      <c r="KG124" s="140"/>
      <c r="KH124" s="140"/>
      <c r="KI124" s="140"/>
      <c r="KJ124" s="140"/>
      <c r="KK124" s="140"/>
      <c r="KL124" s="140"/>
      <c r="KM124" s="140"/>
      <c r="KN124" s="140"/>
      <c r="KO124" s="140"/>
      <c r="KP124" s="140"/>
      <c r="KQ124" s="140"/>
      <c r="KR124" s="140"/>
      <c r="KS124" s="140"/>
      <c r="KT124" s="140"/>
      <c r="KU124" s="140"/>
      <c r="KV124" s="140"/>
      <c r="KW124" s="140"/>
      <c r="KX124" s="140"/>
      <c r="KY124" s="140"/>
      <c r="KZ124" s="140"/>
      <c r="LA124" s="140"/>
      <c r="LB124" s="140"/>
      <c r="LC124" s="140"/>
      <c r="LD124" s="140"/>
      <c r="LE124" s="140"/>
      <c r="LF124" s="140"/>
      <c r="LG124" s="140"/>
      <c r="LH124" s="140"/>
      <c r="LI124" s="140"/>
      <c r="LJ124" s="140"/>
      <c r="LK124" s="140"/>
      <c r="LL124" s="140"/>
      <c r="LM124" s="140"/>
      <c r="LN124" s="140"/>
      <c r="LO124" s="140"/>
      <c r="LP124" s="140"/>
      <c r="LQ124" s="140"/>
      <c r="LR124" s="140"/>
      <c r="LS124" s="140"/>
      <c r="LT124" s="140"/>
      <c r="LU124" s="140"/>
      <c r="LV124" s="140"/>
      <c r="LW124" s="140"/>
      <c r="LX124" s="140"/>
      <c r="LY124" s="140"/>
      <c r="LZ124" s="140"/>
      <c r="MA124" s="140"/>
      <c r="MB124" s="140"/>
      <c r="MC124" s="140"/>
      <c r="MD124" s="140"/>
      <c r="ME124" s="140"/>
      <c r="MF124" s="140"/>
      <c r="MG124" s="140"/>
      <c r="MH124" s="140"/>
      <c r="MI124" s="140"/>
      <c r="MJ124" s="140"/>
      <c r="MK124" s="140"/>
      <c r="ML124" s="140"/>
      <c r="MM124" s="140"/>
      <c r="MN124" s="140"/>
      <c r="MO124" s="140"/>
      <c r="MP124" s="140"/>
      <c r="MQ124" s="140"/>
      <c r="MR124" s="140"/>
      <c r="MS124" s="140"/>
      <c r="MT124" s="140"/>
      <c r="MU124" s="140"/>
      <c r="MV124" s="140"/>
      <c r="MW124" s="140"/>
      <c r="MX124" s="140"/>
      <c r="MY124" s="140"/>
      <c r="MZ124" s="140"/>
      <c r="NA124" s="140"/>
      <c r="NB124" s="140"/>
      <c r="NC124" s="140"/>
      <c r="ND124" s="140"/>
      <c r="NE124" s="140"/>
      <c r="NF124" s="140"/>
      <c r="NG124" s="140"/>
      <c r="NH124" s="140"/>
      <c r="NI124" s="140"/>
      <c r="NJ124" s="140"/>
      <c r="NK124" s="140"/>
      <c r="NL124" s="140"/>
      <c r="NM124" s="140"/>
      <c r="NN124" s="140"/>
      <c r="NO124" s="140"/>
      <c r="NP124" s="140"/>
      <c r="NQ124" s="140"/>
      <c r="NR124" s="140"/>
      <c r="NS124" s="140"/>
      <c r="NT124" s="140"/>
      <c r="NU124" s="140"/>
      <c r="NV124" s="140"/>
      <c r="NW124" s="140"/>
      <c r="NX124" s="140"/>
      <c r="NY124" s="140"/>
      <c r="NZ124" s="140"/>
      <c r="OA124" s="140"/>
      <c r="OB124" s="140"/>
      <c r="OC124" s="140"/>
      <c r="OD124" s="140"/>
      <c r="OE124" s="140"/>
      <c r="OF124" s="140"/>
      <c r="OG124" s="140"/>
      <c r="OH124" s="140"/>
      <c r="OI124" s="140"/>
      <c r="OJ124" s="140"/>
      <c r="OK124" s="140"/>
      <c r="OL124" s="140"/>
      <c r="OM124" s="140"/>
      <c r="ON124" s="140"/>
      <c r="OO124" s="140"/>
      <c r="OP124" s="140"/>
      <c r="OQ124" s="140"/>
      <c r="OR124" s="140"/>
      <c r="OS124" s="140"/>
      <c r="OT124" s="140"/>
      <c r="OU124" s="140"/>
      <c r="OV124" s="140"/>
      <c r="OW124" s="140"/>
      <c r="OX124" s="140"/>
      <c r="OY124" s="140"/>
      <c r="OZ124" s="140"/>
      <c r="PA124" s="140"/>
      <c r="PB124" s="140"/>
      <c r="PC124" s="140"/>
      <c r="PD124" s="140"/>
      <c r="PE124" s="140"/>
      <c r="PF124" s="140"/>
      <c r="PG124" s="140"/>
      <c r="PH124" s="140"/>
      <c r="PI124" s="140"/>
      <c r="PJ124" s="140"/>
      <c r="PK124" s="140"/>
      <c r="PL124" s="140"/>
      <c r="PM124" s="140"/>
      <c r="PN124" s="140"/>
      <c r="PO124" s="140"/>
      <c r="PP124" s="140"/>
      <c r="PQ124" s="140"/>
      <c r="PR124" s="140"/>
      <c r="PS124" s="140"/>
      <c r="PT124" s="140"/>
      <c r="PU124" s="140"/>
      <c r="PV124" s="140"/>
      <c r="PW124" s="140"/>
      <c r="PX124" s="140"/>
      <c r="PY124" s="140"/>
      <c r="PZ124" s="140"/>
      <c r="QA124" s="140"/>
      <c r="QB124" s="140"/>
      <c r="QC124" s="140"/>
      <c r="QD124" s="140"/>
      <c r="QE124" s="140"/>
      <c r="QF124" s="140"/>
      <c r="QG124" s="140"/>
      <c r="QH124" s="140"/>
      <c r="QI124" s="140"/>
      <c r="QJ124" s="140"/>
      <c r="QK124" s="140"/>
      <c r="QL124" s="140"/>
      <c r="QM124" s="140"/>
      <c r="QN124" s="140"/>
      <c r="QO124" s="140"/>
      <c r="QP124" s="140"/>
      <c r="QQ124" s="140"/>
      <c r="QR124" s="140"/>
      <c r="QS124" s="140"/>
      <c r="QT124" s="140"/>
      <c r="QU124" s="140"/>
      <c r="QV124" s="140"/>
      <c r="QW124" s="140"/>
      <c r="QX124" s="140"/>
      <c r="QY124" s="140"/>
      <c r="QZ124" s="140"/>
      <c r="RA124" s="140"/>
      <c r="RB124" s="140"/>
      <c r="RC124" s="140"/>
      <c r="RD124" s="140"/>
      <c r="RE124" s="140"/>
      <c r="RF124" s="140"/>
      <c r="RG124" s="140"/>
      <c r="RH124" s="140"/>
      <c r="RI124" s="140"/>
      <c r="RJ124" s="140"/>
      <c r="RK124" s="140"/>
      <c r="RL124" s="140"/>
      <c r="RM124" s="140"/>
      <c r="RN124" s="140"/>
      <c r="RO124" s="140"/>
      <c r="RP124" s="140"/>
      <c r="RQ124" s="140"/>
      <c r="RR124" s="140"/>
      <c r="RS124" s="140"/>
      <c r="RT124" s="140"/>
      <c r="RU124" s="140"/>
      <c r="RV124" s="140"/>
      <c r="RW124" s="140"/>
      <c r="RX124" s="140"/>
      <c r="RY124" s="140"/>
      <c r="RZ124" s="140"/>
      <c r="SA124" s="140"/>
      <c r="SB124" s="140"/>
      <c r="SC124" s="140"/>
      <c r="SD124" s="140"/>
      <c r="SE124" s="140"/>
      <c r="SF124" s="140"/>
      <c r="SG124" s="140"/>
      <c r="SH124" s="140"/>
      <c r="SI124" s="140"/>
      <c r="SJ124" s="140"/>
      <c r="SK124" s="140"/>
      <c r="SL124" s="140"/>
      <c r="SM124" s="140"/>
      <c r="SN124" s="140"/>
      <c r="SO124" s="140"/>
      <c r="SP124" s="140"/>
      <c r="SQ124" s="140"/>
      <c r="SR124" s="140"/>
      <c r="SS124" s="140"/>
      <c r="ST124" s="140"/>
      <c r="SU124" s="140"/>
      <c r="SV124" s="140"/>
      <c r="SW124" s="140"/>
      <c r="SX124" s="140"/>
      <c r="SY124" s="140"/>
      <c r="SZ124" s="140"/>
      <c r="TA124" s="140"/>
      <c r="TB124" s="140"/>
      <c r="TC124" s="140"/>
      <c r="TD124" s="140"/>
      <c r="TE124" s="140"/>
      <c r="TF124" s="140"/>
      <c r="TG124" s="140"/>
      <c r="TH124" s="140"/>
      <c r="TI124" s="140"/>
      <c r="TJ124" s="140"/>
      <c r="TK124" s="140"/>
      <c r="TL124" s="140"/>
      <c r="TM124" s="140"/>
      <c r="TN124" s="140"/>
      <c r="TO124" s="140"/>
      <c r="TP124" s="140"/>
      <c r="TQ124" s="140"/>
      <c r="TR124" s="140"/>
      <c r="TS124" s="140"/>
      <c r="TT124" s="140"/>
      <c r="TU124" s="140"/>
      <c r="TV124" s="140"/>
      <c r="TW124" s="140"/>
      <c r="TX124" s="140"/>
      <c r="TY124" s="140"/>
      <c r="TZ124" s="140"/>
      <c r="UA124" s="140"/>
      <c r="UB124" s="140"/>
      <c r="UC124" s="140"/>
      <c r="UD124" s="140"/>
      <c r="UE124" s="140"/>
      <c r="UF124" s="140"/>
      <c r="UG124" s="140"/>
      <c r="UH124" s="140"/>
      <c r="UI124" s="140"/>
      <c r="UJ124" s="140"/>
      <c r="UK124" s="140"/>
      <c r="UL124" s="140"/>
      <c r="UM124" s="140"/>
      <c r="UN124" s="140"/>
      <c r="UO124" s="140"/>
      <c r="UP124" s="140"/>
      <c r="UQ124" s="140"/>
      <c r="UR124" s="140"/>
      <c r="US124" s="140"/>
      <c r="UT124" s="140"/>
      <c r="UU124" s="140"/>
      <c r="UV124" s="140"/>
      <c r="UW124" s="140"/>
      <c r="UX124" s="140"/>
      <c r="UY124" s="140"/>
      <c r="UZ124" s="140"/>
      <c r="VA124" s="140"/>
      <c r="VB124" s="140"/>
      <c r="VC124" s="140"/>
      <c r="VD124" s="140"/>
      <c r="VE124" s="140"/>
      <c r="VF124" s="140"/>
      <c r="VG124" s="140"/>
      <c r="VH124" s="140"/>
      <c r="VI124" s="140"/>
      <c r="VJ124" s="140"/>
      <c r="VK124" s="140"/>
      <c r="VL124" s="140"/>
      <c r="VM124" s="140"/>
      <c r="VN124" s="140"/>
      <c r="VO124" s="140"/>
      <c r="VP124" s="140"/>
      <c r="VQ124" s="140"/>
      <c r="VR124" s="140"/>
      <c r="VS124" s="140"/>
      <c r="VT124" s="140"/>
      <c r="VU124" s="140"/>
      <c r="VV124" s="140"/>
      <c r="VW124" s="140"/>
      <c r="VX124" s="140"/>
      <c r="VY124" s="140"/>
      <c r="VZ124" s="140"/>
      <c r="WA124" s="140"/>
      <c r="WB124" s="140"/>
      <c r="WC124" s="140"/>
      <c r="WD124" s="140"/>
      <c r="WE124" s="140"/>
      <c r="WF124" s="140"/>
      <c r="WG124" s="140"/>
      <c r="WH124" s="140"/>
      <c r="WI124" s="140"/>
      <c r="WJ124" s="140"/>
      <c r="WK124" s="140"/>
      <c r="WL124" s="140"/>
      <c r="WM124" s="140"/>
      <c r="WN124" s="140"/>
      <c r="WO124" s="140"/>
      <c r="WP124" s="140"/>
      <c r="WQ124" s="140"/>
      <c r="WR124" s="140"/>
      <c r="WS124" s="140"/>
      <c r="WT124" s="140"/>
      <c r="WU124" s="140"/>
      <c r="WV124" s="140"/>
      <c r="WW124" s="140"/>
      <c r="WX124" s="140"/>
      <c r="WY124" s="140"/>
      <c r="WZ124" s="140"/>
      <c r="XA124" s="140"/>
      <c r="XB124" s="140"/>
      <c r="XC124" s="140"/>
      <c r="XD124" s="140"/>
      <c r="XE124" s="140"/>
      <c r="XF124" s="140"/>
      <c r="XG124" s="140"/>
      <c r="XH124" s="140"/>
      <c r="XI124" s="140"/>
      <c r="XJ124" s="140"/>
      <c r="XK124" s="140"/>
      <c r="XL124" s="140"/>
      <c r="XM124" s="140"/>
      <c r="XN124" s="140"/>
      <c r="XO124" s="140"/>
      <c r="XP124" s="140"/>
      <c r="XQ124" s="140"/>
      <c r="XR124" s="140"/>
      <c r="XS124" s="140"/>
      <c r="XT124" s="140"/>
      <c r="XU124" s="140"/>
      <c r="XV124" s="140"/>
      <c r="XW124" s="140"/>
      <c r="XX124" s="140"/>
      <c r="XY124" s="140"/>
      <c r="XZ124" s="140"/>
      <c r="YA124" s="140"/>
      <c r="YB124" s="140"/>
      <c r="YC124" s="140"/>
      <c r="YD124" s="140"/>
      <c r="YE124" s="140"/>
      <c r="YF124" s="140"/>
      <c r="YG124" s="140"/>
      <c r="YH124" s="140"/>
      <c r="YI124" s="140"/>
      <c r="YJ124" s="140"/>
      <c r="YK124" s="140"/>
      <c r="YL124" s="140"/>
      <c r="YM124" s="140"/>
      <c r="YN124" s="140"/>
      <c r="YO124" s="140"/>
      <c r="YP124" s="140"/>
      <c r="YQ124" s="140"/>
      <c r="YR124" s="140"/>
      <c r="YS124" s="140"/>
      <c r="YT124" s="140"/>
      <c r="YU124" s="140"/>
      <c r="YV124" s="140"/>
      <c r="YW124" s="140"/>
      <c r="YX124" s="140"/>
      <c r="YY124" s="140"/>
      <c r="YZ124" s="140"/>
      <c r="ZA124" s="140"/>
      <c r="ZB124" s="140"/>
      <c r="ZC124" s="140"/>
      <c r="ZD124" s="140"/>
      <c r="ZE124" s="140"/>
      <c r="ZF124" s="140"/>
      <c r="ZG124" s="140"/>
      <c r="ZH124" s="140"/>
      <c r="ZI124" s="140"/>
      <c r="ZJ124" s="140"/>
      <c r="ZK124" s="140"/>
      <c r="ZL124" s="140"/>
      <c r="ZM124" s="140"/>
      <c r="ZN124" s="140"/>
      <c r="ZO124" s="140"/>
      <c r="ZP124" s="140"/>
      <c r="ZQ124" s="140"/>
      <c r="ZR124" s="140"/>
      <c r="ZS124" s="140"/>
      <c r="ZT124" s="140"/>
      <c r="ZU124" s="140"/>
      <c r="ZV124" s="140"/>
      <c r="ZW124" s="140"/>
      <c r="ZX124" s="140"/>
      <c r="ZY124" s="140"/>
      <c r="ZZ124" s="140"/>
      <c r="AAA124" s="140"/>
      <c r="AAB124" s="140"/>
      <c r="AAC124" s="140"/>
      <c r="AAD124" s="140"/>
      <c r="AAE124" s="140"/>
      <c r="AAF124" s="140"/>
      <c r="AAG124" s="140"/>
      <c r="AAH124" s="140"/>
      <c r="AAI124" s="140"/>
      <c r="AAJ124" s="140"/>
      <c r="AAK124" s="140"/>
      <c r="AAL124" s="140"/>
      <c r="AAM124" s="140"/>
      <c r="AAN124" s="140"/>
      <c r="AAO124" s="140"/>
      <c r="AAP124" s="140"/>
      <c r="AAQ124" s="140"/>
      <c r="AAR124" s="140"/>
      <c r="AAS124" s="140"/>
      <c r="AAT124" s="140"/>
      <c r="AAU124" s="140"/>
      <c r="AAV124" s="140"/>
      <c r="AAW124" s="140"/>
      <c r="AAX124" s="140"/>
      <c r="AAY124" s="140"/>
      <c r="AAZ124" s="140"/>
      <c r="ABA124" s="140"/>
      <c r="ABB124" s="140"/>
      <c r="ABC124" s="140"/>
      <c r="ABD124" s="140"/>
      <c r="ABE124" s="140"/>
      <c r="ABF124" s="140"/>
      <c r="ABG124" s="140"/>
      <c r="ABH124" s="140"/>
      <c r="ABI124" s="140"/>
      <c r="ABJ124" s="140"/>
      <c r="ABK124" s="140"/>
      <c r="ABL124" s="140"/>
      <c r="ABM124" s="140"/>
      <c r="ABN124" s="140"/>
      <c r="ABO124" s="140"/>
      <c r="ABP124" s="140"/>
      <c r="ABQ124" s="140"/>
      <c r="ABR124" s="140"/>
      <c r="ABS124" s="140"/>
      <c r="ABT124" s="140"/>
      <c r="ABU124" s="140"/>
      <c r="ABV124" s="140"/>
      <c r="ABW124" s="140"/>
      <c r="ABX124" s="140"/>
      <c r="ABY124" s="140"/>
      <c r="ABZ124" s="140"/>
      <c r="ACA124" s="140"/>
      <c r="ACB124" s="140"/>
      <c r="ACC124" s="140"/>
      <c r="ACD124" s="140"/>
      <c r="ACE124" s="140"/>
      <c r="ACF124" s="140"/>
      <c r="ACG124" s="140"/>
      <c r="ACH124" s="140"/>
      <c r="ACI124" s="140"/>
      <c r="ACJ124" s="140"/>
      <c r="ACK124" s="140"/>
      <c r="ACL124" s="140"/>
      <c r="ACM124" s="140"/>
      <c r="ACN124" s="140"/>
      <c r="ACO124" s="140"/>
      <c r="ACP124" s="140"/>
      <c r="ACQ124" s="140"/>
      <c r="ACR124" s="140"/>
      <c r="ACS124" s="140"/>
      <c r="ACT124" s="140"/>
      <c r="ACU124" s="140"/>
      <c r="ACV124" s="140"/>
      <c r="ACW124" s="140"/>
      <c r="ACX124" s="140"/>
      <c r="ACY124" s="140"/>
      <c r="ACZ124" s="140"/>
      <c r="ADA124" s="140"/>
      <c r="ADB124" s="140"/>
      <c r="ADC124" s="140"/>
      <c r="ADD124" s="140"/>
      <c r="ADE124" s="140"/>
      <c r="ADF124" s="140"/>
      <c r="ADG124" s="140"/>
      <c r="ADH124" s="140"/>
      <c r="ADI124" s="140"/>
      <c r="ADJ124" s="140"/>
      <c r="ADK124" s="140"/>
      <c r="ADL124" s="140"/>
      <c r="ADM124" s="140"/>
      <c r="ADN124" s="140"/>
      <c r="ADO124" s="140"/>
      <c r="ADP124" s="140"/>
      <c r="ADQ124" s="140"/>
      <c r="ADR124" s="140"/>
      <c r="ADS124" s="140"/>
      <c r="ADT124" s="140"/>
      <c r="ADU124" s="140"/>
      <c r="ADV124" s="140"/>
      <c r="ADW124" s="140"/>
      <c r="ADX124" s="140"/>
      <c r="ADY124" s="140"/>
      <c r="ADZ124" s="140"/>
      <c r="AEA124" s="140"/>
      <c r="AEB124" s="140"/>
      <c r="AEC124" s="140"/>
      <c r="AED124" s="140"/>
      <c r="AEE124" s="140"/>
      <c r="AEF124" s="140"/>
      <c r="AEG124" s="140"/>
      <c r="AEH124" s="140"/>
      <c r="AEI124" s="140"/>
      <c r="AEJ124" s="140"/>
      <c r="AEK124" s="140"/>
      <c r="AEL124" s="140"/>
      <c r="AEM124" s="140"/>
      <c r="AEN124" s="140"/>
      <c r="AEO124" s="140"/>
      <c r="AEP124" s="140"/>
      <c r="AEQ124" s="140"/>
      <c r="AER124" s="140"/>
      <c r="AES124" s="140"/>
      <c r="AET124" s="140"/>
      <c r="AEU124" s="140"/>
      <c r="AEV124" s="140"/>
      <c r="AEW124" s="140"/>
      <c r="AEX124" s="140"/>
      <c r="AEY124" s="140"/>
      <c r="AEZ124" s="140"/>
      <c r="AFA124" s="140"/>
      <c r="AFB124" s="140"/>
      <c r="AFC124" s="140"/>
      <c r="AFD124" s="140"/>
      <c r="AFE124" s="140"/>
      <c r="AFF124" s="140"/>
      <c r="AFG124" s="140"/>
      <c r="AFH124" s="140"/>
      <c r="AFI124" s="140"/>
      <c r="AFJ124" s="140"/>
      <c r="AFK124" s="140"/>
      <c r="AFL124" s="140"/>
      <c r="AFM124" s="140"/>
      <c r="AFN124" s="140"/>
      <c r="AFO124" s="140"/>
      <c r="AFP124" s="140"/>
      <c r="AFQ124" s="140"/>
      <c r="AFR124" s="140"/>
      <c r="AFS124" s="140"/>
      <c r="AFT124" s="140"/>
      <c r="AFU124" s="140"/>
      <c r="AFV124" s="140"/>
      <c r="AFW124" s="140"/>
      <c r="AFX124" s="140"/>
      <c r="AFY124" s="140"/>
      <c r="AFZ124" s="140"/>
      <c r="AGA124" s="140"/>
      <c r="AGB124" s="140"/>
      <c r="AGC124" s="140"/>
      <c r="AGD124" s="140"/>
      <c r="AGE124" s="140"/>
      <c r="AGF124" s="140"/>
      <c r="AGG124" s="140"/>
      <c r="AGH124" s="140"/>
      <c r="AGI124" s="140"/>
      <c r="AGJ124" s="140"/>
      <c r="AGK124" s="140"/>
      <c r="AGL124" s="140"/>
      <c r="AGM124" s="140"/>
      <c r="AGN124" s="140"/>
      <c r="AGO124" s="140"/>
      <c r="AGP124" s="140"/>
      <c r="AGQ124" s="140"/>
      <c r="AGR124" s="140"/>
      <c r="AGS124" s="140"/>
      <c r="AGT124" s="140"/>
      <c r="AGU124" s="140"/>
      <c r="AGV124" s="140"/>
      <c r="AGW124" s="140"/>
      <c r="AGX124" s="140"/>
      <c r="AGY124" s="140"/>
      <c r="AGZ124" s="140"/>
      <c r="AHA124" s="140"/>
      <c r="AHB124" s="140"/>
      <c r="AHC124" s="140"/>
    </row>
    <row r="125" spans="1:887" ht="20.100000000000001" customHeight="1">
      <c r="A125" s="191" t="str">
        <f>VLOOKUP(C125,'BASE DE DADOS'!A:B,2,FALSE)</f>
        <v>PREPARA INATIVOS</v>
      </c>
      <c r="B125" s="90" t="s">
        <v>658</v>
      </c>
      <c r="C125" s="191" t="s">
        <v>659</v>
      </c>
      <c r="D125" s="227">
        <v>71599.350000000006</v>
      </c>
      <c r="E125" s="76">
        <v>55056.82</v>
      </c>
      <c r="F125" s="228"/>
      <c r="G125" s="192"/>
      <c r="H125" s="193"/>
      <c r="I125" s="193"/>
      <c r="J125" s="193"/>
      <c r="K125" s="193"/>
      <c r="L125" s="193"/>
      <c r="M125" s="193"/>
      <c r="N125" s="193" t="s">
        <v>1743</v>
      </c>
      <c r="O125" s="202">
        <v>45005</v>
      </c>
      <c r="P125" s="146" t="s">
        <v>2849</v>
      </c>
      <c r="Q125" s="195" t="s">
        <v>2475</v>
      </c>
    </row>
    <row r="126" spans="1:887" ht="20.100000000000001" customHeight="1">
      <c r="A126" s="191" t="str">
        <f>VLOOKUP(C126,'BASE DE DADOS'!A:B,2,FALSE)</f>
        <v>PREPARA INATIVOS</v>
      </c>
      <c r="B126" s="90" t="s">
        <v>658</v>
      </c>
      <c r="C126" s="191" t="s">
        <v>659</v>
      </c>
      <c r="D126" s="227">
        <v>82793.710000000006</v>
      </c>
      <c r="E126" s="76">
        <v>82793.710000000006</v>
      </c>
      <c r="F126" s="228"/>
      <c r="G126" s="192"/>
      <c r="H126" s="193"/>
      <c r="I126" s="193"/>
      <c r="J126" s="193"/>
      <c r="K126" s="193"/>
      <c r="L126" s="193"/>
      <c r="M126" s="193"/>
      <c r="N126" s="193" t="s">
        <v>1743</v>
      </c>
      <c r="O126" s="202">
        <v>45036</v>
      </c>
      <c r="P126" s="146" t="s">
        <v>2848</v>
      </c>
      <c r="Q126" s="195" t="s">
        <v>2517</v>
      </c>
    </row>
    <row r="127" spans="1:887" ht="20.100000000000001" customHeight="1">
      <c r="A127" s="191" t="str">
        <f>VLOOKUP(C127,'BASE DE DADOS'!A:B,2,FALSE)</f>
        <v>PREPARA INATIVOS</v>
      </c>
      <c r="B127" s="90" t="s">
        <v>225</v>
      </c>
      <c r="C127" s="191" t="s">
        <v>226</v>
      </c>
      <c r="D127" s="227">
        <v>194568</v>
      </c>
      <c r="E127" s="227"/>
      <c r="F127" s="228"/>
      <c r="G127" s="192"/>
      <c r="H127" s="87"/>
      <c r="I127" s="193"/>
      <c r="J127" s="193"/>
      <c r="K127" s="193"/>
      <c r="L127" s="193"/>
      <c r="M127" s="193" t="s">
        <v>1743</v>
      </c>
      <c r="N127" s="193"/>
      <c r="O127" s="193"/>
      <c r="P127" s="87"/>
      <c r="Q127" s="195" t="s">
        <v>3544</v>
      </c>
    </row>
    <row r="128" spans="1:887" ht="20.100000000000001" customHeight="1">
      <c r="A128" s="191" t="str">
        <f>VLOOKUP(C128,'BASE DE DADOS'!A:B,2,FALSE)</f>
        <v>PREPARA INATIVOS</v>
      </c>
      <c r="B128" s="90" t="s">
        <v>213</v>
      </c>
      <c r="C128" s="191" t="s">
        <v>214</v>
      </c>
      <c r="D128" s="227">
        <v>178843.29</v>
      </c>
      <c r="E128" s="74" t="s">
        <v>2851</v>
      </c>
      <c r="F128" s="228"/>
      <c r="G128" s="192"/>
      <c r="H128" s="193"/>
      <c r="I128" s="193"/>
      <c r="J128" s="193"/>
      <c r="K128" s="193"/>
      <c r="L128" s="193"/>
      <c r="M128" s="193"/>
      <c r="N128" s="193" t="s">
        <v>1743</v>
      </c>
      <c r="O128" s="202">
        <v>44993</v>
      </c>
      <c r="P128" s="146" t="s">
        <v>2850</v>
      </c>
      <c r="Q128" s="195" t="s">
        <v>2464</v>
      </c>
    </row>
    <row r="129" spans="1:887" ht="20.100000000000001" customHeight="1">
      <c r="A129" s="191" t="str">
        <f>VLOOKUP(C129,'BASE DE DADOS'!A:B,2,FALSE)</f>
        <v>PREPARA INATIVOS</v>
      </c>
      <c r="B129" s="90" t="s">
        <v>213</v>
      </c>
      <c r="C129" s="191" t="s">
        <v>214</v>
      </c>
      <c r="D129" s="227">
        <v>108420.4</v>
      </c>
      <c r="E129" s="76">
        <v>108420.4</v>
      </c>
      <c r="F129" s="228"/>
      <c r="G129" s="192"/>
      <c r="H129" s="193"/>
      <c r="I129" s="193"/>
      <c r="J129" s="193"/>
      <c r="K129" s="193"/>
      <c r="L129" s="193"/>
      <c r="M129" s="193"/>
      <c r="N129" s="193" t="s">
        <v>1743</v>
      </c>
      <c r="O129" s="202">
        <v>45121</v>
      </c>
      <c r="P129" s="146" t="s">
        <v>2852</v>
      </c>
      <c r="Q129" s="195" t="s">
        <v>2530</v>
      </c>
    </row>
    <row r="130" spans="1:887" s="141" customFormat="1" ht="20.100000000000001" customHeight="1">
      <c r="A130" s="133" t="s">
        <v>2153</v>
      </c>
      <c r="B130" s="134" t="s">
        <v>904</v>
      </c>
      <c r="C130" s="133" t="s">
        <v>905</v>
      </c>
      <c r="D130" s="177">
        <v>9250.34</v>
      </c>
      <c r="E130" s="136">
        <v>10180.94</v>
      </c>
      <c r="F130" s="178"/>
      <c r="G130" s="121"/>
      <c r="H130" s="64"/>
      <c r="I130" s="64"/>
      <c r="J130" s="64"/>
      <c r="K130" s="64"/>
      <c r="L130" s="64"/>
      <c r="M130" s="64"/>
      <c r="N130" s="64" t="s">
        <v>1743</v>
      </c>
      <c r="O130" s="138">
        <v>45005</v>
      </c>
      <c r="P130" s="150" t="s">
        <v>2853</v>
      </c>
      <c r="Q130" s="139" t="s">
        <v>2471</v>
      </c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  <c r="AQ130" s="140"/>
      <c r="AR130" s="140"/>
      <c r="AS130" s="140"/>
      <c r="AT130" s="140"/>
      <c r="AU130" s="140"/>
      <c r="AV130" s="140"/>
      <c r="AW130" s="140"/>
      <c r="AX130" s="140"/>
      <c r="AY130" s="140"/>
      <c r="AZ130" s="140"/>
      <c r="BA130" s="140"/>
      <c r="BB130" s="140"/>
      <c r="BC130" s="140"/>
      <c r="BD130" s="140"/>
      <c r="BE130" s="140"/>
      <c r="BF130" s="140"/>
      <c r="BG130" s="140"/>
      <c r="BH130" s="140"/>
      <c r="BI130" s="140"/>
      <c r="BJ130" s="140"/>
      <c r="BK130" s="140"/>
      <c r="BL130" s="140"/>
      <c r="BM130" s="140"/>
      <c r="BN130" s="140"/>
      <c r="BO130" s="140"/>
      <c r="BP130" s="140"/>
      <c r="BQ130" s="140"/>
      <c r="BR130" s="140"/>
      <c r="BS130" s="140"/>
      <c r="BT130" s="140"/>
      <c r="BU130" s="140"/>
      <c r="BV130" s="140"/>
      <c r="BW130" s="140"/>
      <c r="BX130" s="140"/>
      <c r="BY130" s="140"/>
      <c r="BZ130" s="140"/>
      <c r="CA130" s="140"/>
      <c r="CB130" s="140"/>
      <c r="CC130" s="140"/>
      <c r="CD130" s="140"/>
      <c r="CE130" s="140"/>
      <c r="CF130" s="140"/>
      <c r="CG130" s="140"/>
      <c r="CH130" s="140"/>
      <c r="CI130" s="140"/>
      <c r="CJ130" s="140"/>
      <c r="CK130" s="140"/>
      <c r="CL130" s="140"/>
      <c r="CM130" s="140"/>
      <c r="CN130" s="140"/>
      <c r="CO130" s="140"/>
      <c r="CP130" s="140"/>
      <c r="CQ130" s="140"/>
      <c r="CR130" s="140"/>
      <c r="CS130" s="140"/>
      <c r="CT130" s="140"/>
      <c r="CU130" s="140"/>
      <c r="CV130" s="140"/>
      <c r="CW130" s="140"/>
      <c r="CX130" s="140"/>
      <c r="CY130" s="140"/>
      <c r="CZ130" s="140"/>
      <c r="DA130" s="140"/>
      <c r="DB130" s="140"/>
      <c r="DC130" s="140"/>
      <c r="DD130" s="140"/>
      <c r="DE130" s="140"/>
      <c r="DF130" s="140"/>
      <c r="DG130" s="140"/>
      <c r="DH130" s="140"/>
      <c r="DI130" s="140"/>
      <c r="DJ130" s="140"/>
      <c r="DK130" s="140"/>
      <c r="DL130" s="140"/>
      <c r="DM130" s="140"/>
      <c r="DN130" s="140"/>
      <c r="DO130" s="140"/>
      <c r="DP130" s="140"/>
      <c r="DQ130" s="140"/>
      <c r="DR130" s="140"/>
      <c r="DS130" s="140"/>
      <c r="DT130" s="140"/>
      <c r="DU130" s="140"/>
      <c r="DV130" s="140"/>
      <c r="DW130" s="140"/>
      <c r="DX130" s="140"/>
      <c r="DY130" s="140"/>
      <c r="DZ130" s="140"/>
      <c r="EA130" s="140"/>
      <c r="EB130" s="140"/>
      <c r="EC130" s="140"/>
      <c r="ED130" s="140"/>
      <c r="EE130" s="140"/>
      <c r="EF130" s="140"/>
      <c r="EG130" s="140"/>
      <c r="EH130" s="140"/>
      <c r="EI130" s="140"/>
      <c r="EJ130" s="140"/>
      <c r="EK130" s="140"/>
      <c r="EL130" s="140"/>
      <c r="EM130" s="140"/>
      <c r="EN130" s="140"/>
      <c r="EO130" s="140"/>
      <c r="EP130" s="140"/>
      <c r="EQ130" s="140"/>
      <c r="ER130" s="140"/>
      <c r="ES130" s="140"/>
      <c r="ET130" s="140"/>
      <c r="EU130" s="140"/>
      <c r="EV130" s="140"/>
      <c r="EW130" s="140"/>
      <c r="EX130" s="140"/>
      <c r="EY130" s="140"/>
      <c r="EZ130" s="140"/>
      <c r="FA130" s="140"/>
      <c r="FB130" s="140"/>
      <c r="FC130" s="140"/>
      <c r="FD130" s="140"/>
      <c r="FE130" s="140"/>
      <c r="FF130" s="140"/>
      <c r="FG130" s="140"/>
      <c r="FH130" s="140"/>
      <c r="FI130" s="140"/>
      <c r="FJ130" s="140"/>
      <c r="FK130" s="140"/>
      <c r="FL130" s="140"/>
      <c r="FM130" s="140"/>
      <c r="FN130" s="140"/>
      <c r="FO130" s="140"/>
      <c r="FP130" s="140"/>
      <c r="FQ130" s="140"/>
      <c r="FR130" s="140"/>
      <c r="FS130" s="140"/>
      <c r="FT130" s="140"/>
      <c r="FU130" s="140"/>
      <c r="FV130" s="140"/>
      <c r="FW130" s="140"/>
      <c r="FX130" s="140"/>
      <c r="FY130" s="140"/>
      <c r="FZ130" s="140"/>
      <c r="GA130" s="140"/>
      <c r="GB130" s="140"/>
      <c r="GC130" s="140"/>
      <c r="GD130" s="140"/>
      <c r="GE130" s="140"/>
      <c r="GF130" s="140"/>
      <c r="GG130" s="140"/>
      <c r="GH130" s="140"/>
      <c r="GI130" s="140"/>
      <c r="GJ130" s="140"/>
      <c r="GK130" s="140"/>
      <c r="GL130" s="140"/>
      <c r="GM130" s="140"/>
      <c r="GN130" s="140"/>
      <c r="GO130" s="140"/>
      <c r="GP130" s="140"/>
      <c r="GQ130" s="140"/>
      <c r="GR130" s="140"/>
      <c r="GS130" s="140"/>
      <c r="GT130" s="140"/>
      <c r="GU130" s="140"/>
      <c r="GV130" s="140"/>
      <c r="GW130" s="140"/>
      <c r="GX130" s="140"/>
      <c r="GY130" s="140"/>
      <c r="GZ130" s="140"/>
      <c r="HA130" s="140"/>
      <c r="HB130" s="140"/>
      <c r="HC130" s="140"/>
      <c r="HD130" s="140"/>
      <c r="HE130" s="140"/>
      <c r="HF130" s="140"/>
      <c r="HG130" s="140"/>
      <c r="HH130" s="140"/>
      <c r="HI130" s="140"/>
      <c r="HJ130" s="140"/>
      <c r="HK130" s="140"/>
      <c r="HL130" s="140"/>
      <c r="HM130" s="140"/>
      <c r="HN130" s="140"/>
      <c r="HO130" s="140"/>
      <c r="HP130" s="140"/>
      <c r="HQ130" s="140"/>
      <c r="HR130" s="140"/>
      <c r="HS130" s="140"/>
      <c r="HT130" s="140"/>
      <c r="HU130" s="140"/>
      <c r="HV130" s="140"/>
      <c r="HW130" s="140"/>
      <c r="HX130" s="140"/>
      <c r="HY130" s="140"/>
      <c r="HZ130" s="140"/>
      <c r="IA130" s="140"/>
      <c r="IB130" s="140"/>
      <c r="IC130" s="140"/>
      <c r="ID130" s="140"/>
      <c r="IE130" s="140"/>
      <c r="IF130" s="140"/>
      <c r="IG130" s="140"/>
      <c r="IH130" s="140"/>
      <c r="II130" s="140"/>
      <c r="IJ130" s="140"/>
      <c r="IK130" s="140"/>
      <c r="IL130" s="140"/>
      <c r="IM130" s="140"/>
      <c r="IN130" s="140"/>
      <c r="IO130" s="140"/>
      <c r="IP130" s="140"/>
      <c r="IQ130" s="140"/>
      <c r="IR130" s="140"/>
      <c r="IS130" s="140"/>
      <c r="IT130" s="140"/>
      <c r="IU130" s="140"/>
      <c r="IV130" s="140"/>
      <c r="IW130" s="140"/>
      <c r="IX130" s="140"/>
      <c r="IY130" s="140"/>
      <c r="IZ130" s="140"/>
      <c r="JA130" s="140"/>
      <c r="JB130" s="140"/>
      <c r="JC130" s="140"/>
      <c r="JD130" s="140"/>
      <c r="JE130" s="140"/>
      <c r="JF130" s="140"/>
      <c r="JG130" s="140"/>
      <c r="JH130" s="140"/>
      <c r="JI130" s="140"/>
      <c r="JJ130" s="140"/>
      <c r="JK130" s="140"/>
      <c r="JL130" s="140"/>
      <c r="JM130" s="140"/>
      <c r="JN130" s="140"/>
      <c r="JO130" s="140"/>
      <c r="JP130" s="140"/>
      <c r="JQ130" s="140"/>
      <c r="JR130" s="140"/>
      <c r="JS130" s="140"/>
      <c r="JT130" s="140"/>
      <c r="JU130" s="140"/>
      <c r="JV130" s="140"/>
      <c r="JW130" s="140"/>
      <c r="JX130" s="140"/>
      <c r="JY130" s="140"/>
      <c r="JZ130" s="140"/>
      <c r="KA130" s="140"/>
      <c r="KB130" s="140"/>
      <c r="KC130" s="140"/>
      <c r="KD130" s="140"/>
      <c r="KE130" s="140"/>
      <c r="KF130" s="140"/>
      <c r="KG130" s="140"/>
      <c r="KH130" s="140"/>
      <c r="KI130" s="140"/>
      <c r="KJ130" s="140"/>
      <c r="KK130" s="140"/>
      <c r="KL130" s="140"/>
      <c r="KM130" s="140"/>
      <c r="KN130" s="140"/>
      <c r="KO130" s="140"/>
      <c r="KP130" s="140"/>
      <c r="KQ130" s="140"/>
      <c r="KR130" s="140"/>
      <c r="KS130" s="140"/>
      <c r="KT130" s="140"/>
      <c r="KU130" s="140"/>
      <c r="KV130" s="140"/>
      <c r="KW130" s="140"/>
      <c r="KX130" s="140"/>
      <c r="KY130" s="140"/>
      <c r="KZ130" s="140"/>
      <c r="LA130" s="140"/>
      <c r="LB130" s="140"/>
      <c r="LC130" s="140"/>
      <c r="LD130" s="140"/>
      <c r="LE130" s="140"/>
      <c r="LF130" s="140"/>
      <c r="LG130" s="140"/>
      <c r="LH130" s="140"/>
      <c r="LI130" s="140"/>
      <c r="LJ130" s="140"/>
      <c r="LK130" s="140"/>
      <c r="LL130" s="140"/>
      <c r="LM130" s="140"/>
      <c r="LN130" s="140"/>
      <c r="LO130" s="140"/>
      <c r="LP130" s="140"/>
      <c r="LQ130" s="140"/>
      <c r="LR130" s="140"/>
      <c r="LS130" s="140"/>
      <c r="LT130" s="140"/>
      <c r="LU130" s="140"/>
      <c r="LV130" s="140"/>
      <c r="LW130" s="140"/>
      <c r="LX130" s="140"/>
      <c r="LY130" s="140"/>
      <c r="LZ130" s="140"/>
      <c r="MA130" s="140"/>
      <c r="MB130" s="140"/>
      <c r="MC130" s="140"/>
      <c r="MD130" s="140"/>
      <c r="ME130" s="140"/>
      <c r="MF130" s="140"/>
      <c r="MG130" s="140"/>
      <c r="MH130" s="140"/>
      <c r="MI130" s="140"/>
      <c r="MJ130" s="140"/>
      <c r="MK130" s="140"/>
      <c r="ML130" s="140"/>
      <c r="MM130" s="140"/>
      <c r="MN130" s="140"/>
      <c r="MO130" s="140"/>
      <c r="MP130" s="140"/>
      <c r="MQ130" s="140"/>
      <c r="MR130" s="140"/>
      <c r="MS130" s="140"/>
      <c r="MT130" s="140"/>
      <c r="MU130" s="140"/>
      <c r="MV130" s="140"/>
      <c r="MW130" s="140"/>
      <c r="MX130" s="140"/>
      <c r="MY130" s="140"/>
      <c r="MZ130" s="140"/>
      <c r="NA130" s="140"/>
      <c r="NB130" s="140"/>
      <c r="NC130" s="140"/>
      <c r="ND130" s="140"/>
      <c r="NE130" s="140"/>
      <c r="NF130" s="140"/>
      <c r="NG130" s="140"/>
      <c r="NH130" s="140"/>
      <c r="NI130" s="140"/>
      <c r="NJ130" s="140"/>
      <c r="NK130" s="140"/>
      <c r="NL130" s="140"/>
      <c r="NM130" s="140"/>
      <c r="NN130" s="140"/>
      <c r="NO130" s="140"/>
      <c r="NP130" s="140"/>
      <c r="NQ130" s="140"/>
      <c r="NR130" s="140"/>
      <c r="NS130" s="140"/>
      <c r="NT130" s="140"/>
      <c r="NU130" s="140"/>
      <c r="NV130" s="140"/>
      <c r="NW130" s="140"/>
      <c r="NX130" s="140"/>
      <c r="NY130" s="140"/>
      <c r="NZ130" s="140"/>
      <c r="OA130" s="140"/>
      <c r="OB130" s="140"/>
      <c r="OC130" s="140"/>
      <c r="OD130" s="140"/>
      <c r="OE130" s="140"/>
      <c r="OF130" s="140"/>
      <c r="OG130" s="140"/>
      <c r="OH130" s="140"/>
      <c r="OI130" s="140"/>
      <c r="OJ130" s="140"/>
      <c r="OK130" s="140"/>
      <c r="OL130" s="140"/>
      <c r="OM130" s="140"/>
      <c r="ON130" s="140"/>
      <c r="OO130" s="140"/>
      <c r="OP130" s="140"/>
      <c r="OQ130" s="140"/>
      <c r="OR130" s="140"/>
      <c r="OS130" s="140"/>
      <c r="OT130" s="140"/>
      <c r="OU130" s="140"/>
      <c r="OV130" s="140"/>
      <c r="OW130" s="140"/>
      <c r="OX130" s="140"/>
      <c r="OY130" s="140"/>
      <c r="OZ130" s="140"/>
      <c r="PA130" s="140"/>
      <c r="PB130" s="140"/>
      <c r="PC130" s="140"/>
      <c r="PD130" s="140"/>
      <c r="PE130" s="140"/>
      <c r="PF130" s="140"/>
      <c r="PG130" s="140"/>
      <c r="PH130" s="140"/>
      <c r="PI130" s="140"/>
      <c r="PJ130" s="140"/>
      <c r="PK130" s="140"/>
      <c r="PL130" s="140"/>
      <c r="PM130" s="140"/>
      <c r="PN130" s="140"/>
      <c r="PO130" s="140"/>
      <c r="PP130" s="140"/>
      <c r="PQ130" s="140"/>
      <c r="PR130" s="140"/>
      <c r="PS130" s="140"/>
      <c r="PT130" s="140"/>
      <c r="PU130" s="140"/>
      <c r="PV130" s="140"/>
      <c r="PW130" s="140"/>
      <c r="PX130" s="140"/>
      <c r="PY130" s="140"/>
      <c r="PZ130" s="140"/>
      <c r="QA130" s="140"/>
      <c r="QB130" s="140"/>
      <c r="QC130" s="140"/>
      <c r="QD130" s="140"/>
      <c r="QE130" s="140"/>
      <c r="QF130" s="140"/>
      <c r="QG130" s="140"/>
      <c r="QH130" s="140"/>
      <c r="QI130" s="140"/>
      <c r="QJ130" s="140"/>
      <c r="QK130" s="140"/>
      <c r="QL130" s="140"/>
      <c r="QM130" s="140"/>
      <c r="QN130" s="140"/>
      <c r="QO130" s="140"/>
      <c r="QP130" s="140"/>
      <c r="QQ130" s="140"/>
      <c r="QR130" s="140"/>
      <c r="QS130" s="140"/>
      <c r="QT130" s="140"/>
      <c r="QU130" s="140"/>
      <c r="QV130" s="140"/>
      <c r="QW130" s="140"/>
      <c r="QX130" s="140"/>
      <c r="QY130" s="140"/>
      <c r="QZ130" s="140"/>
      <c r="RA130" s="140"/>
      <c r="RB130" s="140"/>
      <c r="RC130" s="140"/>
      <c r="RD130" s="140"/>
      <c r="RE130" s="140"/>
      <c r="RF130" s="140"/>
      <c r="RG130" s="140"/>
      <c r="RH130" s="140"/>
      <c r="RI130" s="140"/>
      <c r="RJ130" s="140"/>
      <c r="RK130" s="140"/>
      <c r="RL130" s="140"/>
      <c r="RM130" s="140"/>
      <c r="RN130" s="140"/>
      <c r="RO130" s="140"/>
      <c r="RP130" s="140"/>
      <c r="RQ130" s="140"/>
      <c r="RR130" s="140"/>
      <c r="RS130" s="140"/>
      <c r="RT130" s="140"/>
      <c r="RU130" s="140"/>
      <c r="RV130" s="140"/>
      <c r="RW130" s="140"/>
      <c r="RX130" s="140"/>
      <c r="RY130" s="140"/>
      <c r="RZ130" s="140"/>
      <c r="SA130" s="140"/>
      <c r="SB130" s="140"/>
      <c r="SC130" s="140"/>
      <c r="SD130" s="140"/>
      <c r="SE130" s="140"/>
      <c r="SF130" s="140"/>
      <c r="SG130" s="140"/>
      <c r="SH130" s="140"/>
      <c r="SI130" s="140"/>
      <c r="SJ130" s="140"/>
      <c r="SK130" s="140"/>
      <c r="SL130" s="140"/>
      <c r="SM130" s="140"/>
      <c r="SN130" s="140"/>
      <c r="SO130" s="140"/>
      <c r="SP130" s="140"/>
      <c r="SQ130" s="140"/>
      <c r="SR130" s="140"/>
      <c r="SS130" s="140"/>
      <c r="ST130" s="140"/>
      <c r="SU130" s="140"/>
      <c r="SV130" s="140"/>
      <c r="SW130" s="140"/>
      <c r="SX130" s="140"/>
      <c r="SY130" s="140"/>
      <c r="SZ130" s="140"/>
      <c r="TA130" s="140"/>
      <c r="TB130" s="140"/>
      <c r="TC130" s="140"/>
      <c r="TD130" s="140"/>
      <c r="TE130" s="140"/>
      <c r="TF130" s="140"/>
      <c r="TG130" s="140"/>
      <c r="TH130" s="140"/>
      <c r="TI130" s="140"/>
      <c r="TJ130" s="140"/>
      <c r="TK130" s="140"/>
      <c r="TL130" s="140"/>
      <c r="TM130" s="140"/>
      <c r="TN130" s="140"/>
      <c r="TO130" s="140"/>
      <c r="TP130" s="140"/>
      <c r="TQ130" s="140"/>
      <c r="TR130" s="140"/>
      <c r="TS130" s="140"/>
      <c r="TT130" s="140"/>
      <c r="TU130" s="140"/>
      <c r="TV130" s="140"/>
      <c r="TW130" s="140"/>
      <c r="TX130" s="140"/>
      <c r="TY130" s="140"/>
      <c r="TZ130" s="140"/>
      <c r="UA130" s="140"/>
      <c r="UB130" s="140"/>
      <c r="UC130" s="140"/>
      <c r="UD130" s="140"/>
      <c r="UE130" s="140"/>
      <c r="UF130" s="140"/>
      <c r="UG130" s="140"/>
      <c r="UH130" s="140"/>
      <c r="UI130" s="140"/>
      <c r="UJ130" s="140"/>
      <c r="UK130" s="140"/>
      <c r="UL130" s="140"/>
      <c r="UM130" s="140"/>
      <c r="UN130" s="140"/>
      <c r="UO130" s="140"/>
      <c r="UP130" s="140"/>
      <c r="UQ130" s="140"/>
      <c r="UR130" s="140"/>
      <c r="US130" s="140"/>
      <c r="UT130" s="140"/>
      <c r="UU130" s="140"/>
      <c r="UV130" s="140"/>
      <c r="UW130" s="140"/>
      <c r="UX130" s="140"/>
      <c r="UY130" s="140"/>
      <c r="UZ130" s="140"/>
      <c r="VA130" s="140"/>
      <c r="VB130" s="140"/>
      <c r="VC130" s="140"/>
      <c r="VD130" s="140"/>
      <c r="VE130" s="140"/>
      <c r="VF130" s="140"/>
      <c r="VG130" s="140"/>
      <c r="VH130" s="140"/>
      <c r="VI130" s="140"/>
      <c r="VJ130" s="140"/>
      <c r="VK130" s="140"/>
      <c r="VL130" s="140"/>
      <c r="VM130" s="140"/>
      <c r="VN130" s="140"/>
      <c r="VO130" s="140"/>
      <c r="VP130" s="140"/>
      <c r="VQ130" s="140"/>
      <c r="VR130" s="140"/>
      <c r="VS130" s="140"/>
      <c r="VT130" s="140"/>
      <c r="VU130" s="140"/>
      <c r="VV130" s="140"/>
      <c r="VW130" s="140"/>
      <c r="VX130" s="140"/>
      <c r="VY130" s="140"/>
      <c r="VZ130" s="140"/>
      <c r="WA130" s="140"/>
      <c r="WB130" s="140"/>
      <c r="WC130" s="140"/>
      <c r="WD130" s="140"/>
      <c r="WE130" s="140"/>
      <c r="WF130" s="140"/>
      <c r="WG130" s="140"/>
      <c r="WH130" s="140"/>
      <c r="WI130" s="140"/>
      <c r="WJ130" s="140"/>
      <c r="WK130" s="140"/>
      <c r="WL130" s="140"/>
      <c r="WM130" s="140"/>
      <c r="WN130" s="140"/>
      <c r="WO130" s="140"/>
      <c r="WP130" s="140"/>
      <c r="WQ130" s="140"/>
      <c r="WR130" s="140"/>
      <c r="WS130" s="140"/>
      <c r="WT130" s="140"/>
      <c r="WU130" s="140"/>
      <c r="WV130" s="140"/>
      <c r="WW130" s="140"/>
      <c r="WX130" s="140"/>
      <c r="WY130" s="140"/>
      <c r="WZ130" s="140"/>
      <c r="XA130" s="140"/>
      <c r="XB130" s="140"/>
      <c r="XC130" s="140"/>
      <c r="XD130" s="140"/>
      <c r="XE130" s="140"/>
      <c r="XF130" s="140"/>
      <c r="XG130" s="140"/>
      <c r="XH130" s="140"/>
      <c r="XI130" s="140"/>
      <c r="XJ130" s="140"/>
      <c r="XK130" s="140"/>
      <c r="XL130" s="140"/>
      <c r="XM130" s="140"/>
      <c r="XN130" s="140"/>
      <c r="XO130" s="140"/>
      <c r="XP130" s="140"/>
      <c r="XQ130" s="140"/>
      <c r="XR130" s="140"/>
      <c r="XS130" s="140"/>
      <c r="XT130" s="140"/>
      <c r="XU130" s="140"/>
      <c r="XV130" s="140"/>
      <c r="XW130" s="140"/>
      <c r="XX130" s="140"/>
      <c r="XY130" s="140"/>
      <c r="XZ130" s="140"/>
      <c r="YA130" s="140"/>
      <c r="YB130" s="140"/>
      <c r="YC130" s="140"/>
      <c r="YD130" s="140"/>
      <c r="YE130" s="140"/>
      <c r="YF130" s="140"/>
      <c r="YG130" s="140"/>
      <c r="YH130" s="140"/>
      <c r="YI130" s="140"/>
      <c r="YJ130" s="140"/>
      <c r="YK130" s="140"/>
      <c r="YL130" s="140"/>
      <c r="YM130" s="140"/>
      <c r="YN130" s="140"/>
      <c r="YO130" s="140"/>
      <c r="YP130" s="140"/>
      <c r="YQ130" s="140"/>
      <c r="YR130" s="140"/>
      <c r="YS130" s="140"/>
      <c r="YT130" s="140"/>
      <c r="YU130" s="140"/>
      <c r="YV130" s="140"/>
      <c r="YW130" s="140"/>
      <c r="YX130" s="140"/>
      <c r="YY130" s="140"/>
      <c r="YZ130" s="140"/>
      <c r="ZA130" s="140"/>
      <c r="ZB130" s="140"/>
      <c r="ZC130" s="140"/>
      <c r="ZD130" s="140"/>
      <c r="ZE130" s="140"/>
      <c r="ZF130" s="140"/>
      <c r="ZG130" s="140"/>
      <c r="ZH130" s="140"/>
      <c r="ZI130" s="140"/>
      <c r="ZJ130" s="140"/>
      <c r="ZK130" s="140"/>
      <c r="ZL130" s="140"/>
      <c r="ZM130" s="140"/>
      <c r="ZN130" s="140"/>
      <c r="ZO130" s="140"/>
      <c r="ZP130" s="140"/>
      <c r="ZQ130" s="140"/>
      <c r="ZR130" s="140"/>
      <c r="ZS130" s="140"/>
      <c r="ZT130" s="140"/>
      <c r="ZU130" s="140"/>
      <c r="ZV130" s="140"/>
      <c r="ZW130" s="140"/>
      <c r="ZX130" s="140"/>
      <c r="ZY130" s="140"/>
      <c r="ZZ130" s="140"/>
      <c r="AAA130" s="140"/>
      <c r="AAB130" s="140"/>
      <c r="AAC130" s="140"/>
      <c r="AAD130" s="140"/>
      <c r="AAE130" s="140"/>
      <c r="AAF130" s="140"/>
      <c r="AAG130" s="140"/>
      <c r="AAH130" s="140"/>
      <c r="AAI130" s="140"/>
      <c r="AAJ130" s="140"/>
      <c r="AAK130" s="140"/>
      <c r="AAL130" s="140"/>
      <c r="AAM130" s="140"/>
      <c r="AAN130" s="140"/>
      <c r="AAO130" s="140"/>
      <c r="AAP130" s="140"/>
      <c r="AAQ130" s="140"/>
      <c r="AAR130" s="140"/>
      <c r="AAS130" s="140"/>
      <c r="AAT130" s="140"/>
      <c r="AAU130" s="140"/>
      <c r="AAV130" s="140"/>
      <c r="AAW130" s="140"/>
      <c r="AAX130" s="140"/>
      <c r="AAY130" s="140"/>
      <c r="AAZ130" s="140"/>
      <c r="ABA130" s="140"/>
      <c r="ABB130" s="140"/>
      <c r="ABC130" s="140"/>
      <c r="ABD130" s="140"/>
      <c r="ABE130" s="140"/>
      <c r="ABF130" s="140"/>
      <c r="ABG130" s="140"/>
      <c r="ABH130" s="140"/>
      <c r="ABI130" s="140"/>
      <c r="ABJ130" s="140"/>
      <c r="ABK130" s="140"/>
      <c r="ABL130" s="140"/>
      <c r="ABM130" s="140"/>
      <c r="ABN130" s="140"/>
      <c r="ABO130" s="140"/>
      <c r="ABP130" s="140"/>
      <c r="ABQ130" s="140"/>
      <c r="ABR130" s="140"/>
      <c r="ABS130" s="140"/>
      <c r="ABT130" s="140"/>
      <c r="ABU130" s="140"/>
      <c r="ABV130" s="140"/>
      <c r="ABW130" s="140"/>
      <c r="ABX130" s="140"/>
      <c r="ABY130" s="140"/>
      <c r="ABZ130" s="140"/>
      <c r="ACA130" s="140"/>
      <c r="ACB130" s="140"/>
      <c r="ACC130" s="140"/>
      <c r="ACD130" s="140"/>
      <c r="ACE130" s="140"/>
      <c r="ACF130" s="140"/>
      <c r="ACG130" s="140"/>
      <c r="ACH130" s="140"/>
      <c r="ACI130" s="140"/>
      <c r="ACJ130" s="140"/>
      <c r="ACK130" s="140"/>
      <c r="ACL130" s="140"/>
      <c r="ACM130" s="140"/>
      <c r="ACN130" s="140"/>
      <c r="ACO130" s="140"/>
      <c r="ACP130" s="140"/>
      <c r="ACQ130" s="140"/>
      <c r="ACR130" s="140"/>
      <c r="ACS130" s="140"/>
      <c r="ACT130" s="140"/>
      <c r="ACU130" s="140"/>
      <c r="ACV130" s="140"/>
      <c r="ACW130" s="140"/>
      <c r="ACX130" s="140"/>
      <c r="ACY130" s="140"/>
      <c r="ACZ130" s="140"/>
      <c r="ADA130" s="140"/>
      <c r="ADB130" s="140"/>
      <c r="ADC130" s="140"/>
      <c r="ADD130" s="140"/>
      <c r="ADE130" s="140"/>
      <c r="ADF130" s="140"/>
      <c r="ADG130" s="140"/>
      <c r="ADH130" s="140"/>
      <c r="ADI130" s="140"/>
      <c r="ADJ130" s="140"/>
      <c r="ADK130" s="140"/>
      <c r="ADL130" s="140"/>
      <c r="ADM130" s="140"/>
      <c r="ADN130" s="140"/>
      <c r="ADO130" s="140"/>
      <c r="ADP130" s="140"/>
      <c r="ADQ130" s="140"/>
      <c r="ADR130" s="140"/>
      <c r="ADS130" s="140"/>
      <c r="ADT130" s="140"/>
      <c r="ADU130" s="140"/>
      <c r="ADV130" s="140"/>
      <c r="ADW130" s="140"/>
      <c r="ADX130" s="140"/>
      <c r="ADY130" s="140"/>
      <c r="ADZ130" s="140"/>
      <c r="AEA130" s="140"/>
      <c r="AEB130" s="140"/>
      <c r="AEC130" s="140"/>
      <c r="AED130" s="140"/>
      <c r="AEE130" s="140"/>
      <c r="AEF130" s="140"/>
      <c r="AEG130" s="140"/>
      <c r="AEH130" s="140"/>
      <c r="AEI130" s="140"/>
      <c r="AEJ130" s="140"/>
      <c r="AEK130" s="140"/>
      <c r="AEL130" s="140"/>
      <c r="AEM130" s="140"/>
      <c r="AEN130" s="140"/>
      <c r="AEO130" s="140"/>
      <c r="AEP130" s="140"/>
      <c r="AEQ130" s="140"/>
      <c r="AER130" s="140"/>
      <c r="AES130" s="140"/>
      <c r="AET130" s="140"/>
      <c r="AEU130" s="140"/>
      <c r="AEV130" s="140"/>
      <c r="AEW130" s="140"/>
      <c r="AEX130" s="140"/>
      <c r="AEY130" s="140"/>
      <c r="AEZ130" s="140"/>
      <c r="AFA130" s="140"/>
      <c r="AFB130" s="140"/>
      <c r="AFC130" s="140"/>
      <c r="AFD130" s="140"/>
      <c r="AFE130" s="140"/>
      <c r="AFF130" s="140"/>
      <c r="AFG130" s="140"/>
      <c r="AFH130" s="140"/>
      <c r="AFI130" s="140"/>
      <c r="AFJ130" s="140"/>
      <c r="AFK130" s="140"/>
      <c r="AFL130" s="140"/>
      <c r="AFM130" s="140"/>
      <c r="AFN130" s="140"/>
      <c r="AFO130" s="140"/>
      <c r="AFP130" s="140"/>
      <c r="AFQ130" s="140"/>
      <c r="AFR130" s="140"/>
      <c r="AFS130" s="140"/>
      <c r="AFT130" s="140"/>
      <c r="AFU130" s="140"/>
      <c r="AFV130" s="140"/>
      <c r="AFW130" s="140"/>
      <c r="AFX130" s="140"/>
      <c r="AFY130" s="140"/>
      <c r="AFZ130" s="140"/>
      <c r="AGA130" s="140"/>
      <c r="AGB130" s="140"/>
      <c r="AGC130" s="140"/>
      <c r="AGD130" s="140"/>
      <c r="AGE130" s="140"/>
      <c r="AGF130" s="140"/>
      <c r="AGG130" s="140"/>
      <c r="AGH130" s="140"/>
      <c r="AGI130" s="140"/>
      <c r="AGJ130" s="140"/>
      <c r="AGK130" s="140"/>
      <c r="AGL130" s="140"/>
      <c r="AGM130" s="140"/>
      <c r="AGN130" s="140"/>
      <c r="AGO130" s="140"/>
      <c r="AGP130" s="140"/>
      <c r="AGQ130" s="140"/>
      <c r="AGR130" s="140"/>
      <c r="AGS130" s="140"/>
      <c r="AGT130" s="140"/>
      <c r="AGU130" s="140"/>
      <c r="AGV130" s="140"/>
      <c r="AGW130" s="140"/>
      <c r="AGX130" s="140"/>
      <c r="AGY130" s="140"/>
      <c r="AGZ130" s="140"/>
      <c r="AHA130" s="140"/>
      <c r="AHB130" s="140"/>
      <c r="AHC130" s="140"/>
    </row>
    <row r="131" spans="1:887" ht="20.100000000000001" customHeight="1">
      <c r="A131" s="191" t="str">
        <f>VLOOKUP(C131,'BASE DE DADOS'!A:B,2,FALSE)</f>
        <v>ENSINA MAIS</v>
      </c>
      <c r="B131" s="90" t="s">
        <v>2466</v>
      </c>
      <c r="C131" s="191" t="s">
        <v>808</v>
      </c>
      <c r="D131" s="227">
        <v>10825.68</v>
      </c>
      <c r="E131" s="76">
        <v>15396.33</v>
      </c>
      <c r="F131" s="228"/>
      <c r="G131" s="192"/>
      <c r="H131" s="193"/>
      <c r="I131" s="193"/>
      <c r="J131" s="193"/>
      <c r="K131" s="193"/>
      <c r="L131" s="193"/>
      <c r="M131" s="193"/>
      <c r="N131" s="193" t="s">
        <v>1743</v>
      </c>
      <c r="O131" s="202">
        <v>45128</v>
      </c>
      <c r="P131" s="146" t="s">
        <v>2854</v>
      </c>
      <c r="Q131" s="203" t="s">
        <v>2468</v>
      </c>
    </row>
    <row r="132" spans="1:887" ht="20.100000000000001" customHeight="1">
      <c r="A132" s="191" t="str">
        <f>VLOOKUP(C132,'BASE DE DADOS'!A:B,2,FALSE)</f>
        <v>PREPARA INATIVOS</v>
      </c>
      <c r="B132" s="90" t="s">
        <v>216</v>
      </c>
      <c r="C132" s="191" t="s">
        <v>217</v>
      </c>
      <c r="D132" s="227">
        <v>54491.08</v>
      </c>
      <c r="E132" s="98">
        <v>131325.26</v>
      </c>
      <c r="F132" s="228"/>
      <c r="G132" s="192"/>
      <c r="H132" s="193"/>
      <c r="I132" s="193"/>
      <c r="J132" s="193"/>
      <c r="K132" s="193"/>
      <c r="L132" s="193"/>
      <c r="M132" s="193"/>
      <c r="N132" s="193" t="s">
        <v>1743</v>
      </c>
      <c r="O132" s="202">
        <v>45044</v>
      </c>
      <c r="P132" s="145" t="s">
        <v>2855</v>
      </c>
      <c r="Q132" s="195" t="s">
        <v>2467</v>
      </c>
    </row>
    <row r="133" spans="1:887" ht="20.100000000000001" customHeight="1">
      <c r="A133" s="191" t="str">
        <f>VLOOKUP(C133,'BASE DE DADOS'!A:B,2,FALSE)</f>
        <v>ENSINA MAIS INATIVOS</v>
      </c>
      <c r="B133" s="90" t="s">
        <v>112</v>
      </c>
      <c r="C133" s="191" t="s">
        <v>113</v>
      </c>
      <c r="D133" s="227">
        <v>12156.54</v>
      </c>
      <c r="E133" s="74" t="s">
        <v>2857</v>
      </c>
      <c r="F133" s="228"/>
      <c r="G133" s="192"/>
      <c r="H133" s="193"/>
      <c r="I133" s="193"/>
      <c r="J133" s="193"/>
      <c r="K133" s="193"/>
      <c r="L133" s="193"/>
      <c r="M133" s="193"/>
      <c r="N133" s="193" t="s">
        <v>1743</v>
      </c>
      <c r="O133" s="202">
        <v>45229</v>
      </c>
      <c r="P133" s="146" t="s">
        <v>2856</v>
      </c>
      <c r="Q133" s="195" t="s">
        <v>2621</v>
      </c>
    </row>
    <row r="134" spans="1:887" ht="20.100000000000001" customHeight="1">
      <c r="A134" s="219" t="str">
        <f>VLOOKUP(C134,'BASE DE DADOS'!A:B,2,FALSE)</f>
        <v>ENSINA MAIS</v>
      </c>
      <c r="B134" s="92" t="s">
        <v>29</v>
      </c>
      <c r="C134" s="219" t="s">
        <v>30</v>
      </c>
      <c r="D134" s="229">
        <v>12773.11</v>
      </c>
      <c r="E134" s="229"/>
      <c r="F134" s="230"/>
      <c r="G134" s="220"/>
      <c r="H134" s="221"/>
      <c r="I134" s="221"/>
      <c r="J134" s="221"/>
      <c r="K134" s="221"/>
      <c r="L134" s="221"/>
      <c r="M134" s="221"/>
      <c r="N134" s="221"/>
      <c r="O134" s="221"/>
      <c r="P134" s="85"/>
      <c r="Q134" s="226" t="s">
        <v>2881</v>
      </c>
    </row>
    <row r="135" spans="1:887" ht="20.100000000000001" customHeight="1">
      <c r="A135" s="191" t="str">
        <f>VLOOKUP(C135,'BASE DE DADOS'!A:B,2,FALSE)</f>
        <v>ENSINA MAIS</v>
      </c>
      <c r="B135" s="90" t="s">
        <v>31</v>
      </c>
      <c r="C135" s="191" t="s">
        <v>30</v>
      </c>
      <c r="D135" s="227">
        <v>5729.48</v>
      </c>
      <c r="E135" s="76">
        <v>15986.71</v>
      </c>
      <c r="F135" s="228"/>
      <c r="G135" s="192"/>
      <c r="H135" s="193"/>
      <c r="I135" s="193"/>
      <c r="J135" s="193"/>
      <c r="K135" s="193"/>
      <c r="L135" s="64"/>
      <c r="M135" s="61"/>
      <c r="N135" s="193" t="s">
        <v>1743</v>
      </c>
      <c r="O135" s="202">
        <v>45496</v>
      </c>
      <c r="P135" s="145" t="s">
        <v>2858</v>
      </c>
      <c r="Q135" s="195" t="s">
        <v>2672</v>
      </c>
    </row>
    <row r="136" spans="1:887" ht="20.100000000000001" customHeight="1">
      <c r="A136" s="191" t="str">
        <f>VLOOKUP(C136,'BASE DE DADOS'!A:B,2,FALSE)</f>
        <v>PREPARA INATIVOS</v>
      </c>
      <c r="B136" s="90" t="s">
        <v>2020</v>
      </c>
      <c r="C136" s="196" t="s">
        <v>2021</v>
      </c>
      <c r="D136" s="227">
        <v>266751.21999999997</v>
      </c>
      <c r="E136" s="76">
        <v>257288.07</v>
      </c>
      <c r="F136" s="228"/>
      <c r="G136" s="192"/>
      <c r="H136" s="193"/>
      <c r="I136" s="193"/>
      <c r="J136" s="193"/>
      <c r="K136" s="193"/>
      <c r="L136" s="193"/>
      <c r="M136" s="87"/>
      <c r="N136" s="193" t="s">
        <v>1743</v>
      </c>
      <c r="O136" s="202">
        <v>45685</v>
      </c>
      <c r="P136" s="146" t="s">
        <v>2860</v>
      </c>
      <c r="Q136" s="195" t="s">
        <v>2510</v>
      </c>
    </row>
    <row r="137" spans="1:887" ht="20.100000000000001" customHeight="1">
      <c r="A137" s="191" t="str">
        <f>VLOOKUP(C137,'BASE DE DADOS'!A:B,2,FALSE)</f>
        <v>PREPARA INATIVOS</v>
      </c>
      <c r="B137" s="90" t="s">
        <v>2738</v>
      </c>
      <c r="C137" s="196" t="s">
        <v>2021</v>
      </c>
      <c r="D137" s="227"/>
      <c r="E137" s="227">
        <v>105145.66</v>
      </c>
      <c r="F137" s="228"/>
      <c r="G137" s="192"/>
      <c r="H137" s="193"/>
      <c r="I137" s="193"/>
      <c r="J137" s="193"/>
      <c r="K137" s="193"/>
      <c r="L137" s="193"/>
      <c r="M137" s="61"/>
      <c r="N137" s="193" t="s">
        <v>1743</v>
      </c>
      <c r="O137" s="202">
        <v>45638</v>
      </c>
      <c r="P137" s="146" t="s">
        <v>2859</v>
      </c>
      <c r="Q137" s="195" t="s">
        <v>2739</v>
      </c>
    </row>
    <row r="138" spans="1:887" ht="20.100000000000001" customHeight="1">
      <c r="A138" s="191" t="str">
        <f>VLOOKUP(C138,'BASE DE DADOS'!A:B,2,FALSE)</f>
        <v>PREPARA INATIVOS</v>
      </c>
      <c r="B138" s="90" t="s">
        <v>2511</v>
      </c>
      <c r="C138" s="191" t="s">
        <v>1095</v>
      </c>
      <c r="D138" s="227">
        <v>21617.4</v>
      </c>
      <c r="E138" s="74" t="s">
        <v>2862</v>
      </c>
      <c r="F138" s="228"/>
      <c r="G138" s="192"/>
      <c r="H138" s="193"/>
      <c r="I138" s="193"/>
      <c r="J138" s="193"/>
      <c r="K138" s="193"/>
      <c r="L138" s="193"/>
      <c r="M138" s="193"/>
      <c r="N138" s="193" t="s">
        <v>1743</v>
      </c>
      <c r="O138" s="202">
        <v>45063</v>
      </c>
      <c r="P138" s="146" t="s">
        <v>2861</v>
      </c>
      <c r="Q138" s="231" t="s">
        <v>2863</v>
      </c>
    </row>
    <row r="139" spans="1:887" ht="20.100000000000001" customHeight="1">
      <c r="A139" s="191" t="str">
        <f>VLOOKUP(C139,'BASE DE DADOS'!A:B,2,FALSE)</f>
        <v>PREPARA INATIVOS</v>
      </c>
      <c r="B139" s="90" t="s">
        <v>361</v>
      </c>
      <c r="C139" s="191" t="s">
        <v>362</v>
      </c>
      <c r="D139" s="227">
        <v>94378.34</v>
      </c>
      <c r="E139" s="76">
        <v>94378.34</v>
      </c>
      <c r="F139" s="228"/>
      <c r="G139" s="192"/>
      <c r="H139" s="193"/>
      <c r="I139" s="193"/>
      <c r="J139" s="193"/>
      <c r="K139" s="193"/>
      <c r="L139" s="193"/>
      <c r="M139" s="193"/>
      <c r="N139" s="193" t="s">
        <v>1743</v>
      </c>
      <c r="O139" s="202">
        <v>45114</v>
      </c>
      <c r="P139" s="145" t="s">
        <v>2864</v>
      </c>
      <c r="Q139" s="195" t="s">
        <v>2513</v>
      </c>
    </row>
    <row r="140" spans="1:887" ht="20.100000000000001" customHeight="1">
      <c r="A140" s="191" t="str">
        <f>VLOOKUP(C140,'BASE DE DADOS'!A:B,2,FALSE)</f>
        <v>PREPARA INATIVOS</v>
      </c>
      <c r="B140" s="90" t="s">
        <v>361</v>
      </c>
      <c r="C140" s="191" t="s">
        <v>362</v>
      </c>
      <c r="D140" s="227">
        <v>72930.8</v>
      </c>
      <c r="E140" s="76">
        <v>72930.8</v>
      </c>
      <c r="F140" s="228"/>
      <c r="G140" s="192"/>
      <c r="H140" s="193"/>
      <c r="I140" s="193"/>
      <c r="J140" s="193"/>
      <c r="K140" s="193"/>
      <c r="L140" s="193"/>
      <c r="M140" s="193"/>
      <c r="N140" s="193" t="s">
        <v>1743</v>
      </c>
      <c r="O140" s="202" t="s">
        <v>2866</v>
      </c>
      <c r="P140" s="146" t="s">
        <v>2865</v>
      </c>
      <c r="Q140" s="195" t="s">
        <v>2622</v>
      </c>
    </row>
    <row r="141" spans="1:887" ht="20.100000000000001" customHeight="1">
      <c r="A141" s="191" t="str">
        <f>VLOOKUP(C141,'BASE DE DADOS'!A:B,2,FALSE)</f>
        <v>PREPARA INATIVOS</v>
      </c>
      <c r="B141" s="90" t="s">
        <v>1804</v>
      </c>
      <c r="C141" s="191" t="s">
        <v>1805</v>
      </c>
      <c r="D141" s="227">
        <v>12257.5</v>
      </c>
      <c r="E141" s="98">
        <v>20442.37</v>
      </c>
      <c r="F141" s="228"/>
      <c r="G141" s="192"/>
      <c r="H141" s="193"/>
      <c r="I141" s="193"/>
      <c r="J141" s="193"/>
      <c r="K141" s="193"/>
      <c r="L141" s="193"/>
      <c r="M141" s="193"/>
      <c r="N141" s="193" t="s">
        <v>1743</v>
      </c>
      <c r="O141" s="202">
        <v>45181</v>
      </c>
      <c r="P141" s="145" t="s">
        <v>2867</v>
      </c>
      <c r="Q141" s="195" t="s">
        <v>2514</v>
      </c>
    </row>
    <row r="142" spans="1:887" ht="20.100000000000001" customHeight="1">
      <c r="A142" s="191" t="str">
        <f>VLOOKUP(C142,'BASE DE DADOS'!A:B,2,FALSE)</f>
        <v>PREPARA</v>
      </c>
      <c r="B142" s="90" t="s">
        <v>2198</v>
      </c>
      <c r="C142" s="191" t="s">
        <v>2199</v>
      </c>
      <c r="D142" s="227">
        <v>73080.679999999993</v>
      </c>
      <c r="E142" s="76">
        <v>64069.3</v>
      </c>
      <c r="F142" s="228"/>
      <c r="G142" s="192"/>
      <c r="H142" s="193"/>
      <c r="I142" s="193"/>
      <c r="J142" s="193"/>
      <c r="K142" s="193"/>
      <c r="L142" s="193"/>
      <c r="M142" s="193"/>
      <c r="N142" s="193" t="s">
        <v>1743</v>
      </c>
      <c r="O142" s="202">
        <v>45075</v>
      </c>
      <c r="P142" s="146" t="s">
        <v>2868</v>
      </c>
      <c r="Q142" s="195" t="s">
        <v>2515</v>
      </c>
    </row>
    <row r="143" spans="1:887" s="73" customFormat="1" ht="20.100000000000001" customHeight="1">
      <c r="A143" s="191" t="str">
        <f>VLOOKUP(C143,'BASE DE DADOS'!A:B,2,FALSE)</f>
        <v>PREPARA INATIVOS</v>
      </c>
      <c r="B143" s="90" t="s">
        <v>1999</v>
      </c>
      <c r="C143" s="196" t="s">
        <v>574</v>
      </c>
      <c r="D143" s="227">
        <v>120767.12</v>
      </c>
      <c r="E143" s="79">
        <v>156373.03</v>
      </c>
      <c r="F143" s="228"/>
      <c r="G143" s="192"/>
      <c r="H143" s="67"/>
      <c r="I143" s="193"/>
      <c r="J143" s="193"/>
      <c r="K143" s="193"/>
      <c r="L143" s="193"/>
      <c r="M143" s="87"/>
      <c r="N143" s="193" t="s">
        <v>1743</v>
      </c>
      <c r="O143" s="202">
        <v>46080</v>
      </c>
      <c r="P143" s="156" t="s">
        <v>2988</v>
      </c>
      <c r="Q143" s="226" t="s">
        <v>2989</v>
      </c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/>
      <c r="AZ143" s="95"/>
      <c r="BA143" s="95"/>
      <c r="BB143" s="95"/>
      <c r="BC143" s="95"/>
      <c r="BD143" s="95"/>
      <c r="BE143" s="95"/>
      <c r="BF143" s="95"/>
      <c r="BG143" s="95"/>
      <c r="BH143" s="95"/>
      <c r="BI143" s="95"/>
      <c r="BJ143" s="95"/>
      <c r="BK143" s="95"/>
      <c r="BL143" s="95"/>
      <c r="BM143" s="95"/>
      <c r="BN143" s="95"/>
      <c r="BO143" s="95"/>
      <c r="BP143" s="95"/>
      <c r="BQ143" s="95"/>
      <c r="BR143" s="95"/>
      <c r="BS143" s="95"/>
      <c r="BT143" s="95"/>
      <c r="BU143" s="95"/>
      <c r="BV143" s="95"/>
      <c r="BW143" s="95"/>
      <c r="BX143" s="95"/>
      <c r="BY143" s="95"/>
      <c r="BZ143" s="95"/>
      <c r="CA143" s="95"/>
      <c r="CB143" s="95"/>
      <c r="CC143" s="95"/>
      <c r="CD143" s="95"/>
      <c r="CE143" s="95"/>
      <c r="CF143" s="95"/>
      <c r="CG143" s="95"/>
      <c r="CH143" s="95"/>
      <c r="CI143" s="95"/>
      <c r="CJ143" s="95"/>
      <c r="CK143" s="95"/>
      <c r="CL143" s="95"/>
      <c r="CM143" s="95"/>
      <c r="CN143" s="95"/>
      <c r="CO143" s="95"/>
      <c r="CP143" s="95"/>
      <c r="CQ143" s="95"/>
      <c r="CR143" s="95"/>
      <c r="CS143" s="95"/>
      <c r="CT143" s="95"/>
      <c r="CU143" s="95"/>
      <c r="CV143" s="95"/>
      <c r="CW143" s="95"/>
      <c r="CX143" s="95"/>
      <c r="CY143" s="95"/>
      <c r="CZ143" s="95"/>
      <c r="DA143" s="95"/>
      <c r="DB143" s="95"/>
      <c r="DC143" s="95"/>
      <c r="DD143" s="95"/>
      <c r="DE143" s="95"/>
      <c r="DF143" s="95"/>
      <c r="DG143" s="95"/>
      <c r="DH143" s="95"/>
      <c r="DI143" s="95"/>
      <c r="DJ143" s="95"/>
      <c r="DK143" s="95"/>
      <c r="DL143" s="95"/>
      <c r="DM143" s="95"/>
      <c r="DN143" s="95"/>
      <c r="DO143" s="95"/>
      <c r="DP143" s="95"/>
      <c r="DQ143" s="95"/>
      <c r="DR143" s="95"/>
      <c r="DS143" s="95"/>
      <c r="DT143" s="95"/>
      <c r="DU143" s="95"/>
      <c r="DV143" s="95"/>
      <c r="DW143" s="95"/>
      <c r="DX143" s="95"/>
      <c r="DY143" s="95"/>
      <c r="DZ143" s="95"/>
      <c r="EA143" s="95"/>
      <c r="EB143" s="95"/>
      <c r="EC143" s="95"/>
      <c r="ED143" s="95"/>
      <c r="EE143" s="95"/>
      <c r="EF143" s="95"/>
      <c r="EG143" s="95"/>
      <c r="EH143" s="95"/>
      <c r="EI143" s="95"/>
      <c r="EJ143" s="95"/>
      <c r="EK143" s="95"/>
      <c r="EL143" s="95"/>
      <c r="EM143" s="95"/>
      <c r="EN143" s="95"/>
      <c r="EO143" s="95"/>
      <c r="EP143" s="95"/>
      <c r="EQ143" s="95"/>
      <c r="ER143" s="95"/>
      <c r="ES143" s="95"/>
      <c r="ET143" s="95"/>
      <c r="EU143" s="95"/>
      <c r="EV143" s="95"/>
      <c r="EW143" s="95"/>
      <c r="EX143" s="95"/>
      <c r="EY143" s="95"/>
      <c r="EZ143" s="95"/>
      <c r="FA143" s="95"/>
      <c r="FB143" s="95"/>
      <c r="FC143" s="95"/>
      <c r="FD143" s="95"/>
      <c r="FE143" s="95"/>
      <c r="FF143" s="95"/>
      <c r="FG143" s="95"/>
      <c r="FH143" s="95"/>
      <c r="FI143" s="95"/>
      <c r="FJ143" s="95"/>
      <c r="FK143" s="95"/>
      <c r="FL143" s="95"/>
      <c r="FM143" s="95"/>
      <c r="FN143" s="95"/>
      <c r="FO143" s="95"/>
      <c r="FP143" s="95"/>
      <c r="FQ143" s="95"/>
      <c r="FR143" s="95"/>
      <c r="FS143" s="95"/>
      <c r="FT143" s="95"/>
      <c r="FU143" s="95"/>
      <c r="FV143" s="95"/>
      <c r="FW143" s="95"/>
      <c r="FX143" s="95"/>
      <c r="FY143" s="95"/>
      <c r="FZ143" s="95"/>
      <c r="GA143" s="95"/>
      <c r="GB143" s="95"/>
      <c r="GC143" s="95"/>
      <c r="GD143" s="95"/>
      <c r="GE143" s="95"/>
      <c r="GF143" s="95"/>
      <c r="GG143" s="95"/>
      <c r="GH143" s="95"/>
      <c r="GI143" s="95"/>
      <c r="GJ143" s="95"/>
      <c r="GK143" s="95"/>
      <c r="GL143" s="95"/>
      <c r="GM143" s="95"/>
      <c r="GN143" s="95"/>
      <c r="GO143" s="95"/>
      <c r="GP143" s="95"/>
      <c r="GQ143" s="95"/>
      <c r="GR143" s="95"/>
      <c r="GS143" s="95"/>
      <c r="GT143" s="95"/>
      <c r="GU143" s="95"/>
      <c r="GV143" s="95"/>
      <c r="GW143" s="95"/>
      <c r="GX143" s="95"/>
      <c r="GY143" s="95"/>
      <c r="GZ143" s="95"/>
      <c r="HA143" s="95"/>
      <c r="HB143" s="95"/>
      <c r="HC143" s="95"/>
      <c r="HD143" s="95"/>
      <c r="HE143" s="95"/>
      <c r="HF143" s="95"/>
      <c r="HG143" s="95"/>
      <c r="HH143" s="95"/>
      <c r="HI143" s="95"/>
      <c r="HJ143" s="95"/>
      <c r="HK143" s="95"/>
      <c r="HL143" s="95"/>
      <c r="HM143" s="95"/>
      <c r="HN143" s="95"/>
      <c r="HO143" s="95"/>
      <c r="HP143" s="95"/>
      <c r="HQ143" s="95"/>
      <c r="HR143" s="95"/>
      <c r="HS143" s="95"/>
      <c r="HT143" s="95"/>
      <c r="HU143" s="95"/>
      <c r="HV143" s="95"/>
      <c r="HW143" s="95"/>
      <c r="HX143" s="95"/>
      <c r="HY143" s="95"/>
      <c r="HZ143" s="95"/>
      <c r="IA143" s="95"/>
      <c r="IB143" s="95"/>
      <c r="IC143" s="95"/>
      <c r="ID143" s="95"/>
      <c r="IE143" s="95"/>
      <c r="IF143" s="95"/>
      <c r="IG143" s="95"/>
      <c r="IH143" s="95"/>
      <c r="II143" s="95"/>
      <c r="IJ143" s="95"/>
      <c r="IK143" s="95"/>
      <c r="IL143" s="95"/>
      <c r="IM143" s="95"/>
      <c r="IN143" s="95"/>
      <c r="IO143" s="95"/>
      <c r="IP143" s="95"/>
      <c r="IQ143" s="95"/>
      <c r="IR143" s="95"/>
      <c r="IS143" s="95"/>
      <c r="IT143" s="95"/>
      <c r="IU143" s="95"/>
      <c r="IV143" s="95"/>
      <c r="IW143" s="95"/>
      <c r="IX143" s="95"/>
      <c r="IY143" s="95"/>
      <c r="IZ143" s="95"/>
      <c r="JA143" s="95"/>
      <c r="JB143" s="95"/>
      <c r="JC143" s="95"/>
      <c r="JD143" s="95"/>
      <c r="JE143" s="95"/>
      <c r="JF143" s="95"/>
      <c r="JG143" s="95"/>
      <c r="JH143" s="95"/>
      <c r="JI143" s="95"/>
      <c r="JJ143" s="95"/>
      <c r="JK143" s="95"/>
      <c r="JL143" s="95"/>
      <c r="JM143" s="95"/>
      <c r="JN143" s="95"/>
      <c r="JO143" s="95"/>
      <c r="JP143" s="95"/>
      <c r="JQ143" s="95"/>
      <c r="JR143" s="95"/>
      <c r="JS143" s="95"/>
      <c r="JT143" s="95"/>
      <c r="JU143" s="95"/>
      <c r="JV143" s="95"/>
      <c r="JW143" s="95"/>
      <c r="JX143" s="95"/>
      <c r="JY143" s="95"/>
      <c r="JZ143" s="95"/>
      <c r="KA143" s="95"/>
      <c r="KB143" s="95"/>
      <c r="KC143" s="95"/>
      <c r="KD143" s="95"/>
      <c r="KE143" s="95"/>
      <c r="KF143" s="95"/>
      <c r="KG143" s="95"/>
      <c r="KH143" s="95"/>
      <c r="KI143" s="95"/>
      <c r="KJ143" s="95"/>
      <c r="KK143" s="95"/>
      <c r="KL143" s="95"/>
      <c r="KM143" s="95"/>
      <c r="KN143" s="95"/>
      <c r="KO143" s="95"/>
      <c r="KP143" s="95"/>
      <c r="KQ143" s="95"/>
      <c r="KR143" s="95"/>
      <c r="KS143" s="95"/>
      <c r="KT143" s="95"/>
      <c r="KU143" s="95"/>
      <c r="KV143" s="95"/>
      <c r="KW143" s="95"/>
      <c r="KX143" s="95"/>
      <c r="KY143" s="95"/>
      <c r="KZ143" s="95"/>
      <c r="LA143" s="95"/>
      <c r="LB143" s="95"/>
      <c r="LC143" s="95"/>
      <c r="LD143" s="95"/>
      <c r="LE143" s="95"/>
      <c r="LF143" s="95"/>
      <c r="LG143" s="95"/>
      <c r="LH143" s="95"/>
      <c r="LI143" s="95"/>
      <c r="LJ143" s="95"/>
      <c r="LK143" s="95"/>
      <c r="LL143" s="95"/>
      <c r="LM143" s="95"/>
      <c r="LN143" s="95"/>
      <c r="LO143" s="95"/>
      <c r="LP143" s="95"/>
      <c r="LQ143" s="95"/>
      <c r="LR143" s="95"/>
      <c r="LS143" s="95"/>
      <c r="LT143" s="95"/>
      <c r="LU143" s="95"/>
      <c r="LV143" s="95"/>
      <c r="LW143" s="95"/>
      <c r="LX143" s="95"/>
      <c r="LY143" s="95"/>
      <c r="LZ143" s="95"/>
      <c r="MA143" s="95"/>
      <c r="MB143" s="95"/>
      <c r="MC143" s="95"/>
      <c r="MD143" s="95"/>
      <c r="ME143" s="95"/>
      <c r="MF143" s="95"/>
      <c r="MG143" s="95"/>
      <c r="MH143" s="95"/>
      <c r="MI143" s="95"/>
      <c r="MJ143" s="95"/>
      <c r="MK143" s="95"/>
      <c r="ML143" s="95"/>
      <c r="MM143" s="95"/>
      <c r="MN143" s="95"/>
      <c r="MO143" s="95"/>
      <c r="MP143" s="95"/>
      <c r="MQ143" s="95"/>
      <c r="MR143" s="95"/>
      <c r="MS143" s="95"/>
      <c r="MT143" s="95"/>
      <c r="MU143" s="95"/>
      <c r="MV143" s="95"/>
      <c r="MW143" s="95"/>
      <c r="MX143" s="95"/>
      <c r="MY143" s="95"/>
      <c r="MZ143" s="95"/>
      <c r="NA143" s="95"/>
      <c r="NB143" s="95"/>
      <c r="NC143" s="95"/>
      <c r="ND143" s="95"/>
      <c r="NE143" s="95"/>
      <c r="NF143" s="95"/>
      <c r="NG143" s="95"/>
      <c r="NH143" s="95"/>
      <c r="NI143" s="95"/>
      <c r="NJ143" s="95"/>
      <c r="NK143" s="95"/>
      <c r="NL143" s="95"/>
      <c r="NM143" s="95"/>
      <c r="NN143" s="95"/>
      <c r="NO143" s="95"/>
      <c r="NP143" s="95"/>
      <c r="NQ143" s="95"/>
      <c r="NR143" s="95"/>
      <c r="NS143" s="95"/>
      <c r="NT143" s="95"/>
      <c r="NU143" s="95"/>
      <c r="NV143" s="95"/>
      <c r="NW143" s="95"/>
      <c r="NX143" s="95"/>
      <c r="NY143" s="95"/>
      <c r="NZ143" s="95"/>
      <c r="OA143" s="95"/>
      <c r="OB143" s="95"/>
      <c r="OC143" s="95"/>
      <c r="OD143" s="95"/>
      <c r="OE143" s="95"/>
      <c r="OF143" s="95"/>
      <c r="OG143" s="95"/>
      <c r="OH143" s="95"/>
      <c r="OI143" s="95"/>
      <c r="OJ143" s="95"/>
      <c r="OK143" s="95"/>
      <c r="OL143" s="95"/>
      <c r="OM143" s="95"/>
      <c r="ON143" s="95"/>
      <c r="OO143" s="95"/>
      <c r="OP143" s="95"/>
      <c r="OQ143" s="95"/>
      <c r="OR143" s="95"/>
      <c r="OS143" s="95"/>
      <c r="OT143" s="95"/>
      <c r="OU143" s="95"/>
      <c r="OV143" s="95"/>
      <c r="OW143" s="95"/>
      <c r="OX143" s="95"/>
      <c r="OY143" s="95"/>
      <c r="OZ143" s="95"/>
      <c r="PA143" s="95"/>
      <c r="PB143" s="95"/>
      <c r="PC143" s="95"/>
      <c r="PD143" s="95"/>
      <c r="PE143" s="95"/>
      <c r="PF143" s="95"/>
      <c r="PG143" s="95"/>
      <c r="PH143" s="95"/>
      <c r="PI143" s="95"/>
      <c r="PJ143" s="95"/>
      <c r="PK143" s="95"/>
      <c r="PL143" s="95"/>
      <c r="PM143" s="95"/>
      <c r="PN143" s="95"/>
      <c r="PO143" s="95"/>
      <c r="PP143" s="95"/>
      <c r="PQ143" s="95"/>
      <c r="PR143" s="95"/>
      <c r="PS143" s="95"/>
      <c r="PT143" s="95"/>
      <c r="PU143" s="95"/>
      <c r="PV143" s="95"/>
      <c r="PW143" s="95"/>
      <c r="PX143" s="95"/>
      <c r="PY143" s="95"/>
      <c r="PZ143" s="95"/>
      <c r="QA143" s="95"/>
      <c r="QB143" s="95"/>
      <c r="QC143" s="95"/>
      <c r="QD143" s="95"/>
      <c r="QE143" s="95"/>
      <c r="QF143" s="95"/>
      <c r="QG143" s="95"/>
      <c r="QH143" s="95"/>
      <c r="QI143" s="95"/>
      <c r="QJ143" s="95"/>
      <c r="QK143" s="95"/>
      <c r="QL143" s="95"/>
      <c r="QM143" s="95"/>
      <c r="QN143" s="95"/>
      <c r="QO143" s="95"/>
      <c r="QP143" s="95"/>
      <c r="QQ143" s="95"/>
      <c r="QR143" s="95"/>
      <c r="QS143" s="95"/>
      <c r="QT143" s="95"/>
      <c r="QU143" s="95"/>
      <c r="QV143" s="95"/>
      <c r="QW143" s="95"/>
      <c r="QX143" s="95"/>
      <c r="QY143" s="95"/>
      <c r="QZ143" s="95"/>
      <c r="RA143" s="95"/>
      <c r="RB143" s="95"/>
      <c r="RC143" s="95"/>
      <c r="RD143" s="95"/>
      <c r="RE143" s="95"/>
      <c r="RF143" s="95"/>
      <c r="RG143" s="95"/>
      <c r="RH143" s="95"/>
      <c r="RI143" s="95"/>
      <c r="RJ143" s="95"/>
      <c r="RK143" s="95"/>
      <c r="RL143" s="95"/>
      <c r="RM143" s="95"/>
      <c r="RN143" s="95"/>
      <c r="RO143" s="95"/>
      <c r="RP143" s="95"/>
      <c r="RQ143" s="95"/>
      <c r="RR143" s="95"/>
      <c r="RS143" s="95"/>
      <c r="RT143" s="95"/>
      <c r="RU143" s="95"/>
      <c r="RV143" s="95"/>
      <c r="RW143" s="95"/>
      <c r="RX143" s="95"/>
      <c r="RY143" s="95"/>
      <c r="RZ143" s="95"/>
      <c r="SA143" s="95"/>
      <c r="SB143" s="95"/>
      <c r="SC143" s="95"/>
      <c r="SD143" s="95"/>
      <c r="SE143" s="95"/>
      <c r="SF143" s="95"/>
      <c r="SG143" s="95"/>
      <c r="SH143" s="95"/>
      <c r="SI143" s="95"/>
      <c r="SJ143" s="95"/>
      <c r="SK143" s="95"/>
      <c r="SL143" s="95"/>
      <c r="SM143" s="95"/>
      <c r="SN143" s="95"/>
      <c r="SO143" s="95"/>
      <c r="SP143" s="95"/>
      <c r="SQ143" s="95"/>
      <c r="SR143" s="95"/>
      <c r="SS143" s="95"/>
      <c r="ST143" s="95"/>
      <c r="SU143" s="95"/>
      <c r="SV143" s="95"/>
      <c r="SW143" s="95"/>
      <c r="SX143" s="95"/>
      <c r="SY143" s="95"/>
      <c r="SZ143" s="95"/>
      <c r="TA143" s="95"/>
      <c r="TB143" s="95"/>
      <c r="TC143" s="95"/>
      <c r="TD143" s="95"/>
      <c r="TE143" s="95"/>
      <c r="TF143" s="95"/>
      <c r="TG143" s="95"/>
      <c r="TH143" s="95"/>
      <c r="TI143" s="95"/>
      <c r="TJ143" s="95"/>
      <c r="TK143" s="95"/>
      <c r="TL143" s="95"/>
      <c r="TM143" s="95"/>
      <c r="TN143" s="95"/>
      <c r="TO143" s="95"/>
      <c r="TP143" s="95"/>
      <c r="TQ143" s="95"/>
      <c r="TR143" s="95"/>
      <c r="TS143" s="95"/>
      <c r="TT143" s="95"/>
      <c r="TU143" s="95"/>
      <c r="TV143" s="95"/>
      <c r="TW143" s="95"/>
      <c r="TX143" s="95"/>
      <c r="TY143" s="95"/>
      <c r="TZ143" s="95"/>
      <c r="UA143" s="95"/>
      <c r="UB143" s="95"/>
      <c r="UC143" s="95"/>
      <c r="UD143" s="95"/>
      <c r="UE143" s="95"/>
      <c r="UF143" s="95"/>
      <c r="UG143" s="95"/>
      <c r="UH143" s="95"/>
      <c r="UI143" s="95"/>
      <c r="UJ143" s="95"/>
      <c r="UK143" s="95"/>
      <c r="UL143" s="95"/>
      <c r="UM143" s="95"/>
      <c r="UN143" s="95"/>
      <c r="UO143" s="95"/>
      <c r="UP143" s="95"/>
      <c r="UQ143" s="95"/>
      <c r="UR143" s="95"/>
      <c r="US143" s="95"/>
      <c r="UT143" s="95"/>
      <c r="UU143" s="95"/>
      <c r="UV143" s="95"/>
      <c r="UW143" s="95"/>
      <c r="UX143" s="95"/>
      <c r="UY143" s="95"/>
      <c r="UZ143" s="95"/>
      <c r="VA143" s="95"/>
      <c r="VB143" s="95"/>
      <c r="VC143" s="95"/>
      <c r="VD143" s="95"/>
      <c r="VE143" s="95"/>
      <c r="VF143" s="95"/>
      <c r="VG143" s="95"/>
      <c r="VH143" s="95"/>
      <c r="VI143" s="95"/>
      <c r="VJ143" s="95"/>
      <c r="VK143" s="95"/>
      <c r="VL143" s="95"/>
      <c r="VM143" s="95"/>
      <c r="VN143" s="95"/>
      <c r="VO143" s="95"/>
      <c r="VP143" s="95"/>
      <c r="VQ143" s="95"/>
      <c r="VR143" s="95"/>
      <c r="VS143" s="95"/>
      <c r="VT143" s="95"/>
      <c r="VU143" s="95"/>
      <c r="VV143" s="95"/>
      <c r="VW143" s="95"/>
      <c r="VX143" s="95"/>
      <c r="VY143" s="95"/>
      <c r="VZ143" s="95"/>
      <c r="WA143" s="95"/>
      <c r="WB143" s="95"/>
      <c r="WC143" s="95"/>
      <c r="WD143" s="95"/>
      <c r="WE143" s="95"/>
      <c r="WF143" s="95"/>
      <c r="WG143" s="95"/>
      <c r="WH143" s="95"/>
      <c r="WI143" s="95"/>
      <c r="WJ143" s="95"/>
      <c r="WK143" s="95"/>
      <c r="WL143" s="95"/>
      <c r="WM143" s="95"/>
      <c r="WN143" s="95"/>
      <c r="WO143" s="95"/>
      <c r="WP143" s="95"/>
      <c r="WQ143" s="95"/>
      <c r="WR143" s="95"/>
      <c r="WS143" s="95"/>
      <c r="WT143" s="95"/>
      <c r="WU143" s="95"/>
      <c r="WV143" s="95"/>
      <c r="WW143" s="95"/>
      <c r="WX143" s="95"/>
      <c r="WY143" s="95"/>
      <c r="WZ143" s="95"/>
      <c r="XA143" s="95"/>
      <c r="XB143" s="95"/>
      <c r="XC143" s="95"/>
      <c r="XD143" s="95"/>
      <c r="XE143" s="95"/>
      <c r="XF143" s="95"/>
      <c r="XG143" s="95"/>
      <c r="XH143" s="95"/>
      <c r="XI143" s="95"/>
      <c r="XJ143" s="95"/>
      <c r="XK143" s="95"/>
      <c r="XL143" s="95"/>
      <c r="XM143" s="95"/>
      <c r="XN143" s="95"/>
      <c r="XO143" s="95"/>
      <c r="XP143" s="95"/>
      <c r="XQ143" s="95"/>
      <c r="XR143" s="95"/>
      <c r="XS143" s="95"/>
      <c r="XT143" s="95"/>
      <c r="XU143" s="95"/>
      <c r="XV143" s="95"/>
      <c r="XW143" s="95"/>
      <c r="XX143" s="95"/>
      <c r="XY143" s="95"/>
      <c r="XZ143" s="95"/>
      <c r="YA143" s="95"/>
      <c r="YB143" s="95"/>
      <c r="YC143" s="95"/>
      <c r="YD143" s="95"/>
      <c r="YE143" s="95"/>
      <c r="YF143" s="95"/>
      <c r="YG143" s="95"/>
      <c r="YH143" s="95"/>
      <c r="YI143" s="95"/>
      <c r="YJ143" s="95"/>
      <c r="YK143" s="95"/>
      <c r="YL143" s="95"/>
      <c r="YM143" s="95"/>
      <c r="YN143" s="95"/>
      <c r="YO143" s="95"/>
      <c r="YP143" s="95"/>
      <c r="YQ143" s="95"/>
      <c r="YR143" s="95"/>
      <c r="YS143" s="95"/>
      <c r="YT143" s="95"/>
      <c r="YU143" s="95"/>
      <c r="YV143" s="95"/>
      <c r="YW143" s="95"/>
      <c r="YX143" s="95"/>
      <c r="YY143" s="95"/>
      <c r="YZ143" s="95"/>
      <c r="ZA143" s="95"/>
      <c r="ZB143" s="95"/>
      <c r="ZC143" s="95"/>
      <c r="ZD143" s="95"/>
      <c r="ZE143" s="95"/>
      <c r="ZF143" s="95"/>
      <c r="ZG143" s="95"/>
      <c r="ZH143" s="95"/>
      <c r="ZI143" s="95"/>
      <c r="ZJ143" s="95"/>
      <c r="ZK143" s="95"/>
      <c r="ZL143" s="95"/>
      <c r="ZM143" s="95"/>
      <c r="ZN143" s="95"/>
      <c r="ZO143" s="95"/>
      <c r="ZP143" s="95"/>
      <c r="ZQ143" s="95"/>
      <c r="ZR143" s="95"/>
      <c r="ZS143" s="95"/>
      <c r="ZT143" s="95"/>
      <c r="ZU143" s="95"/>
      <c r="ZV143" s="95"/>
      <c r="ZW143" s="95"/>
      <c r="ZX143" s="95"/>
      <c r="ZY143" s="95"/>
      <c r="ZZ143" s="95"/>
      <c r="AAA143" s="95"/>
      <c r="AAB143" s="95"/>
      <c r="AAC143" s="95"/>
      <c r="AAD143" s="95"/>
      <c r="AAE143" s="95"/>
      <c r="AAF143" s="95"/>
      <c r="AAG143" s="95"/>
      <c r="AAH143" s="95"/>
      <c r="AAI143" s="95"/>
      <c r="AAJ143" s="95"/>
      <c r="AAK143" s="95"/>
      <c r="AAL143" s="95"/>
      <c r="AAM143" s="95"/>
      <c r="AAN143" s="95"/>
      <c r="AAO143" s="95"/>
      <c r="AAP143" s="95"/>
      <c r="AAQ143" s="95"/>
      <c r="AAR143" s="95"/>
      <c r="AAS143" s="95"/>
      <c r="AAT143" s="95"/>
      <c r="AAU143" s="95"/>
      <c r="AAV143" s="95"/>
      <c r="AAW143" s="95"/>
      <c r="AAX143" s="95"/>
      <c r="AAY143" s="95"/>
      <c r="AAZ143" s="95"/>
      <c r="ABA143" s="95"/>
      <c r="ABB143" s="95"/>
      <c r="ABC143" s="95"/>
      <c r="ABD143" s="95"/>
      <c r="ABE143" s="95"/>
      <c r="ABF143" s="95"/>
      <c r="ABG143" s="95"/>
      <c r="ABH143" s="95"/>
      <c r="ABI143" s="95"/>
      <c r="ABJ143" s="95"/>
      <c r="ABK143" s="95"/>
      <c r="ABL143" s="95"/>
      <c r="ABM143" s="95"/>
      <c r="ABN143" s="95"/>
      <c r="ABO143" s="95"/>
      <c r="ABP143" s="95"/>
      <c r="ABQ143" s="95"/>
      <c r="ABR143" s="95"/>
      <c r="ABS143" s="95"/>
      <c r="ABT143" s="95"/>
      <c r="ABU143" s="95"/>
      <c r="ABV143" s="95"/>
      <c r="ABW143" s="95"/>
      <c r="ABX143" s="95"/>
      <c r="ABY143" s="95"/>
      <c r="ABZ143" s="95"/>
      <c r="ACA143" s="95"/>
      <c r="ACB143" s="95"/>
      <c r="ACC143" s="95"/>
      <c r="ACD143" s="95"/>
      <c r="ACE143" s="95"/>
      <c r="ACF143" s="95"/>
      <c r="ACG143" s="95"/>
      <c r="ACH143" s="95"/>
      <c r="ACI143" s="95"/>
      <c r="ACJ143" s="95"/>
      <c r="ACK143" s="95"/>
      <c r="ACL143" s="95"/>
      <c r="ACM143" s="95"/>
      <c r="ACN143" s="95"/>
      <c r="ACO143" s="95"/>
      <c r="ACP143" s="95"/>
      <c r="ACQ143" s="95"/>
      <c r="ACR143" s="95"/>
      <c r="ACS143" s="95"/>
      <c r="ACT143" s="95"/>
      <c r="ACU143" s="95"/>
      <c r="ACV143" s="95"/>
      <c r="ACW143" s="95"/>
      <c r="ACX143" s="95"/>
      <c r="ACY143" s="95"/>
      <c r="ACZ143" s="95"/>
      <c r="ADA143" s="95"/>
      <c r="ADB143" s="95"/>
      <c r="ADC143" s="95"/>
      <c r="ADD143" s="95"/>
      <c r="ADE143" s="95"/>
      <c r="ADF143" s="95"/>
      <c r="ADG143" s="95"/>
      <c r="ADH143" s="95"/>
      <c r="ADI143" s="95"/>
      <c r="ADJ143" s="95"/>
      <c r="ADK143" s="95"/>
      <c r="ADL143" s="95"/>
      <c r="ADM143" s="95"/>
      <c r="ADN143" s="95"/>
      <c r="ADO143" s="95"/>
      <c r="ADP143" s="95"/>
      <c r="ADQ143" s="95"/>
      <c r="ADR143" s="95"/>
      <c r="ADS143" s="95"/>
      <c r="ADT143" s="95"/>
      <c r="ADU143" s="95"/>
      <c r="ADV143" s="95"/>
      <c r="ADW143" s="95"/>
      <c r="ADX143" s="95"/>
      <c r="ADY143" s="95"/>
      <c r="ADZ143" s="95"/>
      <c r="AEA143" s="95"/>
      <c r="AEB143" s="95"/>
      <c r="AEC143" s="95"/>
      <c r="AED143" s="95"/>
      <c r="AEE143" s="95"/>
      <c r="AEF143" s="95"/>
      <c r="AEG143" s="95"/>
      <c r="AEH143" s="95"/>
      <c r="AEI143" s="95"/>
      <c r="AEJ143" s="95"/>
      <c r="AEK143" s="95"/>
      <c r="AEL143" s="95"/>
      <c r="AEM143" s="95"/>
      <c r="AEN143" s="95"/>
      <c r="AEO143" s="95"/>
      <c r="AEP143" s="95"/>
      <c r="AEQ143" s="95"/>
      <c r="AER143" s="95"/>
      <c r="AES143" s="95"/>
      <c r="AET143" s="95"/>
      <c r="AEU143" s="95"/>
      <c r="AEV143" s="95"/>
      <c r="AEW143" s="95"/>
      <c r="AEX143" s="95"/>
      <c r="AEY143" s="95"/>
      <c r="AEZ143" s="95"/>
      <c r="AFA143" s="95"/>
      <c r="AFB143" s="95"/>
      <c r="AFC143" s="95"/>
      <c r="AFD143" s="95"/>
      <c r="AFE143" s="95"/>
      <c r="AFF143" s="95"/>
      <c r="AFG143" s="95"/>
      <c r="AFH143" s="95"/>
      <c r="AFI143" s="95"/>
      <c r="AFJ143" s="95"/>
      <c r="AFK143" s="95"/>
      <c r="AFL143" s="95"/>
      <c r="AFM143" s="95"/>
      <c r="AFN143" s="95"/>
      <c r="AFO143" s="95"/>
      <c r="AFP143" s="95"/>
      <c r="AFQ143" s="95"/>
      <c r="AFR143" s="95"/>
      <c r="AFS143" s="95"/>
      <c r="AFT143" s="95"/>
      <c r="AFU143" s="95"/>
      <c r="AFV143" s="95"/>
      <c r="AFW143" s="95"/>
      <c r="AFX143" s="95"/>
      <c r="AFY143" s="95"/>
      <c r="AFZ143" s="95"/>
      <c r="AGA143" s="95"/>
      <c r="AGB143" s="95"/>
      <c r="AGC143" s="95"/>
      <c r="AGD143" s="95"/>
      <c r="AGE143" s="95"/>
      <c r="AGF143" s="95"/>
      <c r="AGG143" s="95"/>
      <c r="AGH143" s="95"/>
      <c r="AGI143" s="95"/>
      <c r="AGJ143" s="95"/>
      <c r="AGK143" s="95"/>
      <c r="AGL143" s="95"/>
      <c r="AGM143" s="95"/>
      <c r="AGN143" s="95"/>
      <c r="AGO143" s="95"/>
      <c r="AGP143" s="95"/>
      <c r="AGQ143" s="95"/>
      <c r="AGR143" s="95"/>
      <c r="AGS143" s="95"/>
      <c r="AGT143" s="95"/>
      <c r="AGU143" s="95"/>
      <c r="AGV143" s="95"/>
      <c r="AGW143" s="95"/>
      <c r="AGX143" s="95"/>
      <c r="AGY143" s="95"/>
      <c r="AGZ143" s="95"/>
      <c r="AHA143" s="95"/>
      <c r="AHB143" s="95"/>
      <c r="AHC143" s="95"/>
    </row>
    <row r="144" spans="1:887" ht="20.100000000000001" customHeight="1">
      <c r="A144" s="191" t="str">
        <f>VLOOKUP(C144,'BASE DE DADOS'!A:B,2,FALSE)</f>
        <v>PREPARA INATIVOS</v>
      </c>
      <c r="B144" s="90" t="s">
        <v>397</v>
      </c>
      <c r="C144" s="191" t="s">
        <v>398</v>
      </c>
      <c r="D144" s="227">
        <v>401435.74</v>
      </c>
      <c r="E144" s="98">
        <v>51928.26</v>
      </c>
      <c r="F144" s="228"/>
      <c r="G144" s="192"/>
      <c r="H144" s="193"/>
      <c r="I144" s="193"/>
      <c r="J144" s="193"/>
      <c r="K144" s="193"/>
      <c r="L144" s="193"/>
      <c r="M144" s="61"/>
      <c r="N144" s="193" t="s">
        <v>1743</v>
      </c>
      <c r="O144" s="202">
        <v>45764</v>
      </c>
      <c r="P144" s="145" t="s">
        <v>2869</v>
      </c>
      <c r="Q144" s="195" t="s">
        <v>2660</v>
      </c>
    </row>
    <row r="145" spans="1:17" ht="20.100000000000001" customHeight="1">
      <c r="A145" s="198" t="str">
        <f>VLOOKUP(C145,'BASE DE DADOS'!A:B,2,FALSE)</f>
        <v>PREPARA INATIVOS</v>
      </c>
      <c r="B145" s="199" t="s">
        <v>11</v>
      </c>
      <c r="C145" s="198" t="s">
        <v>12</v>
      </c>
      <c r="D145" s="232">
        <v>52989.55</v>
      </c>
      <c r="E145" s="232"/>
      <c r="F145" s="233"/>
      <c r="G145" s="200"/>
      <c r="H145" s="201"/>
      <c r="I145" s="201"/>
      <c r="J145" s="201" t="s">
        <v>1743</v>
      </c>
      <c r="K145" s="201"/>
      <c r="L145" s="201"/>
      <c r="M145" s="201"/>
      <c r="N145" s="201"/>
      <c r="O145" s="201"/>
      <c r="P145" s="157"/>
      <c r="Q145" s="195" t="s">
        <v>2518</v>
      </c>
    </row>
    <row r="146" spans="1:17" ht="20.100000000000001" customHeight="1">
      <c r="A146" s="198" t="str">
        <f>VLOOKUP(C146,'BASE DE DADOS'!A:B,2,FALSE)</f>
        <v>PREPARA INATIVOS</v>
      </c>
      <c r="B146" s="199" t="s">
        <v>793</v>
      </c>
      <c r="C146" s="198" t="s">
        <v>794</v>
      </c>
      <c r="D146" s="232">
        <v>20973.4</v>
      </c>
      <c r="E146" s="232"/>
      <c r="F146" s="233"/>
      <c r="G146" s="200"/>
      <c r="H146" s="201"/>
      <c r="I146" s="201"/>
      <c r="J146" s="201" t="s">
        <v>1743</v>
      </c>
      <c r="K146" s="201"/>
      <c r="L146" s="201"/>
      <c r="M146" s="201"/>
      <c r="N146" s="201"/>
      <c r="O146" s="201"/>
      <c r="P146" s="157"/>
      <c r="Q146" s="195" t="s">
        <v>2519</v>
      </c>
    </row>
    <row r="147" spans="1:17" ht="20.100000000000001" customHeight="1">
      <c r="A147" s="191" t="str">
        <f>VLOOKUP(C147,'BASE DE DADOS'!A:B,2,FALSE)</f>
        <v>PREPARA</v>
      </c>
      <c r="B147" s="90" t="s">
        <v>2520</v>
      </c>
      <c r="C147" s="191" t="s">
        <v>1776</v>
      </c>
      <c r="D147" s="227">
        <v>127874.83</v>
      </c>
      <c r="E147" s="76">
        <v>1543</v>
      </c>
      <c r="F147" s="228"/>
      <c r="G147" s="192"/>
      <c r="H147" s="193"/>
      <c r="I147" s="193"/>
      <c r="J147" s="193"/>
      <c r="K147" s="193"/>
      <c r="L147" s="193"/>
      <c r="M147" s="61"/>
      <c r="N147" s="193" t="s">
        <v>1743</v>
      </c>
      <c r="O147" s="202">
        <v>45496</v>
      </c>
      <c r="P147" s="145" t="s">
        <v>2870</v>
      </c>
      <c r="Q147" s="203" t="s">
        <v>2673</v>
      </c>
    </row>
    <row r="148" spans="1:17" ht="20.100000000000001" customHeight="1">
      <c r="A148" s="191" t="str">
        <f>VLOOKUP(C148,'BASE DE DADOS'!A:B,2,FALSE)</f>
        <v>PREPARA</v>
      </c>
      <c r="B148" s="90" t="s">
        <v>2520</v>
      </c>
      <c r="C148" s="191" t="s">
        <v>1776</v>
      </c>
      <c r="D148" s="227"/>
      <c r="E148" s="76">
        <v>175249.44</v>
      </c>
      <c r="F148" s="228"/>
      <c r="G148" s="192"/>
      <c r="H148" s="193"/>
      <c r="I148" s="193"/>
      <c r="J148" s="193"/>
      <c r="K148" s="193"/>
      <c r="L148" s="193"/>
      <c r="M148" s="61"/>
      <c r="N148" s="193" t="s">
        <v>1743</v>
      </c>
      <c r="O148" s="202" t="s">
        <v>2872</v>
      </c>
      <c r="P148" s="146" t="s">
        <v>2871</v>
      </c>
      <c r="Q148" s="203"/>
    </row>
    <row r="149" spans="1:17" ht="20.100000000000001" customHeight="1">
      <c r="A149" s="191" t="str">
        <f>VLOOKUP(C149,'BASE DE DADOS'!A:B,2,FALSE)</f>
        <v>ENSINA MAIS INATIVOS</v>
      </c>
      <c r="B149" s="90" t="s">
        <v>179</v>
      </c>
      <c r="C149" s="191" t="s">
        <v>180</v>
      </c>
      <c r="D149" s="227">
        <v>21282.43</v>
      </c>
      <c r="E149" s="97" t="s">
        <v>2874</v>
      </c>
      <c r="F149" s="228"/>
      <c r="G149" s="192"/>
      <c r="H149" s="193"/>
      <c r="I149" s="193"/>
      <c r="J149" s="193"/>
      <c r="K149" s="193"/>
      <c r="L149" s="193"/>
      <c r="M149" s="193"/>
      <c r="N149" s="193" t="s">
        <v>1743</v>
      </c>
      <c r="O149" s="202">
        <v>45065</v>
      </c>
      <c r="P149" s="145" t="s">
        <v>2873</v>
      </c>
      <c r="Q149" s="203" t="s">
        <v>2522</v>
      </c>
    </row>
    <row r="150" spans="1:17" ht="20.100000000000001" customHeight="1">
      <c r="A150" s="191" t="str">
        <f>VLOOKUP(C150,'BASE DE DADOS'!A:B,2,FALSE)</f>
        <v>PREPARA INATIVOS</v>
      </c>
      <c r="B150" s="90" t="s">
        <v>344</v>
      </c>
      <c r="C150" s="196" t="s">
        <v>345</v>
      </c>
      <c r="D150" s="227">
        <v>234178.84</v>
      </c>
      <c r="E150" s="76">
        <v>39648.879999999997</v>
      </c>
      <c r="F150" s="108"/>
      <c r="G150" s="192"/>
      <c r="H150" s="193"/>
      <c r="I150" s="193"/>
      <c r="J150" s="193"/>
      <c r="K150" s="193"/>
      <c r="L150" s="193"/>
      <c r="M150" s="61"/>
      <c r="N150" s="193" t="s">
        <v>1743</v>
      </c>
      <c r="O150" s="202">
        <v>45551</v>
      </c>
      <c r="P150" s="146" t="s">
        <v>2875</v>
      </c>
      <c r="Q150" s="195" t="s">
        <v>2523</v>
      </c>
    </row>
    <row r="151" spans="1:17" ht="20.100000000000001" customHeight="1">
      <c r="A151" s="191" t="str">
        <f>VLOOKUP(C151,'BASE DE DADOS'!A:B,2,FALSE)</f>
        <v>PREPARA INATIVOS</v>
      </c>
      <c r="B151" s="90" t="s">
        <v>518</v>
      </c>
      <c r="C151" s="63" t="s">
        <v>188</v>
      </c>
      <c r="D151" s="227">
        <v>106906.42</v>
      </c>
      <c r="E151" s="76">
        <v>11121.9</v>
      </c>
      <c r="F151" s="228"/>
      <c r="G151" s="192"/>
      <c r="H151" s="193"/>
      <c r="I151" s="193"/>
      <c r="J151" s="193"/>
      <c r="K151" s="193"/>
      <c r="L151" s="193"/>
      <c r="M151" s="61"/>
      <c r="N151" s="193" t="s">
        <v>1743</v>
      </c>
      <c r="O151" s="202">
        <v>45497</v>
      </c>
      <c r="P151" s="145" t="s">
        <v>2876</v>
      </c>
      <c r="Q151" s="195" t="s">
        <v>2671</v>
      </c>
    </row>
    <row r="152" spans="1:17" ht="20.100000000000001" customHeight="1">
      <c r="A152" s="191" t="str">
        <f>VLOOKUP(C152,'BASE DE DADOS'!A:B,2,FALSE)</f>
        <v>PREPARA INATIVOS</v>
      </c>
      <c r="B152" s="90" t="s">
        <v>320</v>
      </c>
      <c r="C152" s="191" t="s">
        <v>321</v>
      </c>
      <c r="D152" s="227">
        <v>54550.7</v>
      </c>
      <c r="E152" s="99">
        <v>95397.7</v>
      </c>
      <c r="F152" s="228"/>
      <c r="G152" s="192"/>
      <c r="H152" s="67"/>
      <c r="I152" s="193"/>
      <c r="J152" s="193"/>
      <c r="K152" s="193"/>
      <c r="L152" s="193"/>
      <c r="M152" s="193"/>
      <c r="N152" s="193" t="s">
        <v>1743</v>
      </c>
      <c r="O152" s="202">
        <v>46108</v>
      </c>
      <c r="P152" s="146" t="s">
        <v>2990</v>
      </c>
      <c r="Q152" s="203" t="s">
        <v>2627</v>
      </c>
    </row>
    <row r="153" spans="1:17" ht="20.100000000000001" customHeight="1">
      <c r="A153" s="191" t="str">
        <f>VLOOKUP(C153,'BASE DE DADOS'!A:B,2,FALSE)</f>
        <v>PREPARA INATIVOS</v>
      </c>
      <c r="B153" s="90" t="s">
        <v>372</v>
      </c>
      <c r="C153" s="191" t="s">
        <v>373</v>
      </c>
      <c r="D153" s="227">
        <v>248197.99</v>
      </c>
      <c r="E153" s="76">
        <v>23791.05</v>
      </c>
      <c r="F153" s="228"/>
      <c r="G153" s="192"/>
      <c r="H153" s="193"/>
      <c r="I153" s="193"/>
      <c r="J153" s="193"/>
      <c r="K153" s="193"/>
      <c r="L153" s="193"/>
      <c r="M153" s="61"/>
      <c r="N153" s="193" t="s">
        <v>1743</v>
      </c>
      <c r="O153" s="202">
        <v>45723</v>
      </c>
      <c r="P153" s="145" t="s">
        <v>2877</v>
      </c>
      <c r="Q153" s="195" t="s">
        <v>2880</v>
      </c>
    </row>
    <row r="154" spans="1:17" ht="20.100000000000001" customHeight="1">
      <c r="A154" s="191" t="str">
        <f>VLOOKUP(C154,'BASE DE DADOS'!A:B,2,FALSE)</f>
        <v>PREPARA INATIVOS</v>
      </c>
      <c r="B154" s="90" t="s">
        <v>372</v>
      </c>
      <c r="C154" s="191" t="s">
        <v>373</v>
      </c>
      <c r="D154" s="227"/>
      <c r="E154" s="98">
        <v>128701.77</v>
      </c>
      <c r="F154" s="228"/>
      <c r="G154" s="192"/>
      <c r="H154" s="193"/>
      <c r="I154" s="193"/>
      <c r="J154" s="193"/>
      <c r="K154" s="193"/>
      <c r="L154" s="193"/>
      <c r="M154" s="61"/>
      <c r="N154" s="193" t="s">
        <v>1743</v>
      </c>
      <c r="O154" s="202">
        <v>45713</v>
      </c>
      <c r="P154" s="146" t="s">
        <v>2878</v>
      </c>
      <c r="Q154" s="195" t="s">
        <v>2879</v>
      </c>
    </row>
    <row r="155" spans="1:17" ht="20.100000000000001" customHeight="1">
      <c r="A155" s="191" t="str">
        <f>VLOOKUP(C155,'BASE DE DADOS'!A:B,2,FALSE)</f>
        <v>PREPARA</v>
      </c>
      <c r="B155" s="90" t="s">
        <v>238</v>
      </c>
      <c r="C155" s="191" t="s">
        <v>1970</v>
      </c>
      <c r="D155" s="227">
        <v>238226.69</v>
      </c>
      <c r="E155" s="76">
        <v>21842.15</v>
      </c>
      <c r="F155" s="228"/>
      <c r="G155" s="192"/>
      <c r="H155" s="193"/>
      <c r="I155" s="193"/>
      <c r="J155" s="193"/>
      <c r="K155" s="193"/>
      <c r="L155" s="193"/>
      <c r="M155" s="61"/>
      <c r="N155" s="193" t="s">
        <v>1743</v>
      </c>
      <c r="O155" s="102">
        <v>45629</v>
      </c>
      <c r="P155" s="146" t="s">
        <v>2975</v>
      </c>
      <c r="Q155" s="203" t="s">
        <v>2976</v>
      </c>
    </row>
    <row r="156" spans="1:17" ht="20.100000000000001" customHeight="1">
      <c r="A156" s="191" t="str">
        <f>VLOOKUP(C156,'BASE DE DADOS'!A:B,2,FALSE)</f>
        <v>PREPARA</v>
      </c>
      <c r="B156" s="90" t="s">
        <v>238</v>
      </c>
      <c r="C156" s="191" t="s">
        <v>1970</v>
      </c>
      <c r="D156" s="227"/>
      <c r="E156" s="79">
        <v>73677.5</v>
      </c>
      <c r="F156" s="228"/>
      <c r="G156" s="192"/>
      <c r="H156" s="193"/>
      <c r="I156" s="193"/>
      <c r="J156" s="193"/>
      <c r="K156" s="193"/>
      <c r="L156" s="193"/>
      <c r="M156" s="61"/>
      <c r="N156" s="193" t="s">
        <v>1743</v>
      </c>
      <c r="O156" s="202">
        <v>46036</v>
      </c>
      <c r="P156" s="146" t="s">
        <v>2977</v>
      </c>
      <c r="Q156" s="203" t="s">
        <v>2978</v>
      </c>
    </row>
    <row r="157" spans="1:17" ht="20.100000000000001" customHeight="1">
      <c r="A157" s="191" t="str">
        <f>VLOOKUP(C157,'BASE DE DADOS'!A:B,2,FALSE)</f>
        <v>PREPARA INATIVOS</v>
      </c>
      <c r="B157" s="100" t="s">
        <v>771</v>
      </c>
      <c r="C157" s="234" t="s">
        <v>772</v>
      </c>
      <c r="D157" s="227">
        <v>3750</v>
      </c>
      <c r="E157" s="98">
        <v>71430.080000000002</v>
      </c>
      <c r="F157" s="228"/>
      <c r="G157" s="192"/>
      <c r="H157" s="193"/>
      <c r="I157" s="193"/>
      <c r="J157" s="193"/>
      <c r="K157" s="193"/>
      <c r="L157" s="193"/>
      <c r="M157" s="61"/>
      <c r="N157" s="193" t="s">
        <v>1743</v>
      </c>
      <c r="O157" s="202">
        <v>45744</v>
      </c>
      <c r="P157" s="146" t="s">
        <v>2884</v>
      </c>
      <c r="Q157" s="235" t="s">
        <v>3531</v>
      </c>
    </row>
    <row r="158" spans="1:17" ht="20.100000000000001" customHeight="1">
      <c r="A158" s="191" t="str">
        <f>VLOOKUP(C158,'BASE DE DADOS'!A:B,2,FALSE)</f>
        <v>PREPARA INATIVOS</v>
      </c>
      <c r="B158" s="90" t="s">
        <v>2150</v>
      </c>
      <c r="C158" s="191" t="s">
        <v>2151</v>
      </c>
      <c r="D158" s="227">
        <v>69941.149999999994</v>
      </c>
      <c r="E158" s="227">
        <v>27176.57</v>
      </c>
      <c r="F158" s="228"/>
      <c r="G158" s="192"/>
      <c r="H158" s="193"/>
      <c r="I158" s="193"/>
      <c r="J158" s="193"/>
      <c r="K158" s="193"/>
      <c r="L158" s="193"/>
      <c r="M158" s="61"/>
      <c r="N158" s="193" t="s">
        <v>1743</v>
      </c>
      <c r="O158" s="202">
        <v>45573</v>
      </c>
      <c r="P158" s="146" t="s">
        <v>2883</v>
      </c>
      <c r="Q158" s="203" t="s">
        <v>2525</v>
      </c>
    </row>
    <row r="159" spans="1:17" ht="20.100000000000001" customHeight="1">
      <c r="A159" s="191" t="str">
        <f>VLOOKUP(C159,'BASE DE DADOS'!A:B,2,FALSE)</f>
        <v>PREPARA INATIVOS</v>
      </c>
      <c r="B159" s="90" t="s">
        <v>771</v>
      </c>
      <c r="C159" s="191" t="s">
        <v>772</v>
      </c>
      <c r="D159" s="227">
        <v>113705.33</v>
      </c>
      <c r="E159" s="98">
        <v>39469.22</v>
      </c>
      <c r="F159" s="228"/>
      <c r="G159" s="192"/>
      <c r="H159" s="193"/>
      <c r="I159" s="193"/>
      <c r="J159" s="193"/>
      <c r="K159" s="193"/>
      <c r="L159" s="193"/>
      <c r="M159" s="61"/>
      <c r="N159" s="193" t="s">
        <v>1743</v>
      </c>
      <c r="O159" s="202">
        <v>45723</v>
      </c>
      <c r="P159" s="145" t="s">
        <v>2887</v>
      </c>
      <c r="Q159" s="203" t="s">
        <v>2889</v>
      </c>
    </row>
    <row r="160" spans="1:17" ht="20.100000000000001" customHeight="1">
      <c r="A160" s="191" t="str">
        <f>VLOOKUP(C160,'BASE DE DADOS'!A:B,2,FALSE)</f>
        <v>PREPARA INATIVOS</v>
      </c>
      <c r="B160" s="90" t="s">
        <v>771</v>
      </c>
      <c r="C160" s="191" t="s">
        <v>772</v>
      </c>
      <c r="D160" s="227"/>
      <c r="E160" s="74" t="s">
        <v>2885</v>
      </c>
      <c r="F160" s="228"/>
      <c r="G160" s="192"/>
      <c r="H160" s="193"/>
      <c r="I160" s="193"/>
      <c r="J160" s="193"/>
      <c r="K160" s="193"/>
      <c r="L160" s="193"/>
      <c r="M160" s="61"/>
      <c r="N160" s="193" t="s">
        <v>1743</v>
      </c>
      <c r="O160" s="202">
        <v>45744</v>
      </c>
      <c r="P160" s="146" t="s">
        <v>2884</v>
      </c>
      <c r="Q160" s="203" t="s">
        <v>2888</v>
      </c>
    </row>
    <row r="161" spans="1:887" ht="20.100000000000001" customHeight="1">
      <c r="A161" s="191" t="str">
        <f>VLOOKUP(C161,'BASE DE DADOS'!A:B,2,FALSE)</f>
        <v>PREPARA INATIVOS</v>
      </c>
      <c r="B161" s="90" t="s">
        <v>569</v>
      </c>
      <c r="C161" s="191" t="s">
        <v>570</v>
      </c>
      <c r="D161" s="227">
        <v>43801.48</v>
      </c>
      <c r="E161" s="98">
        <v>47374.93</v>
      </c>
      <c r="F161" s="228"/>
      <c r="G161" s="192"/>
      <c r="H161" s="193"/>
      <c r="I161" s="193"/>
      <c r="J161" s="193"/>
      <c r="K161" s="193"/>
      <c r="L161" s="193"/>
      <c r="M161" s="193"/>
      <c r="N161" s="193" t="s">
        <v>1743</v>
      </c>
      <c r="O161" s="202">
        <v>45126</v>
      </c>
      <c r="P161" s="145" t="s">
        <v>2890</v>
      </c>
      <c r="Q161" s="195" t="s">
        <v>2891</v>
      </c>
    </row>
    <row r="162" spans="1:887" ht="20.100000000000001" customHeight="1">
      <c r="A162" s="191" t="str">
        <f>VLOOKUP(C162,'BASE DE DADOS'!A:B,2,FALSE)</f>
        <v>PREPARA INATIVOS</v>
      </c>
      <c r="B162" s="90" t="s">
        <v>1208</v>
      </c>
      <c r="C162" s="191" t="s">
        <v>415</v>
      </c>
      <c r="D162" s="191">
        <v>181.45</v>
      </c>
      <c r="E162" s="191"/>
      <c r="F162" s="193"/>
      <c r="G162" s="192"/>
      <c r="H162" s="193"/>
      <c r="I162" s="193"/>
      <c r="J162" s="193"/>
      <c r="K162" s="193"/>
      <c r="L162" s="193"/>
      <c r="M162" s="193"/>
      <c r="N162" s="193"/>
      <c r="O162" s="193"/>
      <c r="P162" s="87"/>
      <c r="Q162" s="226" t="s">
        <v>2620</v>
      </c>
    </row>
    <row r="163" spans="1:887" ht="20.100000000000001" customHeight="1">
      <c r="A163" s="191" t="str">
        <f>VLOOKUP(C163,'BASE DE DADOS'!A:B,2,FALSE)</f>
        <v>PREPARA INATIVOS</v>
      </c>
      <c r="B163" s="90" t="s">
        <v>414</v>
      </c>
      <c r="C163" s="191" t="s">
        <v>415</v>
      </c>
      <c r="D163" s="227">
        <v>4623.2</v>
      </c>
      <c r="E163" s="227"/>
      <c r="F163" s="228"/>
      <c r="G163" s="192"/>
      <c r="H163" s="193"/>
      <c r="I163" s="193"/>
      <c r="J163" s="193"/>
      <c r="K163" s="193"/>
      <c r="L163" s="193"/>
      <c r="M163" s="193"/>
      <c r="N163" s="193"/>
      <c r="O163" s="193"/>
      <c r="P163" s="87"/>
      <c r="Q163" s="235" t="s">
        <v>2619</v>
      </c>
    </row>
    <row r="164" spans="1:887" ht="20.100000000000001" customHeight="1">
      <c r="A164" s="191" t="str">
        <f>VLOOKUP(C164,'BASE DE DADOS'!A:B,2,FALSE)</f>
        <v>PREPARA INATIVOS</v>
      </c>
      <c r="B164" s="90" t="s">
        <v>295</v>
      </c>
      <c r="C164" s="191" t="s">
        <v>2368</v>
      </c>
      <c r="D164" s="227">
        <v>37077.199999999997</v>
      </c>
      <c r="E164" s="97" t="s">
        <v>2893</v>
      </c>
      <c r="F164" s="228"/>
      <c r="G164" s="192"/>
      <c r="H164" s="193"/>
      <c r="I164" s="193"/>
      <c r="J164" s="193"/>
      <c r="K164" s="193"/>
      <c r="L164" s="193"/>
      <c r="M164" s="193"/>
      <c r="N164" s="193" t="s">
        <v>1743</v>
      </c>
      <c r="O164" s="202">
        <v>45182</v>
      </c>
      <c r="P164" s="146" t="s">
        <v>2892</v>
      </c>
      <c r="Q164" s="195" t="s">
        <v>2526</v>
      </c>
    </row>
    <row r="165" spans="1:887" ht="20.100000000000001" customHeight="1">
      <c r="A165" s="191" t="str">
        <f>VLOOKUP(C165,'BASE DE DADOS'!A:B,2,FALSE)</f>
        <v>PREPARA INATIVOS</v>
      </c>
      <c r="B165" s="90" t="s">
        <v>1154</v>
      </c>
      <c r="C165" s="191" t="s">
        <v>1155</v>
      </c>
      <c r="D165" s="227">
        <v>56701.26</v>
      </c>
      <c r="E165" s="76">
        <v>69702.33</v>
      </c>
      <c r="F165" s="228"/>
      <c r="G165" s="192"/>
      <c r="H165" s="193"/>
      <c r="I165" s="193"/>
      <c r="J165" s="193"/>
      <c r="K165" s="193"/>
      <c r="L165" s="193"/>
      <c r="M165" s="61"/>
      <c r="N165" s="193" t="s">
        <v>1743</v>
      </c>
      <c r="O165" s="202">
        <v>45729</v>
      </c>
      <c r="P165" s="145" t="s">
        <v>2895</v>
      </c>
      <c r="Q165" s="195" t="s">
        <v>2896</v>
      </c>
    </row>
    <row r="166" spans="1:887" ht="20.100000000000001" customHeight="1">
      <c r="A166" s="191" t="str">
        <f>VLOOKUP(C166,'BASE DE DADOS'!A:B,2,FALSE)</f>
        <v>PREPARA INATIVOS</v>
      </c>
      <c r="B166" s="90" t="s">
        <v>1154</v>
      </c>
      <c r="C166" s="191" t="s">
        <v>1155</v>
      </c>
      <c r="D166" s="227"/>
      <c r="E166" s="76">
        <v>23275.69</v>
      </c>
      <c r="F166" s="228"/>
      <c r="G166" s="192"/>
      <c r="H166" s="193"/>
      <c r="I166" s="193"/>
      <c r="J166" s="193"/>
      <c r="K166" s="193"/>
      <c r="L166" s="193"/>
      <c r="M166" s="61"/>
      <c r="N166" s="193" t="s">
        <v>1743</v>
      </c>
      <c r="O166" s="202">
        <v>45833</v>
      </c>
      <c r="P166" s="146" t="s">
        <v>2894</v>
      </c>
      <c r="Q166" s="195" t="s">
        <v>2886</v>
      </c>
    </row>
    <row r="167" spans="1:887" ht="20.100000000000001" customHeight="1">
      <c r="A167" s="191" t="str">
        <f>VLOOKUP(C167,'BASE DE DADOS'!A:B,2,FALSE)</f>
        <v>PREPARA</v>
      </c>
      <c r="B167" s="90" t="s">
        <v>2193</v>
      </c>
      <c r="C167" s="191" t="s">
        <v>2194</v>
      </c>
      <c r="D167" s="227">
        <v>10550.12</v>
      </c>
      <c r="E167" s="98">
        <v>14434.25</v>
      </c>
      <c r="F167" s="228"/>
      <c r="G167" s="192"/>
      <c r="H167" s="193"/>
      <c r="I167" s="193"/>
      <c r="J167" s="193"/>
      <c r="K167" s="193"/>
      <c r="L167" s="193"/>
      <c r="M167" s="61"/>
      <c r="N167" s="193" t="s">
        <v>1743</v>
      </c>
      <c r="O167" s="202">
        <v>45806</v>
      </c>
      <c r="P167" s="145" t="s">
        <v>2897</v>
      </c>
      <c r="Q167" s="203" t="s">
        <v>2531</v>
      </c>
    </row>
    <row r="168" spans="1:887" ht="20.100000000000001" customHeight="1">
      <c r="A168" s="191" t="str">
        <f>VLOOKUP(C168,'BASE DE DADOS'!A:B,2,FALSE)</f>
        <v>PREPARA INATIVOS</v>
      </c>
      <c r="B168" s="90" t="s">
        <v>500</v>
      </c>
      <c r="C168" s="191" t="s">
        <v>501</v>
      </c>
      <c r="D168" s="227">
        <v>12762.05</v>
      </c>
      <c r="E168" s="76">
        <v>34258.14</v>
      </c>
      <c r="F168" s="228"/>
      <c r="G168" s="192"/>
      <c r="H168" s="193"/>
      <c r="I168" s="193"/>
      <c r="J168" s="193"/>
      <c r="K168" s="193"/>
      <c r="L168" s="193"/>
      <c r="M168" s="193"/>
      <c r="N168" s="193" t="s">
        <v>1743</v>
      </c>
      <c r="O168" s="202">
        <v>45615</v>
      </c>
      <c r="P168" s="146" t="s">
        <v>2898</v>
      </c>
      <c r="Q168" s="195" t="s">
        <v>2629</v>
      </c>
    </row>
    <row r="169" spans="1:887" ht="20.100000000000001" customHeight="1">
      <c r="A169" s="191" t="str">
        <f>VLOOKUP(C169,'BASE DE DADOS'!A:B,2,FALSE)</f>
        <v>PREPARA INATIVOS</v>
      </c>
      <c r="B169" s="90" t="s">
        <v>390</v>
      </c>
      <c r="C169" s="191" t="s">
        <v>391</v>
      </c>
      <c r="D169" s="227">
        <v>77090.5</v>
      </c>
      <c r="E169" s="97" t="s">
        <v>2900</v>
      </c>
      <c r="F169" s="228"/>
      <c r="G169" s="192"/>
      <c r="H169" s="64"/>
      <c r="I169" s="193"/>
      <c r="J169" s="193"/>
      <c r="K169" s="64"/>
      <c r="L169" s="64"/>
      <c r="M169" s="61"/>
      <c r="N169" s="193" t="s">
        <v>1743</v>
      </c>
      <c r="O169" s="202">
        <v>45755</v>
      </c>
      <c r="P169" s="146" t="s">
        <v>2899</v>
      </c>
      <c r="Q169" s="195" t="s">
        <v>2604</v>
      </c>
    </row>
    <row r="170" spans="1:887" ht="20.100000000000001" customHeight="1">
      <c r="A170" s="191" t="str">
        <f>VLOOKUP(C170,'BASE DE DADOS'!A:B,2,FALSE)</f>
        <v>PREPARA INATIVOS</v>
      </c>
      <c r="B170" s="90" t="s">
        <v>1152</v>
      </c>
      <c r="C170" s="191" t="s">
        <v>1153</v>
      </c>
      <c r="D170" s="227">
        <v>30651.11</v>
      </c>
      <c r="E170" s="227">
        <v>33662.879999999997</v>
      </c>
      <c r="F170" s="228"/>
      <c r="G170" s="192"/>
      <c r="H170" s="193"/>
      <c r="I170" s="193"/>
      <c r="J170" s="193"/>
      <c r="K170" s="193"/>
      <c r="L170" s="193"/>
      <c r="M170" s="61"/>
      <c r="N170" s="193" t="s">
        <v>1743</v>
      </c>
      <c r="O170" s="202">
        <v>45453</v>
      </c>
      <c r="P170" s="145" t="s">
        <v>2901</v>
      </c>
      <c r="Q170" s="195" t="s">
        <v>2653</v>
      </c>
    </row>
    <row r="171" spans="1:887" s="72" customFormat="1" ht="20.100000000000001" customHeight="1">
      <c r="A171" s="219" t="str">
        <f>VLOOKUP(C171,'BASE DE DADOS'!A:B,2,FALSE)</f>
        <v>PREPARA INATIVOS</v>
      </c>
      <c r="B171" s="92" t="s">
        <v>586</v>
      </c>
      <c r="C171" s="219" t="s">
        <v>587</v>
      </c>
      <c r="D171" s="229">
        <v>2075.17</v>
      </c>
      <c r="E171" s="229"/>
      <c r="F171" s="230"/>
      <c r="G171" s="220"/>
      <c r="H171" s="221"/>
      <c r="I171" s="221"/>
      <c r="J171" s="221"/>
      <c r="K171" s="221"/>
      <c r="L171" s="221"/>
      <c r="M171" s="221"/>
      <c r="N171" s="221"/>
      <c r="O171" s="221"/>
      <c r="P171" s="85"/>
      <c r="Q171" s="235" t="s">
        <v>2902</v>
      </c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5"/>
      <c r="BK171" s="95"/>
      <c r="BL171" s="95"/>
      <c r="BM171" s="95"/>
      <c r="BN171" s="95"/>
      <c r="BO171" s="95"/>
      <c r="BP171" s="95"/>
      <c r="BQ171" s="95"/>
      <c r="BR171" s="95"/>
      <c r="BS171" s="95"/>
      <c r="BT171" s="95"/>
      <c r="BU171" s="95"/>
      <c r="BV171" s="95"/>
      <c r="BW171" s="95"/>
      <c r="BX171" s="95"/>
      <c r="BY171" s="95"/>
      <c r="BZ171" s="95"/>
      <c r="CA171" s="95"/>
      <c r="CB171" s="95"/>
      <c r="CC171" s="95"/>
      <c r="CD171" s="95"/>
      <c r="CE171" s="95"/>
      <c r="CF171" s="95"/>
      <c r="CG171" s="95"/>
      <c r="CH171" s="95"/>
      <c r="CI171" s="95"/>
      <c r="CJ171" s="95"/>
      <c r="CK171" s="95"/>
      <c r="CL171" s="95"/>
      <c r="CM171" s="95"/>
      <c r="CN171" s="95"/>
      <c r="CO171" s="95"/>
      <c r="CP171" s="95"/>
      <c r="CQ171" s="95"/>
      <c r="CR171" s="95"/>
      <c r="CS171" s="95"/>
      <c r="CT171" s="95"/>
      <c r="CU171" s="95"/>
      <c r="CV171" s="95"/>
      <c r="CW171" s="95"/>
      <c r="CX171" s="95"/>
      <c r="CY171" s="95"/>
      <c r="CZ171" s="95"/>
      <c r="DA171" s="95"/>
      <c r="DB171" s="95"/>
      <c r="DC171" s="95"/>
      <c r="DD171" s="95"/>
      <c r="DE171" s="95"/>
      <c r="DF171" s="95"/>
      <c r="DG171" s="95"/>
      <c r="DH171" s="95"/>
      <c r="DI171" s="95"/>
      <c r="DJ171" s="95"/>
      <c r="DK171" s="95"/>
      <c r="DL171" s="95"/>
      <c r="DM171" s="95"/>
      <c r="DN171" s="95"/>
      <c r="DO171" s="95"/>
      <c r="DP171" s="95"/>
      <c r="DQ171" s="95"/>
      <c r="DR171" s="95"/>
      <c r="DS171" s="95"/>
      <c r="DT171" s="95"/>
      <c r="DU171" s="95"/>
      <c r="DV171" s="95"/>
      <c r="DW171" s="95"/>
      <c r="DX171" s="95"/>
      <c r="DY171" s="95"/>
      <c r="DZ171" s="95"/>
      <c r="EA171" s="95"/>
      <c r="EB171" s="95"/>
      <c r="EC171" s="95"/>
      <c r="ED171" s="95"/>
      <c r="EE171" s="95"/>
      <c r="EF171" s="95"/>
      <c r="EG171" s="95"/>
      <c r="EH171" s="95"/>
      <c r="EI171" s="95"/>
      <c r="EJ171" s="95"/>
      <c r="EK171" s="95"/>
      <c r="EL171" s="95"/>
      <c r="EM171" s="95"/>
      <c r="EN171" s="95"/>
      <c r="EO171" s="95"/>
      <c r="EP171" s="95"/>
      <c r="EQ171" s="95"/>
      <c r="ER171" s="95"/>
      <c r="ES171" s="95"/>
      <c r="ET171" s="95"/>
      <c r="EU171" s="95"/>
      <c r="EV171" s="95"/>
      <c r="EW171" s="95"/>
      <c r="EX171" s="95"/>
      <c r="EY171" s="95"/>
      <c r="EZ171" s="95"/>
      <c r="FA171" s="95"/>
      <c r="FB171" s="95"/>
      <c r="FC171" s="95"/>
      <c r="FD171" s="95"/>
      <c r="FE171" s="95"/>
      <c r="FF171" s="95"/>
      <c r="FG171" s="95"/>
      <c r="FH171" s="95"/>
      <c r="FI171" s="95"/>
      <c r="FJ171" s="95"/>
      <c r="FK171" s="95"/>
      <c r="FL171" s="95"/>
      <c r="FM171" s="95"/>
      <c r="FN171" s="95"/>
      <c r="FO171" s="95"/>
      <c r="FP171" s="95"/>
      <c r="FQ171" s="95"/>
      <c r="FR171" s="95"/>
      <c r="FS171" s="95"/>
      <c r="FT171" s="95"/>
      <c r="FU171" s="95"/>
      <c r="FV171" s="95"/>
      <c r="FW171" s="95"/>
      <c r="FX171" s="95"/>
      <c r="FY171" s="95"/>
      <c r="FZ171" s="95"/>
      <c r="GA171" s="95"/>
      <c r="GB171" s="95"/>
      <c r="GC171" s="95"/>
      <c r="GD171" s="95"/>
      <c r="GE171" s="95"/>
      <c r="GF171" s="95"/>
      <c r="GG171" s="95"/>
      <c r="GH171" s="95"/>
      <c r="GI171" s="95"/>
      <c r="GJ171" s="95"/>
      <c r="GK171" s="95"/>
      <c r="GL171" s="95"/>
      <c r="GM171" s="95"/>
      <c r="GN171" s="95"/>
      <c r="GO171" s="95"/>
      <c r="GP171" s="95"/>
      <c r="GQ171" s="95"/>
      <c r="GR171" s="95"/>
      <c r="GS171" s="95"/>
      <c r="GT171" s="95"/>
      <c r="GU171" s="95"/>
      <c r="GV171" s="95"/>
      <c r="GW171" s="95"/>
      <c r="GX171" s="95"/>
      <c r="GY171" s="95"/>
      <c r="GZ171" s="95"/>
      <c r="HA171" s="95"/>
      <c r="HB171" s="95"/>
      <c r="HC171" s="95"/>
      <c r="HD171" s="95"/>
      <c r="HE171" s="95"/>
      <c r="HF171" s="95"/>
      <c r="HG171" s="95"/>
      <c r="HH171" s="95"/>
      <c r="HI171" s="95"/>
      <c r="HJ171" s="95"/>
      <c r="HK171" s="95"/>
      <c r="HL171" s="95"/>
      <c r="HM171" s="95"/>
      <c r="HN171" s="95"/>
      <c r="HO171" s="95"/>
      <c r="HP171" s="95"/>
      <c r="HQ171" s="95"/>
      <c r="HR171" s="95"/>
      <c r="HS171" s="95"/>
      <c r="HT171" s="95"/>
      <c r="HU171" s="95"/>
      <c r="HV171" s="95"/>
      <c r="HW171" s="95"/>
      <c r="HX171" s="95"/>
      <c r="HY171" s="95"/>
      <c r="HZ171" s="95"/>
      <c r="IA171" s="95"/>
      <c r="IB171" s="95"/>
      <c r="IC171" s="95"/>
      <c r="ID171" s="95"/>
      <c r="IE171" s="95"/>
      <c r="IF171" s="95"/>
      <c r="IG171" s="95"/>
      <c r="IH171" s="95"/>
      <c r="II171" s="95"/>
      <c r="IJ171" s="95"/>
      <c r="IK171" s="95"/>
      <c r="IL171" s="95"/>
      <c r="IM171" s="95"/>
      <c r="IN171" s="95"/>
      <c r="IO171" s="95"/>
      <c r="IP171" s="95"/>
      <c r="IQ171" s="95"/>
      <c r="IR171" s="95"/>
      <c r="IS171" s="95"/>
      <c r="IT171" s="95"/>
      <c r="IU171" s="95"/>
      <c r="IV171" s="95"/>
      <c r="IW171" s="95"/>
      <c r="IX171" s="95"/>
      <c r="IY171" s="95"/>
      <c r="IZ171" s="95"/>
      <c r="JA171" s="95"/>
      <c r="JB171" s="95"/>
      <c r="JC171" s="95"/>
      <c r="JD171" s="95"/>
      <c r="JE171" s="95"/>
      <c r="JF171" s="95"/>
      <c r="JG171" s="95"/>
      <c r="JH171" s="95"/>
      <c r="JI171" s="95"/>
      <c r="JJ171" s="95"/>
      <c r="JK171" s="95"/>
      <c r="JL171" s="95"/>
      <c r="JM171" s="95"/>
      <c r="JN171" s="95"/>
      <c r="JO171" s="95"/>
      <c r="JP171" s="95"/>
      <c r="JQ171" s="95"/>
      <c r="JR171" s="95"/>
      <c r="JS171" s="95"/>
      <c r="JT171" s="95"/>
      <c r="JU171" s="95"/>
      <c r="JV171" s="95"/>
      <c r="JW171" s="95"/>
      <c r="JX171" s="95"/>
      <c r="JY171" s="95"/>
      <c r="JZ171" s="95"/>
      <c r="KA171" s="95"/>
      <c r="KB171" s="95"/>
      <c r="KC171" s="95"/>
      <c r="KD171" s="95"/>
      <c r="KE171" s="95"/>
      <c r="KF171" s="95"/>
      <c r="KG171" s="95"/>
      <c r="KH171" s="95"/>
      <c r="KI171" s="95"/>
      <c r="KJ171" s="95"/>
      <c r="KK171" s="95"/>
      <c r="KL171" s="95"/>
      <c r="KM171" s="95"/>
      <c r="KN171" s="95"/>
      <c r="KO171" s="95"/>
      <c r="KP171" s="95"/>
      <c r="KQ171" s="95"/>
      <c r="KR171" s="95"/>
      <c r="KS171" s="95"/>
      <c r="KT171" s="95"/>
      <c r="KU171" s="95"/>
      <c r="KV171" s="95"/>
      <c r="KW171" s="95"/>
      <c r="KX171" s="95"/>
      <c r="KY171" s="95"/>
      <c r="KZ171" s="95"/>
      <c r="LA171" s="95"/>
      <c r="LB171" s="95"/>
      <c r="LC171" s="95"/>
      <c r="LD171" s="95"/>
      <c r="LE171" s="95"/>
      <c r="LF171" s="95"/>
      <c r="LG171" s="95"/>
      <c r="LH171" s="95"/>
      <c r="LI171" s="95"/>
      <c r="LJ171" s="95"/>
      <c r="LK171" s="95"/>
      <c r="LL171" s="95"/>
      <c r="LM171" s="95"/>
      <c r="LN171" s="95"/>
      <c r="LO171" s="95"/>
      <c r="LP171" s="95"/>
      <c r="LQ171" s="95"/>
      <c r="LR171" s="95"/>
      <c r="LS171" s="95"/>
      <c r="LT171" s="95"/>
      <c r="LU171" s="95"/>
      <c r="LV171" s="95"/>
      <c r="LW171" s="95"/>
      <c r="LX171" s="95"/>
      <c r="LY171" s="95"/>
      <c r="LZ171" s="95"/>
      <c r="MA171" s="95"/>
      <c r="MB171" s="95"/>
      <c r="MC171" s="95"/>
      <c r="MD171" s="95"/>
      <c r="ME171" s="95"/>
      <c r="MF171" s="95"/>
      <c r="MG171" s="95"/>
      <c r="MH171" s="95"/>
      <c r="MI171" s="95"/>
      <c r="MJ171" s="95"/>
      <c r="MK171" s="95"/>
      <c r="ML171" s="95"/>
      <c r="MM171" s="95"/>
      <c r="MN171" s="95"/>
      <c r="MO171" s="95"/>
      <c r="MP171" s="95"/>
      <c r="MQ171" s="95"/>
      <c r="MR171" s="95"/>
      <c r="MS171" s="95"/>
      <c r="MT171" s="95"/>
      <c r="MU171" s="95"/>
      <c r="MV171" s="95"/>
      <c r="MW171" s="95"/>
      <c r="MX171" s="95"/>
      <c r="MY171" s="95"/>
      <c r="MZ171" s="95"/>
      <c r="NA171" s="95"/>
      <c r="NB171" s="95"/>
      <c r="NC171" s="95"/>
      <c r="ND171" s="95"/>
      <c r="NE171" s="95"/>
      <c r="NF171" s="95"/>
      <c r="NG171" s="95"/>
      <c r="NH171" s="95"/>
      <c r="NI171" s="95"/>
      <c r="NJ171" s="95"/>
      <c r="NK171" s="95"/>
      <c r="NL171" s="95"/>
      <c r="NM171" s="95"/>
      <c r="NN171" s="95"/>
      <c r="NO171" s="95"/>
      <c r="NP171" s="95"/>
      <c r="NQ171" s="95"/>
      <c r="NR171" s="95"/>
      <c r="NS171" s="95"/>
      <c r="NT171" s="95"/>
      <c r="NU171" s="95"/>
      <c r="NV171" s="95"/>
      <c r="NW171" s="95"/>
      <c r="NX171" s="95"/>
      <c r="NY171" s="95"/>
      <c r="NZ171" s="95"/>
      <c r="OA171" s="95"/>
      <c r="OB171" s="95"/>
      <c r="OC171" s="95"/>
      <c r="OD171" s="95"/>
      <c r="OE171" s="95"/>
      <c r="OF171" s="95"/>
      <c r="OG171" s="95"/>
      <c r="OH171" s="95"/>
      <c r="OI171" s="95"/>
      <c r="OJ171" s="95"/>
      <c r="OK171" s="95"/>
      <c r="OL171" s="95"/>
      <c r="OM171" s="95"/>
      <c r="ON171" s="95"/>
      <c r="OO171" s="95"/>
      <c r="OP171" s="95"/>
      <c r="OQ171" s="95"/>
      <c r="OR171" s="95"/>
      <c r="OS171" s="95"/>
      <c r="OT171" s="95"/>
      <c r="OU171" s="95"/>
      <c r="OV171" s="95"/>
      <c r="OW171" s="95"/>
      <c r="OX171" s="95"/>
      <c r="OY171" s="95"/>
      <c r="OZ171" s="95"/>
      <c r="PA171" s="95"/>
      <c r="PB171" s="95"/>
      <c r="PC171" s="95"/>
      <c r="PD171" s="95"/>
      <c r="PE171" s="95"/>
      <c r="PF171" s="95"/>
      <c r="PG171" s="95"/>
      <c r="PH171" s="95"/>
      <c r="PI171" s="95"/>
      <c r="PJ171" s="95"/>
      <c r="PK171" s="95"/>
      <c r="PL171" s="95"/>
      <c r="PM171" s="95"/>
      <c r="PN171" s="95"/>
      <c r="PO171" s="95"/>
      <c r="PP171" s="95"/>
      <c r="PQ171" s="95"/>
      <c r="PR171" s="95"/>
      <c r="PS171" s="95"/>
      <c r="PT171" s="95"/>
      <c r="PU171" s="95"/>
      <c r="PV171" s="95"/>
      <c r="PW171" s="95"/>
      <c r="PX171" s="95"/>
      <c r="PY171" s="95"/>
      <c r="PZ171" s="95"/>
      <c r="QA171" s="95"/>
      <c r="QB171" s="95"/>
      <c r="QC171" s="95"/>
      <c r="QD171" s="95"/>
      <c r="QE171" s="95"/>
      <c r="QF171" s="95"/>
      <c r="QG171" s="95"/>
      <c r="QH171" s="95"/>
      <c r="QI171" s="95"/>
      <c r="QJ171" s="95"/>
      <c r="QK171" s="95"/>
      <c r="QL171" s="95"/>
      <c r="QM171" s="95"/>
      <c r="QN171" s="95"/>
      <c r="QO171" s="95"/>
      <c r="QP171" s="95"/>
      <c r="QQ171" s="95"/>
      <c r="QR171" s="95"/>
      <c r="QS171" s="95"/>
      <c r="QT171" s="95"/>
      <c r="QU171" s="95"/>
      <c r="QV171" s="95"/>
      <c r="QW171" s="95"/>
      <c r="QX171" s="95"/>
      <c r="QY171" s="95"/>
      <c r="QZ171" s="95"/>
      <c r="RA171" s="95"/>
      <c r="RB171" s="95"/>
      <c r="RC171" s="95"/>
      <c r="RD171" s="95"/>
      <c r="RE171" s="95"/>
      <c r="RF171" s="95"/>
      <c r="RG171" s="95"/>
      <c r="RH171" s="95"/>
      <c r="RI171" s="95"/>
      <c r="RJ171" s="95"/>
      <c r="RK171" s="95"/>
      <c r="RL171" s="95"/>
      <c r="RM171" s="95"/>
      <c r="RN171" s="95"/>
      <c r="RO171" s="95"/>
      <c r="RP171" s="95"/>
      <c r="RQ171" s="95"/>
      <c r="RR171" s="95"/>
      <c r="RS171" s="95"/>
      <c r="RT171" s="95"/>
      <c r="RU171" s="95"/>
      <c r="RV171" s="95"/>
      <c r="RW171" s="95"/>
      <c r="RX171" s="95"/>
      <c r="RY171" s="95"/>
      <c r="RZ171" s="95"/>
      <c r="SA171" s="95"/>
      <c r="SB171" s="95"/>
      <c r="SC171" s="95"/>
      <c r="SD171" s="95"/>
      <c r="SE171" s="95"/>
      <c r="SF171" s="95"/>
      <c r="SG171" s="95"/>
      <c r="SH171" s="95"/>
      <c r="SI171" s="95"/>
      <c r="SJ171" s="95"/>
      <c r="SK171" s="95"/>
      <c r="SL171" s="95"/>
      <c r="SM171" s="95"/>
      <c r="SN171" s="95"/>
      <c r="SO171" s="95"/>
      <c r="SP171" s="95"/>
      <c r="SQ171" s="95"/>
      <c r="SR171" s="95"/>
      <c r="SS171" s="95"/>
      <c r="ST171" s="95"/>
      <c r="SU171" s="95"/>
      <c r="SV171" s="95"/>
      <c r="SW171" s="95"/>
      <c r="SX171" s="95"/>
      <c r="SY171" s="95"/>
      <c r="SZ171" s="95"/>
      <c r="TA171" s="95"/>
      <c r="TB171" s="95"/>
      <c r="TC171" s="95"/>
      <c r="TD171" s="95"/>
      <c r="TE171" s="95"/>
      <c r="TF171" s="95"/>
      <c r="TG171" s="95"/>
      <c r="TH171" s="95"/>
      <c r="TI171" s="95"/>
      <c r="TJ171" s="95"/>
      <c r="TK171" s="95"/>
      <c r="TL171" s="95"/>
      <c r="TM171" s="95"/>
      <c r="TN171" s="95"/>
      <c r="TO171" s="95"/>
      <c r="TP171" s="95"/>
      <c r="TQ171" s="95"/>
      <c r="TR171" s="95"/>
      <c r="TS171" s="95"/>
      <c r="TT171" s="95"/>
      <c r="TU171" s="95"/>
      <c r="TV171" s="95"/>
      <c r="TW171" s="95"/>
      <c r="TX171" s="95"/>
      <c r="TY171" s="95"/>
      <c r="TZ171" s="95"/>
      <c r="UA171" s="95"/>
      <c r="UB171" s="95"/>
      <c r="UC171" s="95"/>
      <c r="UD171" s="95"/>
      <c r="UE171" s="95"/>
      <c r="UF171" s="95"/>
      <c r="UG171" s="95"/>
      <c r="UH171" s="95"/>
      <c r="UI171" s="95"/>
      <c r="UJ171" s="95"/>
      <c r="UK171" s="95"/>
      <c r="UL171" s="95"/>
      <c r="UM171" s="95"/>
      <c r="UN171" s="95"/>
      <c r="UO171" s="95"/>
      <c r="UP171" s="95"/>
      <c r="UQ171" s="95"/>
      <c r="UR171" s="95"/>
      <c r="US171" s="95"/>
      <c r="UT171" s="95"/>
      <c r="UU171" s="95"/>
      <c r="UV171" s="95"/>
      <c r="UW171" s="95"/>
      <c r="UX171" s="95"/>
      <c r="UY171" s="95"/>
      <c r="UZ171" s="95"/>
      <c r="VA171" s="95"/>
      <c r="VB171" s="95"/>
      <c r="VC171" s="95"/>
      <c r="VD171" s="95"/>
      <c r="VE171" s="95"/>
      <c r="VF171" s="95"/>
      <c r="VG171" s="95"/>
      <c r="VH171" s="95"/>
      <c r="VI171" s="95"/>
      <c r="VJ171" s="95"/>
      <c r="VK171" s="95"/>
      <c r="VL171" s="95"/>
      <c r="VM171" s="95"/>
      <c r="VN171" s="95"/>
      <c r="VO171" s="95"/>
      <c r="VP171" s="95"/>
      <c r="VQ171" s="95"/>
      <c r="VR171" s="95"/>
      <c r="VS171" s="95"/>
      <c r="VT171" s="95"/>
      <c r="VU171" s="95"/>
      <c r="VV171" s="95"/>
      <c r="VW171" s="95"/>
      <c r="VX171" s="95"/>
      <c r="VY171" s="95"/>
      <c r="VZ171" s="95"/>
      <c r="WA171" s="95"/>
      <c r="WB171" s="95"/>
      <c r="WC171" s="95"/>
      <c r="WD171" s="95"/>
      <c r="WE171" s="95"/>
      <c r="WF171" s="95"/>
      <c r="WG171" s="95"/>
      <c r="WH171" s="95"/>
      <c r="WI171" s="95"/>
      <c r="WJ171" s="95"/>
      <c r="WK171" s="95"/>
      <c r="WL171" s="95"/>
      <c r="WM171" s="95"/>
      <c r="WN171" s="95"/>
      <c r="WO171" s="95"/>
      <c r="WP171" s="95"/>
      <c r="WQ171" s="95"/>
      <c r="WR171" s="95"/>
      <c r="WS171" s="95"/>
      <c r="WT171" s="95"/>
      <c r="WU171" s="95"/>
      <c r="WV171" s="95"/>
      <c r="WW171" s="95"/>
      <c r="WX171" s="95"/>
      <c r="WY171" s="95"/>
      <c r="WZ171" s="95"/>
      <c r="XA171" s="95"/>
      <c r="XB171" s="95"/>
      <c r="XC171" s="95"/>
      <c r="XD171" s="95"/>
      <c r="XE171" s="95"/>
      <c r="XF171" s="95"/>
      <c r="XG171" s="95"/>
      <c r="XH171" s="95"/>
      <c r="XI171" s="95"/>
      <c r="XJ171" s="95"/>
      <c r="XK171" s="95"/>
      <c r="XL171" s="95"/>
      <c r="XM171" s="95"/>
      <c r="XN171" s="95"/>
      <c r="XO171" s="95"/>
      <c r="XP171" s="95"/>
      <c r="XQ171" s="95"/>
      <c r="XR171" s="95"/>
      <c r="XS171" s="95"/>
      <c r="XT171" s="95"/>
      <c r="XU171" s="95"/>
      <c r="XV171" s="95"/>
      <c r="XW171" s="95"/>
      <c r="XX171" s="95"/>
      <c r="XY171" s="95"/>
      <c r="XZ171" s="95"/>
      <c r="YA171" s="95"/>
      <c r="YB171" s="95"/>
      <c r="YC171" s="95"/>
      <c r="YD171" s="95"/>
      <c r="YE171" s="95"/>
      <c r="YF171" s="95"/>
      <c r="YG171" s="95"/>
      <c r="YH171" s="95"/>
      <c r="YI171" s="95"/>
      <c r="YJ171" s="95"/>
      <c r="YK171" s="95"/>
      <c r="YL171" s="95"/>
      <c r="YM171" s="95"/>
      <c r="YN171" s="95"/>
      <c r="YO171" s="95"/>
      <c r="YP171" s="95"/>
      <c r="YQ171" s="95"/>
      <c r="YR171" s="95"/>
      <c r="YS171" s="95"/>
      <c r="YT171" s="95"/>
      <c r="YU171" s="95"/>
      <c r="YV171" s="95"/>
      <c r="YW171" s="95"/>
      <c r="YX171" s="95"/>
      <c r="YY171" s="95"/>
      <c r="YZ171" s="95"/>
      <c r="ZA171" s="95"/>
      <c r="ZB171" s="95"/>
      <c r="ZC171" s="95"/>
      <c r="ZD171" s="95"/>
      <c r="ZE171" s="95"/>
      <c r="ZF171" s="95"/>
      <c r="ZG171" s="95"/>
      <c r="ZH171" s="95"/>
      <c r="ZI171" s="95"/>
      <c r="ZJ171" s="95"/>
      <c r="ZK171" s="95"/>
      <c r="ZL171" s="95"/>
      <c r="ZM171" s="95"/>
      <c r="ZN171" s="95"/>
      <c r="ZO171" s="95"/>
      <c r="ZP171" s="95"/>
      <c r="ZQ171" s="95"/>
      <c r="ZR171" s="95"/>
      <c r="ZS171" s="95"/>
      <c r="ZT171" s="95"/>
      <c r="ZU171" s="95"/>
      <c r="ZV171" s="95"/>
      <c r="ZW171" s="95"/>
      <c r="ZX171" s="95"/>
      <c r="ZY171" s="95"/>
      <c r="ZZ171" s="95"/>
      <c r="AAA171" s="95"/>
      <c r="AAB171" s="95"/>
      <c r="AAC171" s="95"/>
      <c r="AAD171" s="95"/>
      <c r="AAE171" s="95"/>
      <c r="AAF171" s="95"/>
      <c r="AAG171" s="95"/>
      <c r="AAH171" s="95"/>
      <c r="AAI171" s="95"/>
      <c r="AAJ171" s="95"/>
      <c r="AAK171" s="95"/>
      <c r="AAL171" s="95"/>
      <c r="AAM171" s="95"/>
      <c r="AAN171" s="95"/>
      <c r="AAO171" s="95"/>
      <c r="AAP171" s="95"/>
      <c r="AAQ171" s="95"/>
      <c r="AAR171" s="95"/>
      <c r="AAS171" s="95"/>
      <c r="AAT171" s="95"/>
      <c r="AAU171" s="95"/>
      <c r="AAV171" s="95"/>
      <c r="AAW171" s="95"/>
      <c r="AAX171" s="95"/>
      <c r="AAY171" s="95"/>
      <c r="AAZ171" s="95"/>
      <c r="ABA171" s="95"/>
      <c r="ABB171" s="95"/>
      <c r="ABC171" s="95"/>
      <c r="ABD171" s="95"/>
      <c r="ABE171" s="95"/>
      <c r="ABF171" s="95"/>
      <c r="ABG171" s="95"/>
      <c r="ABH171" s="95"/>
      <c r="ABI171" s="95"/>
      <c r="ABJ171" s="95"/>
      <c r="ABK171" s="95"/>
      <c r="ABL171" s="95"/>
      <c r="ABM171" s="95"/>
      <c r="ABN171" s="95"/>
      <c r="ABO171" s="95"/>
      <c r="ABP171" s="95"/>
      <c r="ABQ171" s="95"/>
      <c r="ABR171" s="95"/>
      <c r="ABS171" s="95"/>
      <c r="ABT171" s="95"/>
      <c r="ABU171" s="95"/>
      <c r="ABV171" s="95"/>
      <c r="ABW171" s="95"/>
      <c r="ABX171" s="95"/>
      <c r="ABY171" s="95"/>
      <c r="ABZ171" s="95"/>
      <c r="ACA171" s="95"/>
      <c r="ACB171" s="95"/>
      <c r="ACC171" s="95"/>
      <c r="ACD171" s="95"/>
      <c r="ACE171" s="95"/>
      <c r="ACF171" s="95"/>
      <c r="ACG171" s="95"/>
      <c r="ACH171" s="95"/>
      <c r="ACI171" s="95"/>
      <c r="ACJ171" s="95"/>
      <c r="ACK171" s="95"/>
      <c r="ACL171" s="95"/>
      <c r="ACM171" s="95"/>
      <c r="ACN171" s="95"/>
      <c r="ACO171" s="95"/>
      <c r="ACP171" s="95"/>
      <c r="ACQ171" s="95"/>
      <c r="ACR171" s="95"/>
      <c r="ACS171" s="95"/>
      <c r="ACT171" s="95"/>
      <c r="ACU171" s="95"/>
      <c r="ACV171" s="95"/>
      <c r="ACW171" s="95"/>
      <c r="ACX171" s="95"/>
      <c r="ACY171" s="95"/>
      <c r="ACZ171" s="95"/>
      <c r="ADA171" s="95"/>
      <c r="ADB171" s="95"/>
      <c r="ADC171" s="95"/>
      <c r="ADD171" s="95"/>
      <c r="ADE171" s="95"/>
      <c r="ADF171" s="95"/>
      <c r="ADG171" s="95"/>
      <c r="ADH171" s="95"/>
      <c r="ADI171" s="95"/>
      <c r="ADJ171" s="95"/>
      <c r="ADK171" s="95"/>
      <c r="ADL171" s="95"/>
      <c r="ADM171" s="95"/>
      <c r="ADN171" s="95"/>
      <c r="ADO171" s="95"/>
      <c r="ADP171" s="95"/>
      <c r="ADQ171" s="95"/>
      <c r="ADR171" s="95"/>
      <c r="ADS171" s="95"/>
      <c r="ADT171" s="95"/>
      <c r="ADU171" s="95"/>
      <c r="ADV171" s="95"/>
      <c r="ADW171" s="95"/>
      <c r="ADX171" s="95"/>
      <c r="ADY171" s="95"/>
      <c r="ADZ171" s="95"/>
      <c r="AEA171" s="95"/>
      <c r="AEB171" s="95"/>
      <c r="AEC171" s="95"/>
      <c r="AED171" s="95"/>
      <c r="AEE171" s="95"/>
      <c r="AEF171" s="95"/>
      <c r="AEG171" s="95"/>
      <c r="AEH171" s="95"/>
      <c r="AEI171" s="95"/>
      <c r="AEJ171" s="95"/>
      <c r="AEK171" s="95"/>
      <c r="AEL171" s="95"/>
      <c r="AEM171" s="95"/>
      <c r="AEN171" s="95"/>
      <c r="AEO171" s="95"/>
      <c r="AEP171" s="95"/>
      <c r="AEQ171" s="95"/>
      <c r="AER171" s="95"/>
      <c r="AES171" s="95"/>
      <c r="AET171" s="95"/>
      <c r="AEU171" s="95"/>
      <c r="AEV171" s="95"/>
      <c r="AEW171" s="95"/>
      <c r="AEX171" s="95"/>
      <c r="AEY171" s="95"/>
      <c r="AEZ171" s="95"/>
      <c r="AFA171" s="95"/>
      <c r="AFB171" s="95"/>
      <c r="AFC171" s="95"/>
      <c r="AFD171" s="95"/>
      <c r="AFE171" s="95"/>
      <c r="AFF171" s="95"/>
      <c r="AFG171" s="95"/>
      <c r="AFH171" s="95"/>
      <c r="AFI171" s="95"/>
      <c r="AFJ171" s="95"/>
      <c r="AFK171" s="95"/>
      <c r="AFL171" s="95"/>
      <c r="AFM171" s="95"/>
      <c r="AFN171" s="95"/>
      <c r="AFO171" s="95"/>
      <c r="AFP171" s="95"/>
      <c r="AFQ171" s="95"/>
      <c r="AFR171" s="95"/>
      <c r="AFS171" s="95"/>
      <c r="AFT171" s="95"/>
      <c r="AFU171" s="95"/>
      <c r="AFV171" s="95"/>
      <c r="AFW171" s="95"/>
      <c r="AFX171" s="95"/>
      <c r="AFY171" s="95"/>
      <c r="AFZ171" s="95"/>
      <c r="AGA171" s="95"/>
      <c r="AGB171" s="95"/>
      <c r="AGC171" s="95"/>
      <c r="AGD171" s="95"/>
      <c r="AGE171" s="95"/>
      <c r="AGF171" s="95"/>
      <c r="AGG171" s="95"/>
      <c r="AGH171" s="95"/>
      <c r="AGI171" s="95"/>
      <c r="AGJ171" s="95"/>
      <c r="AGK171" s="95"/>
      <c r="AGL171" s="95"/>
      <c r="AGM171" s="95"/>
      <c r="AGN171" s="95"/>
      <c r="AGO171" s="95"/>
      <c r="AGP171" s="95"/>
      <c r="AGQ171" s="95"/>
      <c r="AGR171" s="95"/>
      <c r="AGS171" s="95"/>
      <c r="AGT171" s="95"/>
      <c r="AGU171" s="95"/>
      <c r="AGV171" s="95"/>
      <c r="AGW171" s="95"/>
      <c r="AGX171" s="95"/>
      <c r="AGY171" s="95"/>
      <c r="AGZ171" s="95"/>
      <c r="AHA171" s="95"/>
      <c r="AHB171" s="95"/>
      <c r="AHC171" s="95"/>
    </row>
    <row r="172" spans="1:887" ht="20.100000000000001" customHeight="1">
      <c r="A172" s="219" t="str">
        <f>VLOOKUP(C172,'BASE DE DADOS'!A:B,2,FALSE)</f>
        <v>PREPARA INATIVOS</v>
      </c>
      <c r="B172" s="92" t="s">
        <v>421</v>
      </c>
      <c r="C172" s="219" t="s">
        <v>422</v>
      </c>
      <c r="D172" s="219">
        <v>977.27</v>
      </c>
      <c r="E172" s="219"/>
      <c r="F172" s="221"/>
      <c r="G172" s="220"/>
      <c r="H172" s="70"/>
      <c r="I172" s="221"/>
      <c r="J172" s="221"/>
      <c r="K172" s="69"/>
      <c r="L172" s="221"/>
      <c r="M172" s="221"/>
      <c r="N172" s="221"/>
      <c r="O172" s="221"/>
      <c r="P172" s="85"/>
      <c r="Q172" s="195" t="s">
        <v>2979</v>
      </c>
    </row>
    <row r="173" spans="1:887" ht="20.100000000000001" customHeight="1">
      <c r="A173" s="191" t="str">
        <f>VLOOKUP(C173,'BASE DE DADOS'!A:B,2,FALSE)</f>
        <v>PREPARA INATIVOS</v>
      </c>
      <c r="B173" s="90" t="s">
        <v>1138</v>
      </c>
      <c r="C173" s="191" t="s">
        <v>1139</v>
      </c>
      <c r="D173" s="227">
        <v>100060.81</v>
      </c>
      <c r="E173" s="227"/>
      <c r="F173" s="228"/>
      <c r="G173" s="192"/>
      <c r="H173" s="87"/>
      <c r="I173" s="64"/>
      <c r="J173" s="64"/>
      <c r="K173" s="193"/>
      <c r="L173" s="193"/>
      <c r="M173" s="193" t="s">
        <v>1743</v>
      </c>
      <c r="N173" s="193"/>
      <c r="O173" s="193"/>
      <c r="P173" s="87"/>
      <c r="Q173" s="195" t="s">
        <v>2997</v>
      </c>
    </row>
    <row r="174" spans="1:887" ht="20.100000000000001" customHeight="1">
      <c r="A174" s="198" t="str">
        <f>VLOOKUP(C174,'BASE DE DADOS'!A:B,2,FALSE)</f>
        <v>PINGUS ENGLISH INATIVOS</v>
      </c>
      <c r="B174" s="199" t="s">
        <v>38</v>
      </c>
      <c r="C174" s="198" t="s">
        <v>39</v>
      </c>
      <c r="D174" s="232">
        <v>42480.93</v>
      </c>
      <c r="E174" s="232"/>
      <c r="F174" s="233"/>
      <c r="G174" s="200"/>
      <c r="H174" s="201"/>
      <c r="I174" s="201"/>
      <c r="J174" s="201" t="s">
        <v>1743</v>
      </c>
      <c r="K174" s="201"/>
      <c r="L174" s="201"/>
      <c r="M174" s="201"/>
      <c r="N174" s="201"/>
      <c r="O174" s="201"/>
      <c r="P174" s="157"/>
      <c r="Q174" s="195" t="s">
        <v>2628</v>
      </c>
    </row>
    <row r="175" spans="1:887" ht="20.100000000000001" customHeight="1">
      <c r="A175" s="219" t="str">
        <f>VLOOKUP(C175,'BASE DE DADOS'!A:B,2,FALSE)</f>
        <v>PREPARA INATIVOS</v>
      </c>
      <c r="B175" s="92" t="s">
        <v>376</v>
      </c>
      <c r="C175" s="219" t="s">
        <v>377</v>
      </c>
      <c r="D175" s="229">
        <v>38150.94</v>
      </c>
      <c r="E175" s="229"/>
      <c r="F175" s="230"/>
      <c r="G175" s="220"/>
      <c r="H175" s="85"/>
      <c r="I175" s="71"/>
      <c r="J175" s="71"/>
      <c r="K175" s="221"/>
      <c r="L175" s="221"/>
      <c r="M175" s="221"/>
      <c r="N175" s="221"/>
      <c r="O175" s="221"/>
      <c r="P175" s="85"/>
      <c r="Q175" s="203" t="s">
        <v>2961</v>
      </c>
    </row>
    <row r="176" spans="1:887" ht="20.100000000000001" customHeight="1">
      <c r="A176" s="191" t="str">
        <f>VLOOKUP(C176,'BASE DE DADOS'!A:B,2,FALSE)</f>
        <v>PREPARA INATIVOS</v>
      </c>
      <c r="B176" s="90" t="s">
        <v>1140</v>
      </c>
      <c r="C176" s="191" t="s">
        <v>1141</v>
      </c>
      <c r="D176" s="227">
        <v>161639.51999999999</v>
      </c>
      <c r="E176" s="98">
        <v>66100.81</v>
      </c>
      <c r="F176" s="228"/>
      <c r="G176" s="192"/>
      <c r="H176" s="193"/>
      <c r="I176" s="193"/>
      <c r="J176" s="193"/>
      <c r="K176" s="193"/>
      <c r="L176" s="193"/>
      <c r="M176" s="66"/>
      <c r="N176" s="193" t="s">
        <v>1743</v>
      </c>
      <c r="O176" s="202">
        <v>45806</v>
      </c>
      <c r="P176" s="145" t="s">
        <v>2903</v>
      </c>
      <c r="Q176" s="195" t="s">
        <v>2904</v>
      </c>
    </row>
    <row r="177" spans="1:887" ht="20.100000000000001" customHeight="1">
      <c r="A177" s="236" t="str">
        <f>VLOOKUP(C177,'BASE DE DADOS'!A:B,2,FALSE)</f>
        <v>PREPARA INATIVOS</v>
      </c>
      <c r="B177" s="237" t="s">
        <v>406</v>
      </c>
      <c r="C177" s="236" t="s">
        <v>407</v>
      </c>
      <c r="D177" s="238">
        <v>91668.03</v>
      </c>
      <c r="E177" s="238"/>
      <c r="F177" s="239"/>
      <c r="G177" s="240"/>
      <c r="H177" s="86" t="s">
        <v>1743</v>
      </c>
      <c r="I177" s="241"/>
      <c r="J177" s="241"/>
      <c r="K177" s="241"/>
      <c r="L177" s="241"/>
      <c r="M177" s="241"/>
      <c r="N177" s="241"/>
      <c r="O177" s="241"/>
      <c r="P177" s="86"/>
      <c r="Q177" s="195" t="s">
        <v>2992</v>
      </c>
    </row>
    <row r="178" spans="1:887" ht="20.100000000000001" customHeight="1">
      <c r="A178" s="191" t="str">
        <f>VLOOKUP(C178,'BASE DE DADOS'!A:B,2,FALSE)</f>
        <v>PREPARA INATIVOS</v>
      </c>
      <c r="B178" s="90" t="s">
        <v>1731</v>
      </c>
      <c r="C178" s="191" t="s">
        <v>1732</v>
      </c>
      <c r="D178" s="227">
        <v>6381.62</v>
      </c>
      <c r="E178" s="227">
        <v>12279.09</v>
      </c>
      <c r="F178" s="228"/>
      <c r="G178" s="192"/>
      <c r="H178" s="193"/>
      <c r="I178" s="193"/>
      <c r="J178" s="193"/>
      <c r="K178" s="193"/>
      <c r="L178" s="193"/>
      <c r="M178" s="193"/>
      <c r="N178" s="193" t="s">
        <v>1743</v>
      </c>
      <c r="O178" s="202">
        <v>45407</v>
      </c>
      <c r="P178" s="145" t="s">
        <v>2905</v>
      </c>
      <c r="Q178" s="195" t="s">
        <v>2623</v>
      </c>
    </row>
    <row r="179" spans="1:887" ht="20.100000000000001" customHeight="1">
      <c r="A179" s="198" t="str">
        <f>VLOOKUP(C179,'BASE DE DADOS'!A:B,2,FALSE)</f>
        <v>PREPARA INATIVOS</v>
      </c>
      <c r="B179" s="199" t="s">
        <v>654</v>
      </c>
      <c r="C179" s="198" t="s">
        <v>655</v>
      </c>
      <c r="D179" s="232">
        <v>10750.47</v>
      </c>
      <c r="E179" s="232"/>
      <c r="F179" s="233"/>
      <c r="G179" s="200"/>
      <c r="H179" s="201"/>
      <c r="I179" s="201"/>
      <c r="J179" s="201" t="s">
        <v>1743</v>
      </c>
      <c r="K179" s="201"/>
      <c r="L179" s="201"/>
      <c r="M179" s="201"/>
      <c r="N179" s="201"/>
      <c r="O179" s="201"/>
      <c r="P179" s="157"/>
      <c r="Q179" s="203" t="s">
        <v>2631</v>
      </c>
    </row>
    <row r="180" spans="1:887" ht="20.100000000000001" customHeight="1">
      <c r="A180" s="191" t="str">
        <f>VLOOKUP(C180,'BASE DE DADOS'!A:B,2,FALSE)</f>
        <v>PINGUS ENGLISH INATIVOS</v>
      </c>
      <c r="B180" s="90" t="s">
        <v>190</v>
      </c>
      <c r="C180" s="191" t="s">
        <v>2022</v>
      </c>
      <c r="D180" s="227">
        <v>78491.539999999994</v>
      </c>
      <c r="E180" s="227">
        <v>151773.32999999999</v>
      </c>
      <c r="F180" s="228"/>
      <c r="G180" s="192"/>
      <c r="H180" s="193"/>
      <c r="I180" s="193"/>
      <c r="J180" s="193"/>
      <c r="K180" s="193"/>
      <c r="L180" s="193"/>
      <c r="M180" s="61"/>
      <c r="N180" s="193" t="s">
        <v>1743</v>
      </c>
      <c r="O180" s="202">
        <v>45605</v>
      </c>
      <c r="P180" s="145" t="s">
        <v>2906</v>
      </c>
      <c r="Q180" s="195" t="s">
        <v>2624</v>
      </c>
    </row>
    <row r="181" spans="1:887" ht="20.100000000000001" customHeight="1">
      <c r="A181" s="191" t="str">
        <f>VLOOKUP(C181,'BASE DE DADOS'!A:B,2,FALSE)</f>
        <v>PREPARA INATIVOS</v>
      </c>
      <c r="B181" s="90" t="s">
        <v>252</v>
      </c>
      <c r="C181" s="191" t="s">
        <v>253</v>
      </c>
      <c r="D181" s="227">
        <v>40282.980000000003</v>
      </c>
      <c r="E181" s="227">
        <v>73742.77</v>
      </c>
      <c r="F181" s="228"/>
      <c r="G181" s="192"/>
      <c r="H181" s="227"/>
      <c r="I181" s="227"/>
      <c r="J181" s="227"/>
      <c r="K181" s="227"/>
      <c r="L181" s="227"/>
      <c r="M181" s="227"/>
      <c r="N181" s="193" t="s">
        <v>1743</v>
      </c>
      <c r="O181" s="202">
        <v>45460</v>
      </c>
      <c r="P181" s="146" t="s">
        <v>2907</v>
      </c>
      <c r="Q181" s="195" t="s">
        <v>2625</v>
      </c>
    </row>
    <row r="182" spans="1:887" ht="20.100000000000001" customHeight="1">
      <c r="A182" s="198" t="str">
        <f>VLOOKUP(C182,'BASE DE DADOS'!A:B,2,FALSE)</f>
        <v>PREPARA INATIVOS</v>
      </c>
      <c r="B182" s="199" t="s">
        <v>459</v>
      </c>
      <c r="C182" s="198" t="s">
        <v>460</v>
      </c>
      <c r="D182" s="232">
        <v>31318.48</v>
      </c>
      <c r="E182" s="232"/>
      <c r="F182" s="233"/>
      <c r="G182" s="200"/>
      <c r="H182" s="201"/>
      <c r="I182" s="201"/>
      <c r="J182" s="201" t="s">
        <v>1743</v>
      </c>
      <c r="K182" s="201"/>
      <c r="L182" s="201"/>
      <c r="M182" s="201"/>
      <c r="N182" s="201"/>
      <c r="O182" s="201"/>
      <c r="P182" s="157"/>
      <c r="Q182" s="195" t="s">
        <v>2626</v>
      </c>
    </row>
    <row r="183" spans="1:887" ht="20.100000000000001" customHeight="1">
      <c r="A183" s="191" t="str">
        <f>VLOOKUP(C183,'BASE DE DADOS'!A:B,2,FALSE)</f>
        <v>PINGUS ENGLISH</v>
      </c>
      <c r="B183" s="90" t="s">
        <v>897</v>
      </c>
      <c r="C183" s="191" t="s">
        <v>898</v>
      </c>
      <c r="D183" s="227">
        <v>20542.57</v>
      </c>
      <c r="E183" s="227">
        <v>22628.1</v>
      </c>
      <c r="F183" s="228"/>
      <c r="G183" s="192"/>
      <c r="H183" s="193"/>
      <c r="I183" s="193"/>
      <c r="J183" s="193"/>
      <c r="K183" s="193"/>
      <c r="L183" s="193"/>
      <c r="M183" s="61"/>
      <c r="N183" s="193" t="s">
        <v>1743</v>
      </c>
      <c r="O183" s="202">
        <v>45453</v>
      </c>
      <c r="P183" s="151" t="s">
        <v>2908</v>
      </c>
      <c r="Q183" s="195" t="s">
        <v>2652</v>
      </c>
    </row>
    <row r="184" spans="1:887" ht="20.100000000000001" customHeight="1">
      <c r="A184" s="198" t="str">
        <f>VLOOKUP(C184,'BASE DE DADOS'!A:B,2,FALSE)</f>
        <v>PREPARA INATIVOS</v>
      </c>
      <c r="B184" s="199" t="s">
        <v>254</v>
      </c>
      <c r="C184" s="198" t="s">
        <v>255</v>
      </c>
      <c r="D184" s="232">
        <v>165667.12</v>
      </c>
      <c r="E184" s="232"/>
      <c r="F184" s="233"/>
      <c r="G184" s="200"/>
      <c r="H184" s="201"/>
      <c r="I184" s="201"/>
      <c r="J184" s="201" t="s">
        <v>1743</v>
      </c>
      <c r="K184" s="201"/>
      <c r="L184" s="201"/>
      <c r="M184" s="201"/>
      <c r="N184" s="201"/>
      <c r="O184" s="201"/>
      <c r="P184" s="157"/>
      <c r="Q184" s="203" t="s">
        <v>2710</v>
      </c>
    </row>
    <row r="185" spans="1:887" s="72" customFormat="1" ht="20.100000000000001" customHeight="1">
      <c r="A185" s="219" t="str">
        <f>VLOOKUP(C185,'BASE DE DADOS'!A:B,2,FALSE)</f>
        <v>PREPARA INATIVOS</v>
      </c>
      <c r="B185" s="92" t="s">
        <v>332</v>
      </c>
      <c r="C185" s="219" t="s">
        <v>333</v>
      </c>
      <c r="D185" s="229">
        <v>21452.69</v>
      </c>
      <c r="E185" s="229"/>
      <c r="F185" s="230"/>
      <c r="G185" s="120"/>
      <c r="H185" s="221"/>
      <c r="I185" s="221"/>
      <c r="J185" s="221"/>
      <c r="K185" s="221"/>
      <c r="L185" s="221"/>
      <c r="M185" s="221"/>
      <c r="N185" s="221"/>
      <c r="O185" s="221"/>
      <c r="P185" s="85"/>
      <c r="Q185" s="235" t="s">
        <v>2962</v>
      </c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95"/>
      <c r="AW185" s="95"/>
      <c r="AX185" s="95"/>
      <c r="AY185" s="95"/>
      <c r="AZ185" s="95"/>
      <c r="BA185" s="95"/>
      <c r="BB185" s="95"/>
      <c r="BC185" s="95"/>
      <c r="BD185" s="95"/>
      <c r="BE185" s="95"/>
      <c r="BF185" s="95"/>
      <c r="BG185" s="95"/>
      <c r="BH185" s="95"/>
      <c r="BI185" s="95"/>
      <c r="BJ185" s="95"/>
      <c r="BK185" s="95"/>
      <c r="BL185" s="95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  <c r="DA185" s="95"/>
      <c r="DB185" s="95"/>
      <c r="DC185" s="95"/>
      <c r="DD185" s="95"/>
      <c r="DE185" s="95"/>
      <c r="DF185" s="95"/>
      <c r="DG185" s="95"/>
      <c r="DH185" s="95"/>
      <c r="DI185" s="95"/>
      <c r="DJ185" s="95"/>
      <c r="DK185" s="95"/>
      <c r="DL185" s="95"/>
      <c r="DM185" s="95"/>
      <c r="DN185" s="95"/>
      <c r="DO185" s="95"/>
      <c r="DP185" s="95"/>
      <c r="DQ185" s="95"/>
      <c r="DR185" s="95"/>
      <c r="DS185" s="95"/>
      <c r="DT185" s="95"/>
      <c r="DU185" s="95"/>
      <c r="DV185" s="95"/>
      <c r="DW185" s="95"/>
      <c r="DX185" s="95"/>
      <c r="DY185" s="95"/>
      <c r="DZ185" s="95"/>
      <c r="EA185" s="95"/>
      <c r="EB185" s="95"/>
      <c r="EC185" s="95"/>
      <c r="ED185" s="95"/>
      <c r="EE185" s="95"/>
      <c r="EF185" s="95"/>
      <c r="EG185" s="95"/>
      <c r="EH185" s="95"/>
      <c r="EI185" s="95"/>
      <c r="EJ185" s="95"/>
      <c r="EK185" s="95"/>
      <c r="EL185" s="95"/>
      <c r="EM185" s="95"/>
      <c r="EN185" s="95"/>
      <c r="EO185" s="95"/>
      <c r="EP185" s="95"/>
      <c r="EQ185" s="95"/>
      <c r="ER185" s="95"/>
      <c r="ES185" s="95"/>
      <c r="ET185" s="95"/>
      <c r="EU185" s="95"/>
      <c r="EV185" s="95"/>
      <c r="EW185" s="95"/>
      <c r="EX185" s="95"/>
      <c r="EY185" s="95"/>
      <c r="EZ185" s="95"/>
      <c r="FA185" s="95"/>
      <c r="FB185" s="95"/>
      <c r="FC185" s="95"/>
      <c r="FD185" s="95"/>
      <c r="FE185" s="95"/>
      <c r="FF185" s="95"/>
      <c r="FG185" s="95"/>
      <c r="FH185" s="95"/>
      <c r="FI185" s="95"/>
      <c r="FJ185" s="95"/>
      <c r="FK185" s="95"/>
      <c r="FL185" s="95"/>
      <c r="FM185" s="95"/>
      <c r="FN185" s="95"/>
      <c r="FO185" s="95"/>
      <c r="FP185" s="95"/>
      <c r="FQ185" s="95"/>
      <c r="FR185" s="95"/>
      <c r="FS185" s="95"/>
      <c r="FT185" s="95"/>
      <c r="FU185" s="95"/>
      <c r="FV185" s="95"/>
      <c r="FW185" s="95"/>
      <c r="FX185" s="95"/>
      <c r="FY185" s="95"/>
      <c r="FZ185" s="95"/>
      <c r="GA185" s="95"/>
      <c r="GB185" s="95"/>
      <c r="GC185" s="95"/>
      <c r="GD185" s="95"/>
      <c r="GE185" s="95"/>
      <c r="GF185" s="95"/>
      <c r="GG185" s="95"/>
      <c r="GH185" s="95"/>
      <c r="GI185" s="95"/>
      <c r="GJ185" s="95"/>
      <c r="GK185" s="95"/>
      <c r="GL185" s="95"/>
      <c r="GM185" s="95"/>
      <c r="GN185" s="95"/>
      <c r="GO185" s="95"/>
      <c r="GP185" s="95"/>
      <c r="GQ185" s="95"/>
      <c r="GR185" s="95"/>
      <c r="GS185" s="95"/>
      <c r="GT185" s="95"/>
      <c r="GU185" s="95"/>
      <c r="GV185" s="95"/>
      <c r="GW185" s="95"/>
      <c r="GX185" s="95"/>
      <c r="GY185" s="95"/>
      <c r="GZ185" s="95"/>
      <c r="HA185" s="95"/>
      <c r="HB185" s="95"/>
      <c r="HC185" s="95"/>
      <c r="HD185" s="95"/>
      <c r="HE185" s="95"/>
      <c r="HF185" s="95"/>
      <c r="HG185" s="95"/>
      <c r="HH185" s="95"/>
      <c r="HI185" s="95"/>
      <c r="HJ185" s="95"/>
      <c r="HK185" s="95"/>
      <c r="HL185" s="95"/>
      <c r="HM185" s="95"/>
      <c r="HN185" s="95"/>
      <c r="HO185" s="95"/>
      <c r="HP185" s="95"/>
      <c r="HQ185" s="95"/>
      <c r="HR185" s="95"/>
      <c r="HS185" s="95"/>
      <c r="HT185" s="95"/>
      <c r="HU185" s="95"/>
      <c r="HV185" s="95"/>
      <c r="HW185" s="95"/>
      <c r="HX185" s="95"/>
      <c r="HY185" s="95"/>
      <c r="HZ185" s="95"/>
      <c r="IA185" s="95"/>
      <c r="IB185" s="95"/>
      <c r="IC185" s="95"/>
      <c r="ID185" s="95"/>
      <c r="IE185" s="95"/>
      <c r="IF185" s="95"/>
      <c r="IG185" s="95"/>
      <c r="IH185" s="95"/>
      <c r="II185" s="95"/>
      <c r="IJ185" s="95"/>
      <c r="IK185" s="95"/>
      <c r="IL185" s="95"/>
      <c r="IM185" s="95"/>
      <c r="IN185" s="95"/>
      <c r="IO185" s="95"/>
      <c r="IP185" s="95"/>
      <c r="IQ185" s="95"/>
      <c r="IR185" s="95"/>
      <c r="IS185" s="95"/>
      <c r="IT185" s="95"/>
      <c r="IU185" s="95"/>
      <c r="IV185" s="95"/>
      <c r="IW185" s="95"/>
      <c r="IX185" s="95"/>
      <c r="IY185" s="95"/>
      <c r="IZ185" s="95"/>
      <c r="JA185" s="95"/>
      <c r="JB185" s="95"/>
      <c r="JC185" s="95"/>
      <c r="JD185" s="95"/>
      <c r="JE185" s="95"/>
      <c r="JF185" s="95"/>
      <c r="JG185" s="95"/>
      <c r="JH185" s="95"/>
      <c r="JI185" s="95"/>
      <c r="JJ185" s="95"/>
      <c r="JK185" s="95"/>
      <c r="JL185" s="95"/>
      <c r="JM185" s="95"/>
      <c r="JN185" s="95"/>
      <c r="JO185" s="95"/>
      <c r="JP185" s="95"/>
      <c r="JQ185" s="95"/>
      <c r="JR185" s="95"/>
      <c r="JS185" s="95"/>
      <c r="JT185" s="95"/>
      <c r="JU185" s="95"/>
      <c r="JV185" s="95"/>
      <c r="JW185" s="95"/>
      <c r="JX185" s="95"/>
      <c r="JY185" s="95"/>
      <c r="JZ185" s="95"/>
      <c r="KA185" s="95"/>
      <c r="KB185" s="95"/>
      <c r="KC185" s="95"/>
      <c r="KD185" s="95"/>
      <c r="KE185" s="95"/>
      <c r="KF185" s="95"/>
      <c r="KG185" s="95"/>
      <c r="KH185" s="95"/>
      <c r="KI185" s="95"/>
      <c r="KJ185" s="95"/>
      <c r="KK185" s="95"/>
      <c r="KL185" s="95"/>
      <c r="KM185" s="95"/>
      <c r="KN185" s="95"/>
      <c r="KO185" s="95"/>
      <c r="KP185" s="95"/>
      <c r="KQ185" s="95"/>
      <c r="KR185" s="95"/>
      <c r="KS185" s="95"/>
      <c r="KT185" s="95"/>
      <c r="KU185" s="95"/>
      <c r="KV185" s="95"/>
      <c r="KW185" s="95"/>
      <c r="KX185" s="95"/>
      <c r="KY185" s="95"/>
      <c r="KZ185" s="95"/>
      <c r="LA185" s="95"/>
      <c r="LB185" s="95"/>
      <c r="LC185" s="95"/>
      <c r="LD185" s="95"/>
      <c r="LE185" s="95"/>
      <c r="LF185" s="95"/>
      <c r="LG185" s="95"/>
      <c r="LH185" s="95"/>
      <c r="LI185" s="95"/>
      <c r="LJ185" s="95"/>
      <c r="LK185" s="95"/>
      <c r="LL185" s="95"/>
      <c r="LM185" s="95"/>
      <c r="LN185" s="95"/>
      <c r="LO185" s="95"/>
      <c r="LP185" s="95"/>
      <c r="LQ185" s="95"/>
      <c r="LR185" s="95"/>
      <c r="LS185" s="95"/>
      <c r="LT185" s="95"/>
      <c r="LU185" s="95"/>
      <c r="LV185" s="95"/>
      <c r="LW185" s="95"/>
      <c r="LX185" s="95"/>
      <c r="LY185" s="95"/>
      <c r="LZ185" s="95"/>
      <c r="MA185" s="95"/>
      <c r="MB185" s="95"/>
      <c r="MC185" s="95"/>
      <c r="MD185" s="95"/>
      <c r="ME185" s="95"/>
      <c r="MF185" s="95"/>
      <c r="MG185" s="95"/>
      <c r="MH185" s="95"/>
      <c r="MI185" s="95"/>
      <c r="MJ185" s="95"/>
      <c r="MK185" s="95"/>
      <c r="ML185" s="95"/>
      <c r="MM185" s="95"/>
      <c r="MN185" s="95"/>
      <c r="MO185" s="95"/>
      <c r="MP185" s="95"/>
      <c r="MQ185" s="95"/>
      <c r="MR185" s="95"/>
      <c r="MS185" s="95"/>
      <c r="MT185" s="95"/>
      <c r="MU185" s="95"/>
      <c r="MV185" s="95"/>
      <c r="MW185" s="95"/>
      <c r="MX185" s="95"/>
      <c r="MY185" s="95"/>
      <c r="MZ185" s="95"/>
      <c r="NA185" s="95"/>
      <c r="NB185" s="95"/>
      <c r="NC185" s="95"/>
      <c r="ND185" s="95"/>
      <c r="NE185" s="95"/>
      <c r="NF185" s="95"/>
      <c r="NG185" s="95"/>
      <c r="NH185" s="95"/>
      <c r="NI185" s="95"/>
      <c r="NJ185" s="95"/>
      <c r="NK185" s="95"/>
      <c r="NL185" s="95"/>
      <c r="NM185" s="95"/>
      <c r="NN185" s="95"/>
      <c r="NO185" s="95"/>
      <c r="NP185" s="95"/>
      <c r="NQ185" s="95"/>
      <c r="NR185" s="95"/>
      <c r="NS185" s="95"/>
      <c r="NT185" s="95"/>
      <c r="NU185" s="95"/>
      <c r="NV185" s="95"/>
      <c r="NW185" s="95"/>
      <c r="NX185" s="95"/>
      <c r="NY185" s="95"/>
      <c r="NZ185" s="95"/>
      <c r="OA185" s="95"/>
      <c r="OB185" s="95"/>
      <c r="OC185" s="95"/>
      <c r="OD185" s="95"/>
      <c r="OE185" s="95"/>
      <c r="OF185" s="95"/>
      <c r="OG185" s="95"/>
      <c r="OH185" s="95"/>
      <c r="OI185" s="95"/>
      <c r="OJ185" s="95"/>
      <c r="OK185" s="95"/>
      <c r="OL185" s="95"/>
      <c r="OM185" s="95"/>
      <c r="ON185" s="95"/>
      <c r="OO185" s="95"/>
      <c r="OP185" s="95"/>
      <c r="OQ185" s="95"/>
      <c r="OR185" s="95"/>
      <c r="OS185" s="95"/>
      <c r="OT185" s="95"/>
      <c r="OU185" s="95"/>
      <c r="OV185" s="95"/>
      <c r="OW185" s="95"/>
      <c r="OX185" s="95"/>
      <c r="OY185" s="95"/>
      <c r="OZ185" s="95"/>
      <c r="PA185" s="95"/>
      <c r="PB185" s="95"/>
      <c r="PC185" s="95"/>
      <c r="PD185" s="95"/>
      <c r="PE185" s="95"/>
      <c r="PF185" s="95"/>
      <c r="PG185" s="95"/>
      <c r="PH185" s="95"/>
      <c r="PI185" s="95"/>
      <c r="PJ185" s="95"/>
      <c r="PK185" s="95"/>
      <c r="PL185" s="95"/>
      <c r="PM185" s="95"/>
      <c r="PN185" s="95"/>
      <c r="PO185" s="95"/>
      <c r="PP185" s="95"/>
      <c r="PQ185" s="95"/>
      <c r="PR185" s="95"/>
      <c r="PS185" s="95"/>
      <c r="PT185" s="95"/>
      <c r="PU185" s="95"/>
      <c r="PV185" s="95"/>
      <c r="PW185" s="95"/>
      <c r="PX185" s="95"/>
      <c r="PY185" s="95"/>
      <c r="PZ185" s="95"/>
      <c r="QA185" s="95"/>
      <c r="QB185" s="95"/>
      <c r="QC185" s="95"/>
      <c r="QD185" s="95"/>
      <c r="QE185" s="95"/>
      <c r="QF185" s="95"/>
      <c r="QG185" s="95"/>
      <c r="QH185" s="95"/>
      <c r="QI185" s="95"/>
      <c r="QJ185" s="95"/>
      <c r="QK185" s="95"/>
      <c r="QL185" s="95"/>
      <c r="QM185" s="95"/>
      <c r="QN185" s="95"/>
      <c r="QO185" s="95"/>
      <c r="QP185" s="95"/>
      <c r="QQ185" s="95"/>
      <c r="QR185" s="95"/>
      <c r="QS185" s="95"/>
      <c r="QT185" s="95"/>
      <c r="QU185" s="95"/>
      <c r="QV185" s="95"/>
      <c r="QW185" s="95"/>
      <c r="QX185" s="95"/>
      <c r="QY185" s="95"/>
      <c r="QZ185" s="95"/>
      <c r="RA185" s="95"/>
      <c r="RB185" s="95"/>
      <c r="RC185" s="95"/>
      <c r="RD185" s="95"/>
      <c r="RE185" s="95"/>
      <c r="RF185" s="95"/>
      <c r="RG185" s="95"/>
      <c r="RH185" s="95"/>
      <c r="RI185" s="95"/>
      <c r="RJ185" s="95"/>
      <c r="RK185" s="95"/>
      <c r="RL185" s="95"/>
      <c r="RM185" s="95"/>
      <c r="RN185" s="95"/>
      <c r="RO185" s="95"/>
      <c r="RP185" s="95"/>
      <c r="RQ185" s="95"/>
      <c r="RR185" s="95"/>
      <c r="RS185" s="95"/>
      <c r="RT185" s="95"/>
      <c r="RU185" s="95"/>
      <c r="RV185" s="95"/>
      <c r="RW185" s="95"/>
      <c r="RX185" s="95"/>
      <c r="RY185" s="95"/>
      <c r="RZ185" s="95"/>
      <c r="SA185" s="95"/>
      <c r="SB185" s="95"/>
      <c r="SC185" s="95"/>
      <c r="SD185" s="95"/>
      <c r="SE185" s="95"/>
      <c r="SF185" s="95"/>
      <c r="SG185" s="95"/>
      <c r="SH185" s="95"/>
      <c r="SI185" s="95"/>
      <c r="SJ185" s="95"/>
      <c r="SK185" s="95"/>
      <c r="SL185" s="95"/>
      <c r="SM185" s="95"/>
      <c r="SN185" s="95"/>
      <c r="SO185" s="95"/>
      <c r="SP185" s="95"/>
      <c r="SQ185" s="95"/>
      <c r="SR185" s="95"/>
      <c r="SS185" s="95"/>
      <c r="ST185" s="95"/>
      <c r="SU185" s="95"/>
      <c r="SV185" s="95"/>
      <c r="SW185" s="95"/>
      <c r="SX185" s="95"/>
      <c r="SY185" s="95"/>
      <c r="SZ185" s="95"/>
      <c r="TA185" s="95"/>
      <c r="TB185" s="95"/>
      <c r="TC185" s="95"/>
      <c r="TD185" s="95"/>
      <c r="TE185" s="95"/>
      <c r="TF185" s="95"/>
      <c r="TG185" s="95"/>
      <c r="TH185" s="95"/>
      <c r="TI185" s="95"/>
      <c r="TJ185" s="95"/>
      <c r="TK185" s="95"/>
      <c r="TL185" s="95"/>
      <c r="TM185" s="95"/>
      <c r="TN185" s="95"/>
      <c r="TO185" s="95"/>
      <c r="TP185" s="95"/>
      <c r="TQ185" s="95"/>
      <c r="TR185" s="95"/>
      <c r="TS185" s="95"/>
      <c r="TT185" s="95"/>
      <c r="TU185" s="95"/>
      <c r="TV185" s="95"/>
      <c r="TW185" s="95"/>
      <c r="TX185" s="95"/>
      <c r="TY185" s="95"/>
      <c r="TZ185" s="95"/>
      <c r="UA185" s="95"/>
      <c r="UB185" s="95"/>
      <c r="UC185" s="95"/>
      <c r="UD185" s="95"/>
      <c r="UE185" s="95"/>
      <c r="UF185" s="95"/>
      <c r="UG185" s="95"/>
      <c r="UH185" s="95"/>
      <c r="UI185" s="95"/>
      <c r="UJ185" s="95"/>
      <c r="UK185" s="95"/>
      <c r="UL185" s="95"/>
      <c r="UM185" s="95"/>
      <c r="UN185" s="95"/>
      <c r="UO185" s="95"/>
      <c r="UP185" s="95"/>
      <c r="UQ185" s="95"/>
      <c r="UR185" s="95"/>
      <c r="US185" s="95"/>
      <c r="UT185" s="95"/>
      <c r="UU185" s="95"/>
      <c r="UV185" s="95"/>
      <c r="UW185" s="95"/>
      <c r="UX185" s="95"/>
      <c r="UY185" s="95"/>
      <c r="UZ185" s="95"/>
      <c r="VA185" s="95"/>
      <c r="VB185" s="95"/>
      <c r="VC185" s="95"/>
      <c r="VD185" s="95"/>
      <c r="VE185" s="95"/>
      <c r="VF185" s="95"/>
      <c r="VG185" s="95"/>
      <c r="VH185" s="95"/>
      <c r="VI185" s="95"/>
      <c r="VJ185" s="95"/>
      <c r="VK185" s="95"/>
      <c r="VL185" s="95"/>
      <c r="VM185" s="95"/>
      <c r="VN185" s="95"/>
      <c r="VO185" s="95"/>
      <c r="VP185" s="95"/>
      <c r="VQ185" s="95"/>
      <c r="VR185" s="95"/>
      <c r="VS185" s="95"/>
      <c r="VT185" s="95"/>
      <c r="VU185" s="95"/>
      <c r="VV185" s="95"/>
      <c r="VW185" s="95"/>
      <c r="VX185" s="95"/>
      <c r="VY185" s="95"/>
      <c r="VZ185" s="95"/>
      <c r="WA185" s="95"/>
      <c r="WB185" s="95"/>
      <c r="WC185" s="95"/>
      <c r="WD185" s="95"/>
      <c r="WE185" s="95"/>
      <c r="WF185" s="95"/>
      <c r="WG185" s="95"/>
      <c r="WH185" s="95"/>
      <c r="WI185" s="95"/>
      <c r="WJ185" s="95"/>
      <c r="WK185" s="95"/>
      <c r="WL185" s="95"/>
      <c r="WM185" s="95"/>
      <c r="WN185" s="95"/>
      <c r="WO185" s="95"/>
      <c r="WP185" s="95"/>
      <c r="WQ185" s="95"/>
      <c r="WR185" s="95"/>
      <c r="WS185" s="95"/>
      <c r="WT185" s="95"/>
      <c r="WU185" s="95"/>
      <c r="WV185" s="95"/>
      <c r="WW185" s="95"/>
      <c r="WX185" s="95"/>
      <c r="WY185" s="95"/>
      <c r="WZ185" s="95"/>
      <c r="XA185" s="95"/>
      <c r="XB185" s="95"/>
      <c r="XC185" s="95"/>
      <c r="XD185" s="95"/>
      <c r="XE185" s="95"/>
      <c r="XF185" s="95"/>
      <c r="XG185" s="95"/>
      <c r="XH185" s="95"/>
      <c r="XI185" s="95"/>
      <c r="XJ185" s="95"/>
      <c r="XK185" s="95"/>
      <c r="XL185" s="95"/>
      <c r="XM185" s="95"/>
      <c r="XN185" s="95"/>
      <c r="XO185" s="95"/>
      <c r="XP185" s="95"/>
      <c r="XQ185" s="95"/>
      <c r="XR185" s="95"/>
      <c r="XS185" s="95"/>
      <c r="XT185" s="95"/>
      <c r="XU185" s="95"/>
      <c r="XV185" s="95"/>
      <c r="XW185" s="95"/>
      <c r="XX185" s="95"/>
      <c r="XY185" s="95"/>
      <c r="XZ185" s="95"/>
      <c r="YA185" s="95"/>
      <c r="YB185" s="95"/>
      <c r="YC185" s="95"/>
      <c r="YD185" s="95"/>
      <c r="YE185" s="95"/>
      <c r="YF185" s="95"/>
      <c r="YG185" s="95"/>
      <c r="YH185" s="95"/>
      <c r="YI185" s="95"/>
      <c r="YJ185" s="95"/>
      <c r="YK185" s="95"/>
      <c r="YL185" s="95"/>
      <c r="YM185" s="95"/>
      <c r="YN185" s="95"/>
      <c r="YO185" s="95"/>
      <c r="YP185" s="95"/>
      <c r="YQ185" s="95"/>
      <c r="YR185" s="95"/>
      <c r="YS185" s="95"/>
      <c r="YT185" s="95"/>
      <c r="YU185" s="95"/>
      <c r="YV185" s="95"/>
      <c r="YW185" s="95"/>
      <c r="YX185" s="95"/>
      <c r="YY185" s="95"/>
      <c r="YZ185" s="95"/>
      <c r="ZA185" s="95"/>
      <c r="ZB185" s="95"/>
      <c r="ZC185" s="95"/>
      <c r="ZD185" s="95"/>
      <c r="ZE185" s="95"/>
      <c r="ZF185" s="95"/>
      <c r="ZG185" s="95"/>
      <c r="ZH185" s="95"/>
      <c r="ZI185" s="95"/>
      <c r="ZJ185" s="95"/>
      <c r="ZK185" s="95"/>
      <c r="ZL185" s="95"/>
      <c r="ZM185" s="95"/>
      <c r="ZN185" s="95"/>
      <c r="ZO185" s="95"/>
      <c r="ZP185" s="95"/>
      <c r="ZQ185" s="95"/>
      <c r="ZR185" s="95"/>
      <c r="ZS185" s="95"/>
      <c r="ZT185" s="95"/>
      <c r="ZU185" s="95"/>
      <c r="ZV185" s="95"/>
      <c r="ZW185" s="95"/>
      <c r="ZX185" s="95"/>
      <c r="ZY185" s="95"/>
      <c r="ZZ185" s="95"/>
      <c r="AAA185" s="95"/>
      <c r="AAB185" s="95"/>
      <c r="AAC185" s="95"/>
      <c r="AAD185" s="95"/>
      <c r="AAE185" s="95"/>
      <c r="AAF185" s="95"/>
      <c r="AAG185" s="95"/>
      <c r="AAH185" s="95"/>
      <c r="AAI185" s="95"/>
      <c r="AAJ185" s="95"/>
      <c r="AAK185" s="95"/>
      <c r="AAL185" s="95"/>
      <c r="AAM185" s="95"/>
      <c r="AAN185" s="95"/>
      <c r="AAO185" s="95"/>
      <c r="AAP185" s="95"/>
      <c r="AAQ185" s="95"/>
      <c r="AAR185" s="95"/>
      <c r="AAS185" s="95"/>
      <c r="AAT185" s="95"/>
      <c r="AAU185" s="95"/>
      <c r="AAV185" s="95"/>
      <c r="AAW185" s="95"/>
      <c r="AAX185" s="95"/>
      <c r="AAY185" s="95"/>
      <c r="AAZ185" s="95"/>
      <c r="ABA185" s="95"/>
      <c r="ABB185" s="95"/>
      <c r="ABC185" s="95"/>
      <c r="ABD185" s="95"/>
      <c r="ABE185" s="95"/>
      <c r="ABF185" s="95"/>
      <c r="ABG185" s="95"/>
      <c r="ABH185" s="95"/>
      <c r="ABI185" s="95"/>
      <c r="ABJ185" s="95"/>
      <c r="ABK185" s="95"/>
      <c r="ABL185" s="95"/>
      <c r="ABM185" s="95"/>
      <c r="ABN185" s="95"/>
      <c r="ABO185" s="95"/>
      <c r="ABP185" s="95"/>
      <c r="ABQ185" s="95"/>
      <c r="ABR185" s="95"/>
      <c r="ABS185" s="95"/>
      <c r="ABT185" s="95"/>
      <c r="ABU185" s="95"/>
      <c r="ABV185" s="95"/>
      <c r="ABW185" s="95"/>
      <c r="ABX185" s="95"/>
      <c r="ABY185" s="95"/>
      <c r="ABZ185" s="95"/>
      <c r="ACA185" s="95"/>
      <c r="ACB185" s="95"/>
      <c r="ACC185" s="95"/>
      <c r="ACD185" s="95"/>
      <c r="ACE185" s="95"/>
      <c r="ACF185" s="95"/>
      <c r="ACG185" s="95"/>
      <c r="ACH185" s="95"/>
      <c r="ACI185" s="95"/>
      <c r="ACJ185" s="95"/>
      <c r="ACK185" s="95"/>
      <c r="ACL185" s="95"/>
      <c r="ACM185" s="95"/>
      <c r="ACN185" s="95"/>
      <c r="ACO185" s="95"/>
      <c r="ACP185" s="95"/>
      <c r="ACQ185" s="95"/>
      <c r="ACR185" s="95"/>
      <c r="ACS185" s="95"/>
      <c r="ACT185" s="95"/>
      <c r="ACU185" s="95"/>
      <c r="ACV185" s="95"/>
      <c r="ACW185" s="95"/>
      <c r="ACX185" s="95"/>
      <c r="ACY185" s="95"/>
      <c r="ACZ185" s="95"/>
      <c r="ADA185" s="95"/>
      <c r="ADB185" s="95"/>
      <c r="ADC185" s="95"/>
      <c r="ADD185" s="95"/>
      <c r="ADE185" s="95"/>
      <c r="ADF185" s="95"/>
      <c r="ADG185" s="95"/>
      <c r="ADH185" s="95"/>
      <c r="ADI185" s="95"/>
      <c r="ADJ185" s="95"/>
      <c r="ADK185" s="95"/>
      <c r="ADL185" s="95"/>
      <c r="ADM185" s="95"/>
      <c r="ADN185" s="95"/>
      <c r="ADO185" s="95"/>
      <c r="ADP185" s="95"/>
      <c r="ADQ185" s="95"/>
      <c r="ADR185" s="95"/>
      <c r="ADS185" s="95"/>
      <c r="ADT185" s="95"/>
      <c r="ADU185" s="95"/>
      <c r="ADV185" s="95"/>
      <c r="ADW185" s="95"/>
      <c r="ADX185" s="95"/>
      <c r="ADY185" s="95"/>
      <c r="ADZ185" s="95"/>
      <c r="AEA185" s="95"/>
      <c r="AEB185" s="95"/>
      <c r="AEC185" s="95"/>
      <c r="AED185" s="95"/>
      <c r="AEE185" s="95"/>
      <c r="AEF185" s="95"/>
      <c r="AEG185" s="95"/>
      <c r="AEH185" s="95"/>
      <c r="AEI185" s="95"/>
      <c r="AEJ185" s="95"/>
      <c r="AEK185" s="95"/>
      <c r="AEL185" s="95"/>
      <c r="AEM185" s="95"/>
      <c r="AEN185" s="95"/>
      <c r="AEO185" s="95"/>
      <c r="AEP185" s="95"/>
      <c r="AEQ185" s="95"/>
      <c r="AER185" s="95"/>
      <c r="AES185" s="95"/>
      <c r="AET185" s="95"/>
      <c r="AEU185" s="95"/>
      <c r="AEV185" s="95"/>
      <c r="AEW185" s="95"/>
      <c r="AEX185" s="95"/>
      <c r="AEY185" s="95"/>
      <c r="AEZ185" s="95"/>
      <c r="AFA185" s="95"/>
      <c r="AFB185" s="95"/>
      <c r="AFC185" s="95"/>
      <c r="AFD185" s="95"/>
      <c r="AFE185" s="95"/>
      <c r="AFF185" s="95"/>
      <c r="AFG185" s="95"/>
      <c r="AFH185" s="95"/>
      <c r="AFI185" s="95"/>
      <c r="AFJ185" s="95"/>
      <c r="AFK185" s="95"/>
      <c r="AFL185" s="95"/>
      <c r="AFM185" s="95"/>
      <c r="AFN185" s="95"/>
      <c r="AFO185" s="95"/>
      <c r="AFP185" s="95"/>
      <c r="AFQ185" s="95"/>
      <c r="AFR185" s="95"/>
      <c r="AFS185" s="95"/>
      <c r="AFT185" s="95"/>
      <c r="AFU185" s="95"/>
      <c r="AFV185" s="95"/>
      <c r="AFW185" s="95"/>
      <c r="AFX185" s="95"/>
      <c r="AFY185" s="95"/>
      <c r="AFZ185" s="95"/>
      <c r="AGA185" s="95"/>
      <c r="AGB185" s="95"/>
      <c r="AGC185" s="95"/>
      <c r="AGD185" s="95"/>
      <c r="AGE185" s="95"/>
      <c r="AGF185" s="95"/>
      <c r="AGG185" s="95"/>
      <c r="AGH185" s="95"/>
      <c r="AGI185" s="95"/>
      <c r="AGJ185" s="95"/>
      <c r="AGK185" s="95"/>
      <c r="AGL185" s="95"/>
      <c r="AGM185" s="95"/>
      <c r="AGN185" s="95"/>
      <c r="AGO185" s="95"/>
      <c r="AGP185" s="95"/>
      <c r="AGQ185" s="95"/>
      <c r="AGR185" s="95"/>
      <c r="AGS185" s="95"/>
      <c r="AGT185" s="95"/>
      <c r="AGU185" s="95"/>
      <c r="AGV185" s="95"/>
      <c r="AGW185" s="95"/>
      <c r="AGX185" s="95"/>
      <c r="AGY185" s="95"/>
      <c r="AGZ185" s="95"/>
      <c r="AHA185" s="95"/>
      <c r="AHB185" s="95"/>
      <c r="AHC185" s="95"/>
    </row>
    <row r="186" spans="1:887" ht="20.100000000000001" customHeight="1">
      <c r="A186" s="198" t="str">
        <f>VLOOKUP(C186,'BASE DE DADOS'!A:B,2,FALSE)</f>
        <v>PREPARA</v>
      </c>
      <c r="B186" s="199" t="s">
        <v>632</v>
      </c>
      <c r="C186" s="198" t="s">
        <v>633</v>
      </c>
      <c r="D186" s="232">
        <v>55595.9</v>
      </c>
      <c r="E186" s="232"/>
      <c r="F186" s="233"/>
      <c r="G186" s="200"/>
      <c r="H186" s="201"/>
      <c r="I186" s="201"/>
      <c r="J186" s="201" t="s">
        <v>1743</v>
      </c>
      <c r="K186" s="201"/>
      <c r="L186" s="157"/>
      <c r="M186" s="169"/>
      <c r="N186" s="201"/>
      <c r="O186" s="201"/>
      <c r="P186" s="157"/>
      <c r="Q186" s="203" t="s">
        <v>2981</v>
      </c>
    </row>
    <row r="187" spans="1:887" ht="20.100000000000001" customHeight="1">
      <c r="A187" s="198" t="str">
        <f>VLOOKUP(C187,'BASE DE DADOS'!A:B,2,FALSE)</f>
        <v>PREPARA</v>
      </c>
      <c r="B187" s="199" t="s">
        <v>791</v>
      </c>
      <c r="C187" s="198" t="s">
        <v>792</v>
      </c>
      <c r="D187" s="232">
        <v>26152.51</v>
      </c>
      <c r="E187" s="232"/>
      <c r="F187" s="233"/>
      <c r="G187" s="200"/>
      <c r="H187" s="201"/>
      <c r="I187" s="201"/>
      <c r="J187" s="201" t="s">
        <v>1743</v>
      </c>
      <c r="K187" s="201"/>
      <c r="L187" s="157"/>
      <c r="M187" s="169"/>
      <c r="N187" s="201"/>
      <c r="O187" s="201"/>
      <c r="P187" s="157"/>
      <c r="Q187" s="203" t="s">
        <v>2982</v>
      </c>
    </row>
    <row r="188" spans="1:887" ht="20.100000000000001" customHeight="1">
      <c r="A188" s="191" t="str">
        <f>VLOOKUP(C188,'BASE DE DADOS'!A:B,2,FALSE)</f>
        <v>PREPARA</v>
      </c>
      <c r="B188" s="90" t="s">
        <v>1806</v>
      </c>
      <c r="C188" s="191" t="s">
        <v>1807</v>
      </c>
      <c r="D188" s="227">
        <v>150300.23000000001</v>
      </c>
      <c r="E188" s="227">
        <v>34573.83</v>
      </c>
      <c r="F188" s="228"/>
      <c r="G188" s="192"/>
      <c r="H188" s="193"/>
      <c r="I188" s="193"/>
      <c r="J188" s="193"/>
      <c r="K188" s="193"/>
      <c r="L188" s="64"/>
      <c r="M188" s="61"/>
      <c r="N188" s="193" t="s">
        <v>1743</v>
      </c>
      <c r="O188" s="202">
        <v>45638</v>
      </c>
      <c r="P188" s="146" t="s">
        <v>2911</v>
      </c>
      <c r="Q188" s="195" t="s">
        <v>2912</v>
      </c>
    </row>
    <row r="189" spans="1:887" ht="20.100000000000001" customHeight="1">
      <c r="A189" s="191" t="str">
        <f>VLOOKUP(C189,'BASE DE DADOS'!A:B,2,FALSE)</f>
        <v>PREPARA</v>
      </c>
      <c r="B189" s="90" t="s">
        <v>1806</v>
      </c>
      <c r="C189" s="191" t="s">
        <v>1807</v>
      </c>
      <c r="D189" s="227"/>
      <c r="E189" s="227">
        <v>9665.1</v>
      </c>
      <c r="F189" s="228"/>
      <c r="G189" s="192"/>
      <c r="H189" s="193"/>
      <c r="I189" s="193"/>
      <c r="J189" s="193"/>
      <c r="K189" s="193"/>
      <c r="L189" s="64"/>
      <c r="M189" s="61"/>
      <c r="N189" s="193" t="s">
        <v>1743</v>
      </c>
      <c r="O189" s="202">
        <v>45644</v>
      </c>
      <c r="P189" s="145" t="s">
        <v>2909</v>
      </c>
      <c r="Q189" s="195" t="s">
        <v>2910</v>
      </c>
    </row>
    <row r="190" spans="1:887" ht="20.100000000000001" customHeight="1">
      <c r="A190" s="191" t="str">
        <f>VLOOKUP(C190,'BASE DE DADOS'!A:B,2,FALSE)</f>
        <v>PREPARA INATIVOS</v>
      </c>
      <c r="B190" s="90" t="s">
        <v>322</v>
      </c>
      <c r="C190" s="191" t="s">
        <v>323</v>
      </c>
      <c r="D190" s="227">
        <v>191988.9</v>
      </c>
      <c r="E190" s="227">
        <v>223977.60000000001</v>
      </c>
      <c r="F190" s="228"/>
      <c r="G190" s="192"/>
      <c r="H190" s="193"/>
      <c r="I190" s="193"/>
      <c r="J190" s="193"/>
      <c r="K190" s="193"/>
      <c r="L190" s="193"/>
      <c r="M190" s="61"/>
      <c r="N190" s="193" t="s">
        <v>1743</v>
      </c>
      <c r="O190" s="202">
        <v>45618</v>
      </c>
      <c r="P190" s="146" t="s">
        <v>2913</v>
      </c>
      <c r="Q190" s="203" t="s">
        <v>2730</v>
      </c>
    </row>
    <row r="191" spans="1:887" ht="20.100000000000001" customHeight="1">
      <c r="A191" s="191" t="str">
        <f>VLOOKUP(C191,'BASE DE DADOS'!A:B,2,FALSE)</f>
        <v>PREPARA INATIVOS</v>
      </c>
      <c r="B191" s="90" t="s">
        <v>322</v>
      </c>
      <c r="C191" s="191" t="s">
        <v>323</v>
      </c>
      <c r="D191" s="227"/>
      <c r="E191" s="227">
        <v>3361.24</v>
      </c>
      <c r="F191" s="228"/>
      <c r="G191" s="192"/>
      <c r="H191" s="193"/>
      <c r="I191" s="193"/>
      <c r="J191" s="193"/>
      <c r="K191" s="193"/>
      <c r="L191" s="193"/>
      <c r="M191" s="61"/>
      <c r="N191" s="193" t="s">
        <v>1743</v>
      </c>
      <c r="O191" s="202">
        <v>45621</v>
      </c>
      <c r="P191" s="145" t="s">
        <v>2914</v>
      </c>
      <c r="Q191" s="203" t="s">
        <v>2731</v>
      </c>
    </row>
    <row r="192" spans="1:887" ht="20.100000000000001" customHeight="1">
      <c r="A192" s="191" t="str">
        <f>VLOOKUP(C192,'BASE DE DADOS'!A:B,2,FALSE)</f>
        <v>PREPARA INATIVOS</v>
      </c>
      <c r="B192" s="90" t="s">
        <v>1922</v>
      </c>
      <c r="C192" s="191" t="s">
        <v>1923</v>
      </c>
      <c r="D192" s="227">
        <v>23169.65</v>
      </c>
      <c r="E192" s="227">
        <v>35358.199999999997</v>
      </c>
      <c r="F192" s="228"/>
      <c r="G192" s="192"/>
      <c r="H192" s="193"/>
      <c r="I192" s="193"/>
      <c r="J192" s="193"/>
      <c r="K192" s="193"/>
      <c r="L192" s="193"/>
      <c r="M192" s="61"/>
      <c r="N192" s="193" t="s">
        <v>1743</v>
      </c>
      <c r="O192" s="202">
        <v>45497</v>
      </c>
      <c r="P192" s="146" t="s">
        <v>2916</v>
      </c>
      <c r="Q192" s="195" t="s">
        <v>2915</v>
      </c>
    </row>
    <row r="193" spans="1:887" ht="20.100000000000001" customHeight="1">
      <c r="A193" s="191" t="str">
        <f>VLOOKUP(C193,'BASE DE DADOS'!A:B,2,FALSE)</f>
        <v>ENSINA MAIS INATIVOS</v>
      </c>
      <c r="B193" s="90" t="s">
        <v>128</v>
      </c>
      <c r="C193" s="191" t="s">
        <v>2125</v>
      </c>
      <c r="D193" s="227">
        <v>207816.15</v>
      </c>
      <c r="E193" s="227">
        <v>12113.38</v>
      </c>
      <c r="F193" s="228"/>
      <c r="G193" s="192"/>
      <c r="H193" s="193"/>
      <c r="I193" s="193"/>
      <c r="J193" s="193"/>
      <c r="K193" s="193"/>
      <c r="L193" s="193"/>
      <c r="M193" s="61"/>
      <c r="N193" s="193" t="s">
        <v>1743</v>
      </c>
      <c r="O193" s="202">
        <v>45687</v>
      </c>
      <c r="P193" s="145" t="s">
        <v>2919</v>
      </c>
      <c r="Q193" s="195" t="s">
        <v>2918</v>
      </c>
    </row>
    <row r="194" spans="1:887" ht="20.100000000000001" customHeight="1">
      <c r="A194" s="191" t="str">
        <f>VLOOKUP(C194,'BASE DE DADOS'!A:B,2,FALSE)</f>
        <v>ENSINA MAIS INATIVOS</v>
      </c>
      <c r="B194" s="90" t="s">
        <v>128</v>
      </c>
      <c r="C194" s="191" t="s">
        <v>2125</v>
      </c>
      <c r="D194" s="227"/>
      <c r="E194" s="227">
        <v>187314.19</v>
      </c>
      <c r="F194" s="228"/>
      <c r="G194" s="121"/>
      <c r="H194" s="64"/>
      <c r="I194" s="193"/>
      <c r="J194" s="193"/>
      <c r="K194" s="193"/>
      <c r="L194" s="64"/>
      <c r="M194" s="61"/>
      <c r="N194" s="193" t="s">
        <v>1743</v>
      </c>
      <c r="O194" s="202">
        <v>45576</v>
      </c>
      <c r="P194" s="146" t="s">
        <v>2917</v>
      </c>
      <c r="Q194" s="195" t="s">
        <v>2715</v>
      </c>
    </row>
    <row r="195" spans="1:887" ht="20.100000000000001" customHeight="1">
      <c r="A195" s="191" t="str">
        <f>VLOOKUP(C195,'BASE DE DADOS'!A:B,2,FALSE)</f>
        <v>ENSINA MAIS INATIVOS</v>
      </c>
      <c r="B195" s="90" t="s">
        <v>128</v>
      </c>
      <c r="C195" s="191" t="s">
        <v>2125</v>
      </c>
      <c r="D195" s="227"/>
      <c r="E195" s="227">
        <v>7058.13</v>
      </c>
      <c r="F195" s="228"/>
      <c r="G195" s="121"/>
      <c r="H195" s="64"/>
      <c r="I195" s="193"/>
      <c r="J195" s="193"/>
      <c r="K195" s="193"/>
      <c r="L195" s="64"/>
      <c r="M195" s="61"/>
      <c r="N195" s="193" t="s">
        <v>1743</v>
      </c>
      <c r="O195" s="202">
        <v>45538</v>
      </c>
      <c r="P195" s="145" t="s">
        <v>2920</v>
      </c>
      <c r="Q195" s="195" t="s">
        <v>2699</v>
      </c>
    </row>
    <row r="196" spans="1:887" ht="20.100000000000001" customHeight="1">
      <c r="A196" s="236" t="str">
        <f>VLOOKUP(C196,'BASE DE DADOS'!A:B,2,FALSE)</f>
        <v>PREPARA INATIVOS</v>
      </c>
      <c r="B196" s="237" t="s">
        <v>1973</v>
      </c>
      <c r="C196" s="242" t="s">
        <v>1974</v>
      </c>
      <c r="D196" s="236">
        <v>29027.91</v>
      </c>
      <c r="E196" s="236"/>
      <c r="F196" s="241"/>
      <c r="G196" s="240"/>
      <c r="H196" s="86"/>
      <c r="I196" s="241"/>
      <c r="J196" s="241"/>
      <c r="K196" s="241"/>
      <c r="L196" s="241"/>
      <c r="M196" s="241" t="s">
        <v>1743</v>
      </c>
      <c r="N196" s="241"/>
      <c r="O196" s="241"/>
      <c r="P196" s="86"/>
      <c r="Q196" s="195" t="s">
        <v>3547</v>
      </c>
    </row>
    <row r="197" spans="1:887" s="72" customFormat="1" ht="20.100000000000001" customHeight="1">
      <c r="A197" s="219" t="str">
        <f>VLOOKUP(C197,'BASE DE DADOS'!A:B,2,FALSE)</f>
        <v>PREPARA INATIVOS</v>
      </c>
      <c r="B197" s="92" t="s">
        <v>491</v>
      </c>
      <c r="C197" s="219" t="s">
        <v>492</v>
      </c>
      <c r="D197" s="229">
        <v>5072.74</v>
      </c>
      <c r="E197" s="219"/>
      <c r="F197" s="221"/>
      <c r="G197" s="220"/>
      <c r="H197" s="221"/>
      <c r="I197" s="85"/>
      <c r="J197" s="85"/>
      <c r="K197" s="221"/>
      <c r="L197" s="221"/>
      <c r="M197" s="221"/>
      <c r="N197" s="221"/>
      <c r="O197" s="243"/>
      <c r="P197" s="149"/>
      <c r="Q197" s="226" t="s">
        <v>2632</v>
      </c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/>
      <c r="BI197" s="95"/>
      <c r="BJ197" s="95"/>
      <c r="BK197" s="95"/>
      <c r="BL197" s="95"/>
      <c r="BM197" s="95"/>
      <c r="BN197" s="95"/>
      <c r="BO197" s="95"/>
      <c r="BP197" s="95"/>
      <c r="BQ197" s="95"/>
      <c r="BR197" s="95"/>
      <c r="BS197" s="95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5"/>
      <c r="CE197" s="95"/>
      <c r="CF197" s="95"/>
      <c r="CG197" s="95"/>
      <c r="CH197" s="95"/>
      <c r="CI197" s="95"/>
      <c r="CJ197" s="95"/>
      <c r="CK197" s="95"/>
      <c r="CL197" s="95"/>
      <c r="CM197" s="95"/>
      <c r="CN197" s="95"/>
      <c r="CO197" s="95"/>
      <c r="CP197" s="95"/>
      <c r="CQ197" s="95"/>
      <c r="CR197" s="95"/>
      <c r="CS197" s="95"/>
      <c r="CT197" s="95"/>
      <c r="CU197" s="95"/>
      <c r="CV197" s="95"/>
      <c r="CW197" s="95"/>
      <c r="CX197" s="95"/>
      <c r="CY197" s="95"/>
      <c r="CZ197" s="95"/>
      <c r="DA197" s="95"/>
      <c r="DB197" s="95"/>
      <c r="DC197" s="95"/>
      <c r="DD197" s="95"/>
      <c r="DE197" s="95"/>
      <c r="DF197" s="95"/>
      <c r="DG197" s="95"/>
      <c r="DH197" s="95"/>
      <c r="DI197" s="95"/>
      <c r="DJ197" s="95"/>
      <c r="DK197" s="95"/>
      <c r="DL197" s="95"/>
      <c r="DM197" s="95"/>
      <c r="DN197" s="95"/>
      <c r="DO197" s="95"/>
      <c r="DP197" s="95"/>
      <c r="DQ197" s="95"/>
      <c r="DR197" s="95"/>
      <c r="DS197" s="95"/>
      <c r="DT197" s="95"/>
      <c r="DU197" s="95"/>
      <c r="DV197" s="95"/>
      <c r="DW197" s="95"/>
      <c r="DX197" s="95"/>
      <c r="DY197" s="95"/>
      <c r="DZ197" s="95"/>
      <c r="EA197" s="95"/>
      <c r="EB197" s="95"/>
      <c r="EC197" s="95"/>
      <c r="ED197" s="95"/>
      <c r="EE197" s="95"/>
      <c r="EF197" s="95"/>
      <c r="EG197" s="95"/>
      <c r="EH197" s="95"/>
      <c r="EI197" s="95"/>
      <c r="EJ197" s="95"/>
      <c r="EK197" s="95"/>
      <c r="EL197" s="95"/>
      <c r="EM197" s="95"/>
      <c r="EN197" s="95"/>
      <c r="EO197" s="95"/>
      <c r="EP197" s="95"/>
      <c r="EQ197" s="95"/>
      <c r="ER197" s="95"/>
      <c r="ES197" s="95"/>
      <c r="ET197" s="95"/>
      <c r="EU197" s="95"/>
      <c r="EV197" s="95"/>
      <c r="EW197" s="95"/>
      <c r="EX197" s="95"/>
      <c r="EY197" s="95"/>
      <c r="EZ197" s="95"/>
      <c r="FA197" s="95"/>
      <c r="FB197" s="95"/>
      <c r="FC197" s="95"/>
      <c r="FD197" s="95"/>
      <c r="FE197" s="95"/>
      <c r="FF197" s="95"/>
      <c r="FG197" s="95"/>
      <c r="FH197" s="95"/>
      <c r="FI197" s="95"/>
      <c r="FJ197" s="95"/>
      <c r="FK197" s="95"/>
      <c r="FL197" s="95"/>
      <c r="FM197" s="95"/>
      <c r="FN197" s="95"/>
      <c r="FO197" s="95"/>
      <c r="FP197" s="95"/>
      <c r="FQ197" s="95"/>
      <c r="FR197" s="95"/>
      <c r="FS197" s="95"/>
      <c r="FT197" s="95"/>
      <c r="FU197" s="95"/>
      <c r="FV197" s="95"/>
      <c r="FW197" s="95"/>
      <c r="FX197" s="95"/>
      <c r="FY197" s="95"/>
      <c r="FZ197" s="95"/>
      <c r="GA197" s="95"/>
      <c r="GB197" s="95"/>
      <c r="GC197" s="95"/>
      <c r="GD197" s="95"/>
      <c r="GE197" s="95"/>
      <c r="GF197" s="95"/>
      <c r="GG197" s="95"/>
      <c r="GH197" s="95"/>
      <c r="GI197" s="95"/>
      <c r="GJ197" s="95"/>
      <c r="GK197" s="95"/>
      <c r="GL197" s="95"/>
      <c r="GM197" s="95"/>
      <c r="GN197" s="95"/>
      <c r="GO197" s="95"/>
      <c r="GP197" s="95"/>
      <c r="GQ197" s="95"/>
      <c r="GR197" s="95"/>
      <c r="GS197" s="95"/>
      <c r="GT197" s="95"/>
      <c r="GU197" s="95"/>
      <c r="GV197" s="95"/>
      <c r="GW197" s="95"/>
      <c r="GX197" s="95"/>
      <c r="GY197" s="95"/>
      <c r="GZ197" s="95"/>
      <c r="HA197" s="95"/>
      <c r="HB197" s="95"/>
      <c r="HC197" s="95"/>
      <c r="HD197" s="95"/>
      <c r="HE197" s="95"/>
      <c r="HF197" s="95"/>
      <c r="HG197" s="95"/>
      <c r="HH197" s="95"/>
      <c r="HI197" s="95"/>
      <c r="HJ197" s="95"/>
      <c r="HK197" s="95"/>
      <c r="HL197" s="95"/>
      <c r="HM197" s="95"/>
      <c r="HN197" s="95"/>
      <c r="HO197" s="95"/>
      <c r="HP197" s="95"/>
      <c r="HQ197" s="95"/>
      <c r="HR197" s="95"/>
      <c r="HS197" s="95"/>
      <c r="HT197" s="95"/>
      <c r="HU197" s="95"/>
      <c r="HV197" s="95"/>
      <c r="HW197" s="95"/>
      <c r="HX197" s="95"/>
      <c r="HY197" s="95"/>
      <c r="HZ197" s="95"/>
      <c r="IA197" s="95"/>
      <c r="IB197" s="95"/>
      <c r="IC197" s="95"/>
      <c r="ID197" s="95"/>
      <c r="IE197" s="95"/>
      <c r="IF197" s="95"/>
      <c r="IG197" s="95"/>
      <c r="IH197" s="95"/>
      <c r="II197" s="95"/>
      <c r="IJ197" s="95"/>
      <c r="IK197" s="95"/>
      <c r="IL197" s="95"/>
      <c r="IM197" s="95"/>
      <c r="IN197" s="95"/>
      <c r="IO197" s="95"/>
      <c r="IP197" s="95"/>
      <c r="IQ197" s="95"/>
      <c r="IR197" s="95"/>
      <c r="IS197" s="95"/>
      <c r="IT197" s="95"/>
      <c r="IU197" s="95"/>
      <c r="IV197" s="95"/>
      <c r="IW197" s="95"/>
      <c r="IX197" s="95"/>
      <c r="IY197" s="95"/>
      <c r="IZ197" s="95"/>
      <c r="JA197" s="95"/>
      <c r="JB197" s="95"/>
      <c r="JC197" s="95"/>
      <c r="JD197" s="95"/>
      <c r="JE197" s="95"/>
      <c r="JF197" s="95"/>
      <c r="JG197" s="95"/>
      <c r="JH197" s="95"/>
      <c r="JI197" s="95"/>
      <c r="JJ197" s="95"/>
      <c r="JK197" s="95"/>
      <c r="JL197" s="95"/>
      <c r="JM197" s="95"/>
      <c r="JN197" s="95"/>
      <c r="JO197" s="95"/>
      <c r="JP197" s="95"/>
      <c r="JQ197" s="95"/>
      <c r="JR197" s="95"/>
      <c r="JS197" s="95"/>
      <c r="JT197" s="95"/>
      <c r="JU197" s="95"/>
      <c r="JV197" s="95"/>
      <c r="JW197" s="95"/>
      <c r="JX197" s="95"/>
      <c r="JY197" s="95"/>
      <c r="JZ197" s="95"/>
      <c r="KA197" s="95"/>
      <c r="KB197" s="95"/>
      <c r="KC197" s="95"/>
      <c r="KD197" s="95"/>
      <c r="KE197" s="95"/>
      <c r="KF197" s="95"/>
      <c r="KG197" s="95"/>
      <c r="KH197" s="95"/>
      <c r="KI197" s="95"/>
      <c r="KJ197" s="95"/>
      <c r="KK197" s="95"/>
      <c r="KL197" s="95"/>
      <c r="KM197" s="95"/>
      <c r="KN197" s="95"/>
      <c r="KO197" s="95"/>
      <c r="KP197" s="95"/>
      <c r="KQ197" s="95"/>
      <c r="KR197" s="95"/>
      <c r="KS197" s="95"/>
      <c r="KT197" s="95"/>
      <c r="KU197" s="95"/>
      <c r="KV197" s="95"/>
      <c r="KW197" s="95"/>
      <c r="KX197" s="95"/>
      <c r="KY197" s="95"/>
      <c r="KZ197" s="95"/>
      <c r="LA197" s="95"/>
      <c r="LB197" s="95"/>
      <c r="LC197" s="95"/>
      <c r="LD197" s="95"/>
      <c r="LE197" s="95"/>
      <c r="LF197" s="95"/>
      <c r="LG197" s="95"/>
      <c r="LH197" s="95"/>
      <c r="LI197" s="95"/>
      <c r="LJ197" s="95"/>
      <c r="LK197" s="95"/>
      <c r="LL197" s="95"/>
      <c r="LM197" s="95"/>
      <c r="LN197" s="95"/>
      <c r="LO197" s="95"/>
      <c r="LP197" s="95"/>
      <c r="LQ197" s="95"/>
      <c r="LR197" s="95"/>
      <c r="LS197" s="95"/>
      <c r="LT197" s="95"/>
      <c r="LU197" s="95"/>
      <c r="LV197" s="95"/>
      <c r="LW197" s="95"/>
      <c r="LX197" s="95"/>
      <c r="LY197" s="95"/>
      <c r="LZ197" s="95"/>
      <c r="MA197" s="95"/>
      <c r="MB197" s="95"/>
      <c r="MC197" s="95"/>
      <c r="MD197" s="95"/>
      <c r="ME197" s="95"/>
      <c r="MF197" s="95"/>
      <c r="MG197" s="95"/>
      <c r="MH197" s="95"/>
      <c r="MI197" s="95"/>
      <c r="MJ197" s="95"/>
      <c r="MK197" s="95"/>
      <c r="ML197" s="95"/>
      <c r="MM197" s="95"/>
      <c r="MN197" s="95"/>
      <c r="MO197" s="95"/>
      <c r="MP197" s="95"/>
      <c r="MQ197" s="95"/>
      <c r="MR197" s="95"/>
      <c r="MS197" s="95"/>
      <c r="MT197" s="95"/>
      <c r="MU197" s="95"/>
      <c r="MV197" s="95"/>
      <c r="MW197" s="95"/>
      <c r="MX197" s="95"/>
      <c r="MY197" s="95"/>
      <c r="MZ197" s="95"/>
      <c r="NA197" s="95"/>
      <c r="NB197" s="95"/>
      <c r="NC197" s="95"/>
      <c r="ND197" s="95"/>
      <c r="NE197" s="95"/>
      <c r="NF197" s="95"/>
      <c r="NG197" s="95"/>
      <c r="NH197" s="95"/>
      <c r="NI197" s="95"/>
      <c r="NJ197" s="95"/>
      <c r="NK197" s="95"/>
      <c r="NL197" s="95"/>
      <c r="NM197" s="95"/>
      <c r="NN197" s="95"/>
      <c r="NO197" s="95"/>
      <c r="NP197" s="95"/>
      <c r="NQ197" s="95"/>
      <c r="NR197" s="95"/>
      <c r="NS197" s="95"/>
      <c r="NT197" s="95"/>
      <c r="NU197" s="95"/>
      <c r="NV197" s="95"/>
      <c r="NW197" s="95"/>
      <c r="NX197" s="95"/>
      <c r="NY197" s="95"/>
      <c r="NZ197" s="95"/>
      <c r="OA197" s="95"/>
      <c r="OB197" s="95"/>
      <c r="OC197" s="95"/>
      <c r="OD197" s="95"/>
      <c r="OE197" s="95"/>
      <c r="OF197" s="95"/>
      <c r="OG197" s="95"/>
      <c r="OH197" s="95"/>
      <c r="OI197" s="95"/>
      <c r="OJ197" s="95"/>
      <c r="OK197" s="95"/>
      <c r="OL197" s="95"/>
      <c r="OM197" s="95"/>
      <c r="ON197" s="95"/>
      <c r="OO197" s="95"/>
      <c r="OP197" s="95"/>
      <c r="OQ197" s="95"/>
      <c r="OR197" s="95"/>
      <c r="OS197" s="95"/>
      <c r="OT197" s="95"/>
      <c r="OU197" s="95"/>
      <c r="OV197" s="95"/>
      <c r="OW197" s="95"/>
      <c r="OX197" s="95"/>
      <c r="OY197" s="95"/>
      <c r="OZ197" s="95"/>
      <c r="PA197" s="95"/>
      <c r="PB197" s="95"/>
      <c r="PC197" s="95"/>
      <c r="PD197" s="95"/>
      <c r="PE197" s="95"/>
      <c r="PF197" s="95"/>
      <c r="PG197" s="95"/>
      <c r="PH197" s="95"/>
      <c r="PI197" s="95"/>
      <c r="PJ197" s="95"/>
      <c r="PK197" s="95"/>
      <c r="PL197" s="95"/>
      <c r="PM197" s="95"/>
      <c r="PN197" s="95"/>
      <c r="PO197" s="95"/>
      <c r="PP197" s="95"/>
      <c r="PQ197" s="95"/>
      <c r="PR197" s="95"/>
      <c r="PS197" s="95"/>
      <c r="PT197" s="95"/>
      <c r="PU197" s="95"/>
      <c r="PV197" s="95"/>
      <c r="PW197" s="95"/>
      <c r="PX197" s="95"/>
      <c r="PY197" s="95"/>
      <c r="PZ197" s="95"/>
      <c r="QA197" s="95"/>
      <c r="QB197" s="95"/>
      <c r="QC197" s="95"/>
      <c r="QD197" s="95"/>
      <c r="QE197" s="95"/>
      <c r="QF197" s="95"/>
      <c r="QG197" s="95"/>
      <c r="QH197" s="95"/>
      <c r="QI197" s="95"/>
      <c r="QJ197" s="95"/>
      <c r="QK197" s="95"/>
      <c r="QL197" s="95"/>
      <c r="QM197" s="95"/>
      <c r="QN197" s="95"/>
      <c r="QO197" s="95"/>
      <c r="QP197" s="95"/>
      <c r="QQ197" s="95"/>
      <c r="QR197" s="95"/>
      <c r="QS197" s="95"/>
      <c r="QT197" s="95"/>
      <c r="QU197" s="95"/>
      <c r="QV197" s="95"/>
      <c r="QW197" s="95"/>
      <c r="QX197" s="95"/>
      <c r="QY197" s="95"/>
      <c r="QZ197" s="95"/>
      <c r="RA197" s="95"/>
      <c r="RB197" s="95"/>
      <c r="RC197" s="95"/>
      <c r="RD197" s="95"/>
      <c r="RE197" s="95"/>
      <c r="RF197" s="95"/>
      <c r="RG197" s="95"/>
      <c r="RH197" s="95"/>
      <c r="RI197" s="95"/>
      <c r="RJ197" s="95"/>
      <c r="RK197" s="95"/>
      <c r="RL197" s="95"/>
      <c r="RM197" s="95"/>
      <c r="RN197" s="95"/>
      <c r="RO197" s="95"/>
      <c r="RP197" s="95"/>
      <c r="RQ197" s="95"/>
      <c r="RR197" s="95"/>
      <c r="RS197" s="95"/>
      <c r="RT197" s="95"/>
      <c r="RU197" s="95"/>
      <c r="RV197" s="95"/>
      <c r="RW197" s="95"/>
      <c r="RX197" s="95"/>
      <c r="RY197" s="95"/>
      <c r="RZ197" s="95"/>
      <c r="SA197" s="95"/>
      <c r="SB197" s="95"/>
      <c r="SC197" s="95"/>
      <c r="SD197" s="95"/>
      <c r="SE197" s="95"/>
      <c r="SF197" s="95"/>
      <c r="SG197" s="95"/>
      <c r="SH197" s="95"/>
      <c r="SI197" s="95"/>
      <c r="SJ197" s="95"/>
      <c r="SK197" s="95"/>
      <c r="SL197" s="95"/>
      <c r="SM197" s="95"/>
      <c r="SN197" s="95"/>
      <c r="SO197" s="95"/>
      <c r="SP197" s="95"/>
      <c r="SQ197" s="95"/>
      <c r="SR197" s="95"/>
      <c r="SS197" s="95"/>
      <c r="ST197" s="95"/>
      <c r="SU197" s="95"/>
      <c r="SV197" s="95"/>
      <c r="SW197" s="95"/>
      <c r="SX197" s="95"/>
      <c r="SY197" s="95"/>
      <c r="SZ197" s="95"/>
      <c r="TA197" s="95"/>
      <c r="TB197" s="95"/>
      <c r="TC197" s="95"/>
      <c r="TD197" s="95"/>
      <c r="TE197" s="95"/>
      <c r="TF197" s="95"/>
      <c r="TG197" s="95"/>
      <c r="TH197" s="95"/>
      <c r="TI197" s="95"/>
      <c r="TJ197" s="95"/>
      <c r="TK197" s="95"/>
      <c r="TL197" s="95"/>
      <c r="TM197" s="95"/>
      <c r="TN197" s="95"/>
      <c r="TO197" s="95"/>
      <c r="TP197" s="95"/>
      <c r="TQ197" s="95"/>
      <c r="TR197" s="95"/>
      <c r="TS197" s="95"/>
      <c r="TT197" s="95"/>
      <c r="TU197" s="95"/>
      <c r="TV197" s="95"/>
      <c r="TW197" s="95"/>
      <c r="TX197" s="95"/>
      <c r="TY197" s="95"/>
      <c r="TZ197" s="95"/>
      <c r="UA197" s="95"/>
      <c r="UB197" s="95"/>
      <c r="UC197" s="95"/>
      <c r="UD197" s="95"/>
      <c r="UE197" s="95"/>
      <c r="UF197" s="95"/>
      <c r="UG197" s="95"/>
      <c r="UH197" s="95"/>
      <c r="UI197" s="95"/>
      <c r="UJ197" s="95"/>
      <c r="UK197" s="95"/>
      <c r="UL197" s="95"/>
      <c r="UM197" s="95"/>
      <c r="UN197" s="95"/>
      <c r="UO197" s="95"/>
      <c r="UP197" s="95"/>
      <c r="UQ197" s="95"/>
      <c r="UR197" s="95"/>
      <c r="US197" s="95"/>
      <c r="UT197" s="95"/>
      <c r="UU197" s="95"/>
      <c r="UV197" s="95"/>
      <c r="UW197" s="95"/>
      <c r="UX197" s="95"/>
      <c r="UY197" s="95"/>
      <c r="UZ197" s="95"/>
      <c r="VA197" s="95"/>
      <c r="VB197" s="95"/>
      <c r="VC197" s="95"/>
      <c r="VD197" s="95"/>
      <c r="VE197" s="95"/>
      <c r="VF197" s="95"/>
      <c r="VG197" s="95"/>
      <c r="VH197" s="95"/>
      <c r="VI197" s="95"/>
      <c r="VJ197" s="95"/>
      <c r="VK197" s="95"/>
      <c r="VL197" s="95"/>
      <c r="VM197" s="95"/>
      <c r="VN197" s="95"/>
      <c r="VO197" s="95"/>
      <c r="VP197" s="95"/>
      <c r="VQ197" s="95"/>
      <c r="VR197" s="95"/>
      <c r="VS197" s="95"/>
      <c r="VT197" s="95"/>
      <c r="VU197" s="95"/>
      <c r="VV197" s="95"/>
      <c r="VW197" s="95"/>
      <c r="VX197" s="95"/>
      <c r="VY197" s="95"/>
      <c r="VZ197" s="95"/>
      <c r="WA197" s="95"/>
      <c r="WB197" s="95"/>
      <c r="WC197" s="95"/>
      <c r="WD197" s="95"/>
      <c r="WE197" s="95"/>
      <c r="WF197" s="95"/>
      <c r="WG197" s="95"/>
      <c r="WH197" s="95"/>
      <c r="WI197" s="95"/>
      <c r="WJ197" s="95"/>
      <c r="WK197" s="95"/>
      <c r="WL197" s="95"/>
      <c r="WM197" s="95"/>
      <c r="WN197" s="95"/>
      <c r="WO197" s="95"/>
      <c r="WP197" s="95"/>
      <c r="WQ197" s="95"/>
      <c r="WR197" s="95"/>
      <c r="WS197" s="95"/>
      <c r="WT197" s="95"/>
      <c r="WU197" s="95"/>
      <c r="WV197" s="95"/>
      <c r="WW197" s="95"/>
      <c r="WX197" s="95"/>
      <c r="WY197" s="95"/>
      <c r="WZ197" s="95"/>
      <c r="XA197" s="95"/>
      <c r="XB197" s="95"/>
      <c r="XC197" s="95"/>
      <c r="XD197" s="95"/>
      <c r="XE197" s="95"/>
      <c r="XF197" s="95"/>
      <c r="XG197" s="95"/>
      <c r="XH197" s="95"/>
      <c r="XI197" s="95"/>
      <c r="XJ197" s="95"/>
      <c r="XK197" s="95"/>
      <c r="XL197" s="95"/>
      <c r="XM197" s="95"/>
      <c r="XN197" s="95"/>
      <c r="XO197" s="95"/>
      <c r="XP197" s="95"/>
      <c r="XQ197" s="95"/>
      <c r="XR197" s="95"/>
      <c r="XS197" s="95"/>
      <c r="XT197" s="95"/>
      <c r="XU197" s="95"/>
      <c r="XV197" s="95"/>
      <c r="XW197" s="95"/>
      <c r="XX197" s="95"/>
      <c r="XY197" s="95"/>
      <c r="XZ197" s="95"/>
      <c r="YA197" s="95"/>
      <c r="YB197" s="95"/>
      <c r="YC197" s="95"/>
      <c r="YD197" s="95"/>
      <c r="YE197" s="95"/>
      <c r="YF197" s="95"/>
      <c r="YG197" s="95"/>
      <c r="YH197" s="95"/>
      <c r="YI197" s="95"/>
      <c r="YJ197" s="95"/>
      <c r="YK197" s="95"/>
      <c r="YL197" s="95"/>
      <c r="YM197" s="95"/>
      <c r="YN197" s="95"/>
      <c r="YO197" s="95"/>
      <c r="YP197" s="95"/>
      <c r="YQ197" s="95"/>
      <c r="YR197" s="95"/>
      <c r="YS197" s="95"/>
      <c r="YT197" s="95"/>
      <c r="YU197" s="95"/>
      <c r="YV197" s="95"/>
      <c r="YW197" s="95"/>
      <c r="YX197" s="95"/>
      <c r="YY197" s="95"/>
      <c r="YZ197" s="95"/>
      <c r="ZA197" s="95"/>
      <c r="ZB197" s="95"/>
      <c r="ZC197" s="95"/>
      <c r="ZD197" s="95"/>
      <c r="ZE197" s="95"/>
      <c r="ZF197" s="95"/>
      <c r="ZG197" s="95"/>
      <c r="ZH197" s="95"/>
      <c r="ZI197" s="95"/>
      <c r="ZJ197" s="95"/>
      <c r="ZK197" s="95"/>
      <c r="ZL197" s="95"/>
      <c r="ZM197" s="95"/>
      <c r="ZN197" s="95"/>
      <c r="ZO197" s="95"/>
      <c r="ZP197" s="95"/>
      <c r="ZQ197" s="95"/>
      <c r="ZR197" s="95"/>
      <c r="ZS197" s="95"/>
      <c r="ZT197" s="95"/>
      <c r="ZU197" s="95"/>
      <c r="ZV197" s="95"/>
      <c r="ZW197" s="95"/>
      <c r="ZX197" s="95"/>
      <c r="ZY197" s="95"/>
      <c r="ZZ197" s="95"/>
      <c r="AAA197" s="95"/>
      <c r="AAB197" s="95"/>
      <c r="AAC197" s="95"/>
      <c r="AAD197" s="95"/>
      <c r="AAE197" s="95"/>
      <c r="AAF197" s="95"/>
      <c r="AAG197" s="95"/>
      <c r="AAH197" s="95"/>
      <c r="AAI197" s="95"/>
      <c r="AAJ197" s="95"/>
      <c r="AAK197" s="95"/>
      <c r="AAL197" s="95"/>
      <c r="AAM197" s="95"/>
      <c r="AAN197" s="95"/>
      <c r="AAO197" s="95"/>
      <c r="AAP197" s="95"/>
      <c r="AAQ197" s="95"/>
      <c r="AAR197" s="95"/>
      <c r="AAS197" s="95"/>
      <c r="AAT197" s="95"/>
      <c r="AAU197" s="95"/>
      <c r="AAV197" s="95"/>
      <c r="AAW197" s="95"/>
      <c r="AAX197" s="95"/>
      <c r="AAY197" s="95"/>
      <c r="AAZ197" s="95"/>
      <c r="ABA197" s="95"/>
      <c r="ABB197" s="95"/>
      <c r="ABC197" s="95"/>
      <c r="ABD197" s="95"/>
      <c r="ABE197" s="95"/>
      <c r="ABF197" s="95"/>
      <c r="ABG197" s="95"/>
      <c r="ABH197" s="95"/>
      <c r="ABI197" s="95"/>
      <c r="ABJ197" s="95"/>
      <c r="ABK197" s="95"/>
      <c r="ABL197" s="95"/>
      <c r="ABM197" s="95"/>
      <c r="ABN197" s="95"/>
      <c r="ABO197" s="95"/>
      <c r="ABP197" s="95"/>
      <c r="ABQ197" s="95"/>
      <c r="ABR197" s="95"/>
      <c r="ABS197" s="95"/>
      <c r="ABT197" s="95"/>
      <c r="ABU197" s="95"/>
      <c r="ABV197" s="95"/>
      <c r="ABW197" s="95"/>
      <c r="ABX197" s="95"/>
      <c r="ABY197" s="95"/>
      <c r="ABZ197" s="95"/>
      <c r="ACA197" s="95"/>
      <c r="ACB197" s="95"/>
      <c r="ACC197" s="95"/>
      <c r="ACD197" s="95"/>
      <c r="ACE197" s="95"/>
      <c r="ACF197" s="95"/>
      <c r="ACG197" s="95"/>
      <c r="ACH197" s="95"/>
      <c r="ACI197" s="95"/>
      <c r="ACJ197" s="95"/>
      <c r="ACK197" s="95"/>
      <c r="ACL197" s="95"/>
      <c r="ACM197" s="95"/>
      <c r="ACN197" s="95"/>
      <c r="ACO197" s="95"/>
      <c r="ACP197" s="95"/>
      <c r="ACQ197" s="95"/>
      <c r="ACR197" s="95"/>
      <c r="ACS197" s="95"/>
      <c r="ACT197" s="95"/>
      <c r="ACU197" s="95"/>
      <c r="ACV197" s="95"/>
      <c r="ACW197" s="95"/>
      <c r="ACX197" s="95"/>
      <c r="ACY197" s="95"/>
      <c r="ACZ197" s="95"/>
      <c r="ADA197" s="95"/>
      <c r="ADB197" s="95"/>
      <c r="ADC197" s="95"/>
      <c r="ADD197" s="95"/>
      <c r="ADE197" s="95"/>
      <c r="ADF197" s="95"/>
      <c r="ADG197" s="95"/>
      <c r="ADH197" s="95"/>
      <c r="ADI197" s="95"/>
      <c r="ADJ197" s="95"/>
      <c r="ADK197" s="95"/>
      <c r="ADL197" s="95"/>
      <c r="ADM197" s="95"/>
      <c r="ADN197" s="95"/>
      <c r="ADO197" s="95"/>
      <c r="ADP197" s="95"/>
      <c r="ADQ197" s="95"/>
      <c r="ADR197" s="95"/>
      <c r="ADS197" s="95"/>
      <c r="ADT197" s="95"/>
      <c r="ADU197" s="95"/>
      <c r="ADV197" s="95"/>
      <c r="ADW197" s="95"/>
      <c r="ADX197" s="95"/>
      <c r="ADY197" s="95"/>
      <c r="ADZ197" s="95"/>
      <c r="AEA197" s="95"/>
      <c r="AEB197" s="95"/>
      <c r="AEC197" s="95"/>
      <c r="AED197" s="95"/>
      <c r="AEE197" s="95"/>
      <c r="AEF197" s="95"/>
      <c r="AEG197" s="95"/>
      <c r="AEH197" s="95"/>
      <c r="AEI197" s="95"/>
      <c r="AEJ197" s="95"/>
      <c r="AEK197" s="95"/>
      <c r="AEL197" s="95"/>
      <c r="AEM197" s="95"/>
      <c r="AEN197" s="95"/>
      <c r="AEO197" s="95"/>
      <c r="AEP197" s="95"/>
      <c r="AEQ197" s="95"/>
      <c r="AER197" s="95"/>
      <c r="AES197" s="95"/>
      <c r="AET197" s="95"/>
      <c r="AEU197" s="95"/>
      <c r="AEV197" s="95"/>
      <c r="AEW197" s="95"/>
      <c r="AEX197" s="95"/>
      <c r="AEY197" s="95"/>
      <c r="AEZ197" s="95"/>
      <c r="AFA197" s="95"/>
      <c r="AFB197" s="95"/>
      <c r="AFC197" s="95"/>
      <c r="AFD197" s="95"/>
      <c r="AFE197" s="95"/>
      <c r="AFF197" s="95"/>
      <c r="AFG197" s="95"/>
      <c r="AFH197" s="95"/>
      <c r="AFI197" s="95"/>
      <c r="AFJ197" s="95"/>
      <c r="AFK197" s="95"/>
      <c r="AFL197" s="95"/>
      <c r="AFM197" s="95"/>
      <c r="AFN197" s="95"/>
      <c r="AFO197" s="95"/>
      <c r="AFP197" s="95"/>
      <c r="AFQ197" s="95"/>
      <c r="AFR197" s="95"/>
      <c r="AFS197" s="95"/>
      <c r="AFT197" s="95"/>
      <c r="AFU197" s="95"/>
      <c r="AFV197" s="95"/>
      <c r="AFW197" s="95"/>
      <c r="AFX197" s="95"/>
      <c r="AFY197" s="95"/>
      <c r="AFZ197" s="95"/>
      <c r="AGA197" s="95"/>
      <c r="AGB197" s="95"/>
      <c r="AGC197" s="95"/>
      <c r="AGD197" s="95"/>
      <c r="AGE197" s="95"/>
      <c r="AGF197" s="95"/>
      <c r="AGG197" s="95"/>
      <c r="AGH197" s="95"/>
      <c r="AGI197" s="95"/>
      <c r="AGJ197" s="95"/>
      <c r="AGK197" s="95"/>
      <c r="AGL197" s="95"/>
      <c r="AGM197" s="95"/>
      <c r="AGN197" s="95"/>
      <c r="AGO197" s="95"/>
      <c r="AGP197" s="95"/>
      <c r="AGQ197" s="95"/>
      <c r="AGR197" s="95"/>
      <c r="AGS197" s="95"/>
      <c r="AGT197" s="95"/>
      <c r="AGU197" s="95"/>
      <c r="AGV197" s="95"/>
      <c r="AGW197" s="95"/>
      <c r="AGX197" s="95"/>
      <c r="AGY197" s="95"/>
      <c r="AGZ197" s="95"/>
      <c r="AHA197" s="95"/>
      <c r="AHB197" s="95"/>
      <c r="AHC197" s="95"/>
    </row>
    <row r="198" spans="1:887" s="73" customFormat="1" ht="20.100000000000001" customHeight="1">
      <c r="A198" s="191" t="str">
        <f>VLOOKUP(C198,'BASE DE DADOS'!A:B,2,FALSE)</f>
        <v>PREPARA INATIVOS</v>
      </c>
      <c r="B198" s="90" t="s">
        <v>491</v>
      </c>
      <c r="C198" s="191" t="s">
        <v>492</v>
      </c>
      <c r="D198" s="227">
        <v>4630.04</v>
      </c>
      <c r="E198" s="98">
        <v>9883.9599999999991</v>
      </c>
      <c r="F198" s="193"/>
      <c r="G198" s="192"/>
      <c r="H198" s="193"/>
      <c r="I198" s="67"/>
      <c r="J198" s="67"/>
      <c r="K198" s="193"/>
      <c r="L198" s="193"/>
      <c r="M198" s="193"/>
      <c r="N198" s="193" t="s">
        <v>1743</v>
      </c>
      <c r="O198" s="202">
        <v>45896</v>
      </c>
      <c r="P198" s="145" t="s">
        <v>2921</v>
      </c>
      <c r="Q198" s="226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  <c r="AY198" s="95"/>
      <c r="AZ198" s="95"/>
      <c r="BA198" s="95"/>
      <c r="BB198" s="95"/>
      <c r="BC198" s="95"/>
      <c r="BD198" s="95"/>
      <c r="BE198" s="95"/>
      <c r="BF198" s="95"/>
      <c r="BG198" s="95"/>
      <c r="BH198" s="95"/>
      <c r="BI198" s="95"/>
      <c r="BJ198" s="95"/>
      <c r="BK198" s="95"/>
      <c r="BL198" s="95"/>
      <c r="BM198" s="95"/>
      <c r="BN198" s="95"/>
      <c r="BO198" s="95"/>
      <c r="BP198" s="95"/>
      <c r="BQ198" s="95"/>
      <c r="BR198" s="95"/>
      <c r="BS198" s="95"/>
      <c r="BT198" s="95"/>
      <c r="BU198" s="95"/>
      <c r="BV198" s="95"/>
      <c r="BW198" s="95"/>
      <c r="BX198" s="95"/>
      <c r="BY198" s="95"/>
      <c r="BZ198" s="95"/>
      <c r="CA198" s="95"/>
      <c r="CB198" s="95"/>
      <c r="CC198" s="95"/>
      <c r="CD198" s="95"/>
      <c r="CE198" s="95"/>
      <c r="CF198" s="95"/>
      <c r="CG198" s="95"/>
      <c r="CH198" s="95"/>
      <c r="CI198" s="95"/>
      <c r="CJ198" s="95"/>
      <c r="CK198" s="95"/>
      <c r="CL198" s="95"/>
      <c r="CM198" s="95"/>
      <c r="CN198" s="95"/>
      <c r="CO198" s="95"/>
      <c r="CP198" s="95"/>
      <c r="CQ198" s="95"/>
      <c r="CR198" s="95"/>
      <c r="CS198" s="95"/>
      <c r="CT198" s="95"/>
      <c r="CU198" s="95"/>
      <c r="CV198" s="95"/>
      <c r="CW198" s="95"/>
      <c r="CX198" s="95"/>
      <c r="CY198" s="95"/>
      <c r="CZ198" s="95"/>
      <c r="DA198" s="95"/>
      <c r="DB198" s="95"/>
      <c r="DC198" s="95"/>
      <c r="DD198" s="95"/>
      <c r="DE198" s="95"/>
      <c r="DF198" s="95"/>
      <c r="DG198" s="95"/>
      <c r="DH198" s="95"/>
      <c r="DI198" s="95"/>
      <c r="DJ198" s="95"/>
      <c r="DK198" s="95"/>
      <c r="DL198" s="95"/>
      <c r="DM198" s="95"/>
      <c r="DN198" s="95"/>
      <c r="DO198" s="95"/>
      <c r="DP198" s="95"/>
      <c r="DQ198" s="95"/>
      <c r="DR198" s="95"/>
      <c r="DS198" s="95"/>
      <c r="DT198" s="95"/>
      <c r="DU198" s="95"/>
      <c r="DV198" s="95"/>
      <c r="DW198" s="95"/>
      <c r="DX198" s="95"/>
      <c r="DY198" s="95"/>
      <c r="DZ198" s="95"/>
      <c r="EA198" s="95"/>
      <c r="EB198" s="95"/>
      <c r="EC198" s="95"/>
      <c r="ED198" s="95"/>
      <c r="EE198" s="95"/>
      <c r="EF198" s="95"/>
      <c r="EG198" s="95"/>
      <c r="EH198" s="95"/>
      <c r="EI198" s="95"/>
      <c r="EJ198" s="95"/>
      <c r="EK198" s="95"/>
      <c r="EL198" s="95"/>
      <c r="EM198" s="95"/>
      <c r="EN198" s="95"/>
      <c r="EO198" s="95"/>
      <c r="EP198" s="95"/>
      <c r="EQ198" s="95"/>
      <c r="ER198" s="95"/>
      <c r="ES198" s="95"/>
      <c r="ET198" s="95"/>
      <c r="EU198" s="95"/>
      <c r="EV198" s="95"/>
      <c r="EW198" s="95"/>
      <c r="EX198" s="95"/>
      <c r="EY198" s="95"/>
      <c r="EZ198" s="95"/>
      <c r="FA198" s="95"/>
      <c r="FB198" s="95"/>
      <c r="FC198" s="95"/>
      <c r="FD198" s="95"/>
      <c r="FE198" s="95"/>
      <c r="FF198" s="95"/>
      <c r="FG198" s="95"/>
      <c r="FH198" s="95"/>
      <c r="FI198" s="95"/>
      <c r="FJ198" s="95"/>
      <c r="FK198" s="95"/>
      <c r="FL198" s="95"/>
      <c r="FM198" s="95"/>
      <c r="FN198" s="95"/>
      <c r="FO198" s="95"/>
      <c r="FP198" s="95"/>
      <c r="FQ198" s="95"/>
      <c r="FR198" s="95"/>
      <c r="FS198" s="95"/>
      <c r="FT198" s="95"/>
      <c r="FU198" s="95"/>
      <c r="FV198" s="95"/>
      <c r="FW198" s="95"/>
      <c r="FX198" s="95"/>
      <c r="FY198" s="95"/>
      <c r="FZ198" s="95"/>
      <c r="GA198" s="95"/>
      <c r="GB198" s="95"/>
      <c r="GC198" s="95"/>
      <c r="GD198" s="95"/>
      <c r="GE198" s="95"/>
      <c r="GF198" s="95"/>
      <c r="GG198" s="95"/>
      <c r="GH198" s="95"/>
      <c r="GI198" s="95"/>
      <c r="GJ198" s="95"/>
      <c r="GK198" s="95"/>
      <c r="GL198" s="95"/>
      <c r="GM198" s="95"/>
      <c r="GN198" s="95"/>
      <c r="GO198" s="95"/>
      <c r="GP198" s="95"/>
      <c r="GQ198" s="95"/>
      <c r="GR198" s="95"/>
      <c r="GS198" s="95"/>
      <c r="GT198" s="95"/>
      <c r="GU198" s="95"/>
      <c r="GV198" s="95"/>
      <c r="GW198" s="95"/>
      <c r="GX198" s="95"/>
      <c r="GY198" s="95"/>
      <c r="GZ198" s="95"/>
      <c r="HA198" s="95"/>
      <c r="HB198" s="95"/>
      <c r="HC198" s="95"/>
      <c r="HD198" s="95"/>
      <c r="HE198" s="95"/>
      <c r="HF198" s="95"/>
      <c r="HG198" s="95"/>
      <c r="HH198" s="95"/>
      <c r="HI198" s="95"/>
      <c r="HJ198" s="95"/>
      <c r="HK198" s="95"/>
      <c r="HL198" s="95"/>
      <c r="HM198" s="95"/>
      <c r="HN198" s="95"/>
      <c r="HO198" s="95"/>
      <c r="HP198" s="95"/>
      <c r="HQ198" s="95"/>
      <c r="HR198" s="95"/>
      <c r="HS198" s="95"/>
      <c r="HT198" s="95"/>
      <c r="HU198" s="95"/>
      <c r="HV198" s="95"/>
      <c r="HW198" s="95"/>
      <c r="HX198" s="95"/>
      <c r="HY198" s="95"/>
      <c r="HZ198" s="95"/>
      <c r="IA198" s="95"/>
      <c r="IB198" s="95"/>
      <c r="IC198" s="95"/>
      <c r="ID198" s="95"/>
      <c r="IE198" s="95"/>
      <c r="IF198" s="95"/>
      <c r="IG198" s="95"/>
      <c r="IH198" s="95"/>
      <c r="II198" s="95"/>
      <c r="IJ198" s="95"/>
      <c r="IK198" s="95"/>
      <c r="IL198" s="95"/>
      <c r="IM198" s="95"/>
      <c r="IN198" s="95"/>
      <c r="IO198" s="95"/>
      <c r="IP198" s="95"/>
      <c r="IQ198" s="95"/>
      <c r="IR198" s="95"/>
      <c r="IS198" s="95"/>
      <c r="IT198" s="95"/>
      <c r="IU198" s="95"/>
      <c r="IV198" s="95"/>
      <c r="IW198" s="95"/>
      <c r="IX198" s="95"/>
      <c r="IY198" s="95"/>
      <c r="IZ198" s="95"/>
      <c r="JA198" s="95"/>
      <c r="JB198" s="95"/>
      <c r="JC198" s="95"/>
      <c r="JD198" s="95"/>
      <c r="JE198" s="95"/>
      <c r="JF198" s="95"/>
      <c r="JG198" s="95"/>
      <c r="JH198" s="95"/>
      <c r="JI198" s="95"/>
      <c r="JJ198" s="95"/>
      <c r="JK198" s="95"/>
      <c r="JL198" s="95"/>
      <c r="JM198" s="95"/>
      <c r="JN198" s="95"/>
      <c r="JO198" s="95"/>
      <c r="JP198" s="95"/>
      <c r="JQ198" s="95"/>
      <c r="JR198" s="95"/>
      <c r="JS198" s="95"/>
      <c r="JT198" s="95"/>
      <c r="JU198" s="95"/>
      <c r="JV198" s="95"/>
      <c r="JW198" s="95"/>
      <c r="JX198" s="95"/>
      <c r="JY198" s="95"/>
      <c r="JZ198" s="95"/>
      <c r="KA198" s="95"/>
      <c r="KB198" s="95"/>
      <c r="KC198" s="95"/>
      <c r="KD198" s="95"/>
      <c r="KE198" s="95"/>
      <c r="KF198" s="95"/>
      <c r="KG198" s="95"/>
      <c r="KH198" s="95"/>
      <c r="KI198" s="95"/>
      <c r="KJ198" s="95"/>
      <c r="KK198" s="95"/>
      <c r="KL198" s="95"/>
      <c r="KM198" s="95"/>
      <c r="KN198" s="95"/>
      <c r="KO198" s="95"/>
      <c r="KP198" s="95"/>
      <c r="KQ198" s="95"/>
      <c r="KR198" s="95"/>
      <c r="KS198" s="95"/>
      <c r="KT198" s="95"/>
      <c r="KU198" s="95"/>
      <c r="KV198" s="95"/>
      <c r="KW198" s="95"/>
      <c r="KX198" s="95"/>
      <c r="KY198" s="95"/>
      <c r="KZ198" s="95"/>
      <c r="LA198" s="95"/>
      <c r="LB198" s="95"/>
      <c r="LC198" s="95"/>
      <c r="LD198" s="95"/>
      <c r="LE198" s="95"/>
      <c r="LF198" s="95"/>
      <c r="LG198" s="95"/>
      <c r="LH198" s="95"/>
      <c r="LI198" s="95"/>
      <c r="LJ198" s="95"/>
      <c r="LK198" s="95"/>
      <c r="LL198" s="95"/>
      <c r="LM198" s="95"/>
      <c r="LN198" s="95"/>
      <c r="LO198" s="95"/>
      <c r="LP198" s="95"/>
      <c r="LQ198" s="95"/>
      <c r="LR198" s="95"/>
      <c r="LS198" s="95"/>
      <c r="LT198" s="95"/>
      <c r="LU198" s="95"/>
      <c r="LV198" s="95"/>
      <c r="LW198" s="95"/>
      <c r="LX198" s="95"/>
      <c r="LY198" s="95"/>
      <c r="LZ198" s="95"/>
      <c r="MA198" s="95"/>
      <c r="MB198" s="95"/>
      <c r="MC198" s="95"/>
      <c r="MD198" s="95"/>
      <c r="ME198" s="95"/>
      <c r="MF198" s="95"/>
      <c r="MG198" s="95"/>
      <c r="MH198" s="95"/>
      <c r="MI198" s="95"/>
      <c r="MJ198" s="95"/>
      <c r="MK198" s="95"/>
      <c r="ML198" s="95"/>
      <c r="MM198" s="95"/>
      <c r="MN198" s="95"/>
      <c r="MO198" s="95"/>
      <c r="MP198" s="95"/>
      <c r="MQ198" s="95"/>
      <c r="MR198" s="95"/>
      <c r="MS198" s="95"/>
      <c r="MT198" s="95"/>
      <c r="MU198" s="95"/>
      <c r="MV198" s="95"/>
      <c r="MW198" s="95"/>
      <c r="MX198" s="95"/>
      <c r="MY198" s="95"/>
      <c r="MZ198" s="95"/>
      <c r="NA198" s="95"/>
      <c r="NB198" s="95"/>
      <c r="NC198" s="95"/>
      <c r="ND198" s="95"/>
      <c r="NE198" s="95"/>
      <c r="NF198" s="95"/>
      <c r="NG198" s="95"/>
      <c r="NH198" s="95"/>
      <c r="NI198" s="95"/>
      <c r="NJ198" s="95"/>
      <c r="NK198" s="95"/>
      <c r="NL198" s="95"/>
      <c r="NM198" s="95"/>
      <c r="NN198" s="95"/>
      <c r="NO198" s="95"/>
      <c r="NP198" s="95"/>
      <c r="NQ198" s="95"/>
      <c r="NR198" s="95"/>
      <c r="NS198" s="95"/>
      <c r="NT198" s="95"/>
      <c r="NU198" s="95"/>
      <c r="NV198" s="95"/>
      <c r="NW198" s="95"/>
      <c r="NX198" s="95"/>
      <c r="NY198" s="95"/>
      <c r="NZ198" s="95"/>
      <c r="OA198" s="95"/>
      <c r="OB198" s="95"/>
      <c r="OC198" s="95"/>
      <c r="OD198" s="95"/>
      <c r="OE198" s="95"/>
      <c r="OF198" s="95"/>
      <c r="OG198" s="95"/>
      <c r="OH198" s="95"/>
      <c r="OI198" s="95"/>
      <c r="OJ198" s="95"/>
      <c r="OK198" s="95"/>
      <c r="OL198" s="95"/>
      <c r="OM198" s="95"/>
      <c r="ON198" s="95"/>
      <c r="OO198" s="95"/>
      <c r="OP198" s="95"/>
      <c r="OQ198" s="95"/>
      <c r="OR198" s="95"/>
      <c r="OS198" s="95"/>
      <c r="OT198" s="95"/>
      <c r="OU198" s="95"/>
      <c r="OV198" s="95"/>
      <c r="OW198" s="95"/>
      <c r="OX198" s="95"/>
      <c r="OY198" s="95"/>
      <c r="OZ198" s="95"/>
      <c r="PA198" s="95"/>
      <c r="PB198" s="95"/>
      <c r="PC198" s="95"/>
      <c r="PD198" s="95"/>
      <c r="PE198" s="95"/>
      <c r="PF198" s="95"/>
      <c r="PG198" s="95"/>
      <c r="PH198" s="95"/>
      <c r="PI198" s="95"/>
      <c r="PJ198" s="95"/>
      <c r="PK198" s="95"/>
      <c r="PL198" s="95"/>
      <c r="PM198" s="95"/>
      <c r="PN198" s="95"/>
      <c r="PO198" s="95"/>
      <c r="PP198" s="95"/>
      <c r="PQ198" s="95"/>
      <c r="PR198" s="95"/>
      <c r="PS198" s="95"/>
      <c r="PT198" s="95"/>
      <c r="PU198" s="95"/>
      <c r="PV198" s="95"/>
      <c r="PW198" s="95"/>
      <c r="PX198" s="95"/>
      <c r="PY198" s="95"/>
      <c r="PZ198" s="95"/>
      <c r="QA198" s="95"/>
      <c r="QB198" s="95"/>
      <c r="QC198" s="95"/>
      <c r="QD198" s="95"/>
      <c r="QE198" s="95"/>
      <c r="QF198" s="95"/>
      <c r="QG198" s="95"/>
      <c r="QH198" s="95"/>
      <c r="QI198" s="95"/>
      <c r="QJ198" s="95"/>
      <c r="QK198" s="95"/>
      <c r="QL198" s="95"/>
      <c r="QM198" s="95"/>
      <c r="QN198" s="95"/>
      <c r="QO198" s="95"/>
      <c r="QP198" s="95"/>
      <c r="QQ198" s="95"/>
      <c r="QR198" s="95"/>
      <c r="QS198" s="95"/>
      <c r="QT198" s="95"/>
      <c r="QU198" s="95"/>
      <c r="QV198" s="95"/>
      <c r="QW198" s="95"/>
      <c r="QX198" s="95"/>
      <c r="QY198" s="95"/>
      <c r="QZ198" s="95"/>
      <c r="RA198" s="95"/>
      <c r="RB198" s="95"/>
      <c r="RC198" s="95"/>
      <c r="RD198" s="95"/>
      <c r="RE198" s="95"/>
      <c r="RF198" s="95"/>
      <c r="RG198" s="95"/>
      <c r="RH198" s="95"/>
      <c r="RI198" s="95"/>
      <c r="RJ198" s="95"/>
      <c r="RK198" s="95"/>
      <c r="RL198" s="95"/>
      <c r="RM198" s="95"/>
      <c r="RN198" s="95"/>
      <c r="RO198" s="95"/>
      <c r="RP198" s="95"/>
      <c r="RQ198" s="95"/>
      <c r="RR198" s="95"/>
      <c r="RS198" s="95"/>
      <c r="RT198" s="95"/>
      <c r="RU198" s="95"/>
      <c r="RV198" s="95"/>
      <c r="RW198" s="95"/>
      <c r="RX198" s="95"/>
      <c r="RY198" s="95"/>
      <c r="RZ198" s="95"/>
      <c r="SA198" s="95"/>
      <c r="SB198" s="95"/>
      <c r="SC198" s="95"/>
      <c r="SD198" s="95"/>
      <c r="SE198" s="95"/>
      <c r="SF198" s="95"/>
      <c r="SG198" s="95"/>
      <c r="SH198" s="95"/>
      <c r="SI198" s="95"/>
      <c r="SJ198" s="95"/>
      <c r="SK198" s="95"/>
      <c r="SL198" s="95"/>
      <c r="SM198" s="95"/>
      <c r="SN198" s="95"/>
      <c r="SO198" s="95"/>
      <c r="SP198" s="95"/>
      <c r="SQ198" s="95"/>
      <c r="SR198" s="95"/>
      <c r="SS198" s="95"/>
      <c r="ST198" s="95"/>
      <c r="SU198" s="95"/>
      <c r="SV198" s="95"/>
      <c r="SW198" s="95"/>
      <c r="SX198" s="95"/>
      <c r="SY198" s="95"/>
      <c r="SZ198" s="95"/>
      <c r="TA198" s="95"/>
      <c r="TB198" s="95"/>
      <c r="TC198" s="95"/>
      <c r="TD198" s="95"/>
      <c r="TE198" s="95"/>
      <c r="TF198" s="95"/>
      <c r="TG198" s="95"/>
      <c r="TH198" s="95"/>
      <c r="TI198" s="95"/>
      <c r="TJ198" s="95"/>
      <c r="TK198" s="95"/>
      <c r="TL198" s="95"/>
      <c r="TM198" s="95"/>
      <c r="TN198" s="95"/>
      <c r="TO198" s="95"/>
      <c r="TP198" s="95"/>
      <c r="TQ198" s="95"/>
      <c r="TR198" s="95"/>
      <c r="TS198" s="95"/>
      <c r="TT198" s="95"/>
      <c r="TU198" s="95"/>
      <c r="TV198" s="95"/>
      <c r="TW198" s="95"/>
      <c r="TX198" s="95"/>
      <c r="TY198" s="95"/>
      <c r="TZ198" s="95"/>
      <c r="UA198" s="95"/>
      <c r="UB198" s="95"/>
      <c r="UC198" s="95"/>
      <c r="UD198" s="95"/>
      <c r="UE198" s="95"/>
      <c r="UF198" s="95"/>
      <c r="UG198" s="95"/>
      <c r="UH198" s="95"/>
      <c r="UI198" s="95"/>
      <c r="UJ198" s="95"/>
      <c r="UK198" s="95"/>
      <c r="UL198" s="95"/>
      <c r="UM198" s="95"/>
      <c r="UN198" s="95"/>
      <c r="UO198" s="95"/>
      <c r="UP198" s="95"/>
      <c r="UQ198" s="95"/>
      <c r="UR198" s="95"/>
      <c r="US198" s="95"/>
      <c r="UT198" s="95"/>
      <c r="UU198" s="95"/>
      <c r="UV198" s="95"/>
      <c r="UW198" s="95"/>
      <c r="UX198" s="95"/>
      <c r="UY198" s="95"/>
      <c r="UZ198" s="95"/>
      <c r="VA198" s="95"/>
      <c r="VB198" s="95"/>
      <c r="VC198" s="95"/>
      <c r="VD198" s="95"/>
      <c r="VE198" s="95"/>
      <c r="VF198" s="95"/>
      <c r="VG198" s="95"/>
      <c r="VH198" s="95"/>
      <c r="VI198" s="95"/>
      <c r="VJ198" s="95"/>
      <c r="VK198" s="95"/>
      <c r="VL198" s="95"/>
      <c r="VM198" s="95"/>
      <c r="VN198" s="95"/>
      <c r="VO198" s="95"/>
      <c r="VP198" s="95"/>
      <c r="VQ198" s="95"/>
      <c r="VR198" s="95"/>
      <c r="VS198" s="95"/>
      <c r="VT198" s="95"/>
      <c r="VU198" s="95"/>
      <c r="VV198" s="95"/>
      <c r="VW198" s="95"/>
      <c r="VX198" s="95"/>
      <c r="VY198" s="95"/>
      <c r="VZ198" s="95"/>
      <c r="WA198" s="95"/>
      <c r="WB198" s="95"/>
      <c r="WC198" s="95"/>
      <c r="WD198" s="95"/>
      <c r="WE198" s="95"/>
      <c r="WF198" s="95"/>
      <c r="WG198" s="95"/>
      <c r="WH198" s="95"/>
      <c r="WI198" s="95"/>
      <c r="WJ198" s="95"/>
      <c r="WK198" s="95"/>
      <c r="WL198" s="95"/>
      <c r="WM198" s="95"/>
      <c r="WN198" s="95"/>
      <c r="WO198" s="95"/>
      <c r="WP198" s="95"/>
      <c r="WQ198" s="95"/>
      <c r="WR198" s="95"/>
      <c r="WS198" s="95"/>
      <c r="WT198" s="95"/>
      <c r="WU198" s="95"/>
      <c r="WV198" s="95"/>
      <c r="WW198" s="95"/>
      <c r="WX198" s="95"/>
      <c r="WY198" s="95"/>
      <c r="WZ198" s="95"/>
      <c r="XA198" s="95"/>
      <c r="XB198" s="95"/>
      <c r="XC198" s="95"/>
      <c r="XD198" s="95"/>
      <c r="XE198" s="95"/>
      <c r="XF198" s="95"/>
      <c r="XG198" s="95"/>
      <c r="XH198" s="95"/>
      <c r="XI198" s="95"/>
      <c r="XJ198" s="95"/>
      <c r="XK198" s="95"/>
      <c r="XL198" s="95"/>
      <c r="XM198" s="95"/>
      <c r="XN198" s="95"/>
      <c r="XO198" s="95"/>
      <c r="XP198" s="95"/>
      <c r="XQ198" s="95"/>
      <c r="XR198" s="95"/>
      <c r="XS198" s="95"/>
      <c r="XT198" s="95"/>
      <c r="XU198" s="95"/>
      <c r="XV198" s="95"/>
      <c r="XW198" s="95"/>
      <c r="XX198" s="95"/>
      <c r="XY198" s="95"/>
      <c r="XZ198" s="95"/>
      <c r="YA198" s="95"/>
      <c r="YB198" s="95"/>
      <c r="YC198" s="95"/>
      <c r="YD198" s="95"/>
      <c r="YE198" s="95"/>
      <c r="YF198" s="95"/>
      <c r="YG198" s="95"/>
      <c r="YH198" s="95"/>
      <c r="YI198" s="95"/>
      <c r="YJ198" s="95"/>
      <c r="YK198" s="95"/>
      <c r="YL198" s="95"/>
      <c r="YM198" s="95"/>
      <c r="YN198" s="95"/>
      <c r="YO198" s="95"/>
      <c r="YP198" s="95"/>
      <c r="YQ198" s="95"/>
      <c r="YR198" s="95"/>
      <c r="YS198" s="95"/>
      <c r="YT198" s="95"/>
      <c r="YU198" s="95"/>
      <c r="YV198" s="95"/>
      <c r="YW198" s="95"/>
      <c r="YX198" s="95"/>
      <c r="YY198" s="95"/>
      <c r="YZ198" s="95"/>
      <c r="ZA198" s="95"/>
      <c r="ZB198" s="95"/>
      <c r="ZC198" s="95"/>
      <c r="ZD198" s="95"/>
      <c r="ZE198" s="95"/>
      <c r="ZF198" s="95"/>
      <c r="ZG198" s="95"/>
      <c r="ZH198" s="95"/>
      <c r="ZI198" s="95"/>
      <c r="ZJ198" s="95"/>
      <c r="ZK198" s="95"/>
      <c r="ZL198" s="95"/>
      <c r="ZM198" s="95"/>
      <c r="ZN198" s="95"/>
      <c r="ZO198" s="95"/>
      <c r="ZP198" s="95"/>
      <c r="ZQ198" s="95"/>
      <c r="ZR198" s="95"/>
      <c r="ZS198" s="95"/>
      <c r="ZT198" s="95"/>
      <c r="ZU198" s="95"/>
      <c r="ZV198" s="95"/>
      <c r="ZW198" s="95"/>
      <c r="ZX198" s="95"/>
      <c r="ZY198" s="95"/>
      <c r="ZZ198" s="95"/>
      <c r="AAA198" s="95"/>
      <c r="AAB198" s="95"/>
      <c r="AAC198" s="95"/>
      <c r="AAD198" s="95"/>
      <c r="AAE198" s="95"/>
      <c r="AAF198" s="95"/>
      <c r="AAG198" s="95"/>
      <c r="AAH198" s="95"/>
      <c r="AAI198" s="95"/>
      <c r="AAJ198" s="95"/>
      <c r="AAK198" s="95"/>
      <c r="AAL198" s="95"/>
      <c r="AAM198" s="95"/>
      <c r="AAN198" s="95"/>
      <c r="AAO198" s="95"/>
      <c r="AAP198" s="95"/>
      <c r="AAQ198" s="95"/>
      <c r="AAR198" s="95"/>
      <c r="AAS198" s="95"/>
      <c r="AAT198" s="95"/>
      <c r="AAU198" s="95"/>
      <c r="AAV198" s="95"/>
      <c r="AAW198" s="95"/>
      <c r="AAX198" s="95"/>
      <c r="AAY198" s="95"/>
      <c r="AAZ198" s="95"/>
      <c r="ABA198" s="95"/>
      <c r="ABB198" s="95"/>
      <c r="ABC198" s="95"/>
      <c r="ABD198" s="95"/>
      <c r="ABE198" s="95"/>
      <c r="ABF198" s="95"/>
      <c r="ABG198" s="95"/>
      <c r="ABH198" s="95"/>
      <c r="ABI198" s="95"/>
      <c r="ABJ198" s="95"/>
      <c r="ABK198" s="95"/>
      <c r="ABL198" s="95"/>
      <c r="ABM198" s="95"/>
      <c r="ABN198" s="95"/>
      <c r="ABO198" s="95"/>
      <c r="ABP198" s="95"/>
      <c r="ABQ198" s="95"/>
      <c r="ABR198" s="95"/>
      <c r="ABS198" s="95"/>
      <c r="ABT198" s="95"/>
      <c r="ABU198" s="95"/>
      <c r="ABV198" s="95"/>
      <c r="ABW198" s="95"/>
      <c r="ABX198" s="95"/>
      <c r="ABY198" s="95"/>
      <c r="ABZ198" s="95"/>
      <c r="ACA198" s="95"/>
      <c r="ACB198" s="95"/>
      <c r="ACC198" s="95"/>
      <c r="ACD198" s="95"/>
      <c r="ACE198" s="95"/>
      <c r="ACF198" s="95"/>
      <c r="ACG198" s="95"/>
      <c r="ACH198" s="95"/>
      <c r="ACI198" s="95"/>
      <c r="ACJ198" s="95"/>
      <c r="ACK198" s="95"/>
      <c r="ACL198" s="95"/>
      <c r="ACM198" s="95"/>
      <c r="ACN198" s="95"/>
      <c r="ACO198" s="95"/>
      <c r="ACP198" s="95"/>
      <c r="ACQ198" s="95"/>
      <c r="ACR198" s="95"/>
      <c r="ACS198" s="95"/>
      <c r="ACT198" s="95"/>
      <c r="ACU198" s="95"/>
      <c r="ACV198" s="95"/>
      <c r="ACW198" s="95"/>
      <c r="ACX198" s="95"/>
      <c r="ACY198" s="95"/>
      <c r="ACZ198" s="95"/>
      <c r="ADA198" s="95"/>
      <c r="ADB198" s="95"/>
      <c r="ADC198" s="95"/>
      <c r="ADD198" s="95"/>
      <c r="ADE198" s="95"/>
      <c r="ADF198" s="95"/>
      <c r="ADG198" s="95"/>
      <c r="ADH198" s="95"/>
      <c r="ADI198" s="95"/>
      <c r="ADJ198" s="95"/>
      <c r="ADK198" s="95"/>
      <c r="ADL198" s="95"/>
      <c r="ADM198" s="95"/>
      <c r="ADN198" s="95"/>
      <c r="ADO198" s="95"/>
      <c r="ADP198" s="95"/>
      <c r="ADQ198" s="95"/>
      <c r="ADR198" s="95"/>
      <c r="ADS198" s="95"/>
      <c r="ADT198" s="95"/>
      <c r="ADU198" s="95"/>
      <c r="ADV198" s="95"/>
      <c r="ADW198" s="95"/>
      <c r="ADX198" s="95"/>
      <c r="ADY198" s="95"/>
      <c r="ADZ198" s="95"/>
      <c r="AEA198" s="95"/>
      <c r="AEB198" s="95"/>
      <c r="AEC198" s="95"/>
      <c r="AED198" s="95"/>
      <c r="AEE198" s="95"/>
      <c r="AEF198" s="95"/>
      <c r="AEG198" s="95"/>
      <c r="AEH198" s="95"/>
      <c r="AEI198" s="95"/>
      <c r="AEJ198" s="95"/>
      <c r="AEK198" s="95"/>
      <c r="AEL198" s="95"/>
      <c r="AEM198" s="95"/>
      <c r="AEN198" s="95"/>
      <c r="AEO198" s="95"/>
      <c r="AEP198" s="95"/>
      <c r="AEQ198" s="95"/>
      <c r="AER198" s="95"/>
      <c r="AES198" s="95"/>
      <c r="AET198" s="95"/>
      <c r="AEU198" s="95"/>
      <c r="AEV198" s="95"/>
      <c r="AEW198" s="95"/>
      <c r="AEX198" s="95"/>
      <c r="AEY198" s="95"/>
      <c r="AEZ198" s="95"/>
      <c r="AFA198" s="95"/>
      <c r="AFB198" s="95"/>
      <c r="AFC198" s="95"/>
      <c r="AFD198" s="95"/>
      <c r="AFE198" s="95"/>
      <c r="AFF198" s="95"/>
      <c r="AFG198" s="95"/>
      <c r="AFH198" s="95"/>
      <c r="AFI198" s="95"/>
      <c r="AFJ198" s="95"/>
      <c r="AFK198" s="95"/>
      <c r="AFL198" s="95"/>
      <c r="AFM198" s="95"/>
      <c r="AFN198" s="95"/>
      <c r="AFO198" s="95"/>
      <c r="AFP198" s="95"/>
      <c r="AFQ198" s="95"/>
      <c r="AFR198" s="95"/>
      <c r="AFS198" s="95"/>
      <c r="AFT198" s="95"/>
      <c r="AFU198" s="95"/>
      <c r="AFV198" s="95"/>
      <c r="AFW198" s="95"/>
      <c r="AFX198" s="95"/>
      <c r="AFY198" s="95"/>
      <c r="AFZ198" s="95"/>
      <c r="AGA198" s="95"/>
      <c r="AGB198" s="95"/>
      <c r="AGC198" s="95"/>
      <c r="AGD198" s="95"/>
      <c r="AGE198" s="95"/>
      <c r="AGF198" s="95"/>
      <c r="AGG198" s="95"/>
      <c r="AGH198" s="95"/>
      <c r="AGI198" s="95"/>
      <c r="AGJ198" s="95"/>
      <c r="AGK198" s="95"/>
      <c r="AGL198" s="95"/>
      <c r="AGM198" s="95"/>
      <c r="AGN198" s="95"/>
      <c r="AGO198" s="95"/>
      <c r="AGP198" s="95"/>
      <c r="AGQ198" s="95"/>
      <c r="AGR198" s="95"/>
      <c r="AGS198" s="95"/>
      <c r="AGT198" s="95"/>
      <c r="AGU198" s="95"/>
      <c r="AGV198" s="95"/>
      <c r="AGW198" s="95"/>
      <c r="AGX198" s="95"/>
      <c r="AGY198" s="95"/>
      <c r="AGZ198" s="95"/>
      <c r="AHA198" s="95"/>
      <c r="AHB198" s="95"/>
      <c r="AHC198" s="95"/>
    </row>
    <row r="199" spans="1:887" ht="20.100000000000001" customHeight="1">
      <c r="A199" s="191" t="str">
        <f>VLOOKUP(C199,'BASE DE DADOS'!A:B,2,FALSE)</f>
        <v>PREPARA INATIVOS</v>
      </c>
      <c r="B199" s="90" t="s">
        <v>1161</v>
      </c>
      <c r="C199" s="191" t="s">
        <v>1162</v>
      </c>
      <c r="D199" s="227">
        <v>181686.99</v>
      </c>
      <c r="E199" s="74" t="s">
        <v>2923</v>
      </c>
      <c r="F199" s="228"/>
      <c r="G199" s="192"/>
      <c r="H199" s="193"/>
      <c r="I199" s="64"/>
      <c r="J199" s="64"/>
      <c r="K199" s="64"/>
      <c r="L199" s="64"/>
      <c r="M199" s="66"/>
      <c r="N199" s="193" t="s">
        <v>1743</v>
      </c>
      <c r="O199" s="202">
        <v>45687</v>
      </c>
      <c r="P199" s="146" t="s">
        <v>2922</v>
      </c>
      <c r="Q199" s="195" t="s">
        <v>2633</v>
      </c>
    </row>
    <row r="200" spans="1:887" ht="20.100000000000001" customHeight="1">
      <c r="A200" s="191" t="str">
        <f>VLOOKUP(C200,'BASE DE DADOS'!A:B,2,FALSE)</f>
        <v>PREPARA INATIVOS</v>
      </c>
      <c r="B200" s="90" t="s">
        <v>1161</v>
      </c>
      <c r="C200" s="191" t="s">
        <v>1162</v>
      </c>
      <c r="D200" s="227"/>
      <c r="E200" s="98">
        <v>35270.480000000003</v>
      </c>
      <c r="F200" s="228"/>
      <c r="G200" s="192"/>
      <c r="H200" s="193"/>
      <c r="I200" s="64"/>
      <c r="J200" s="64"/>
      <c r="K200" s="64"/>
      <c r="L200" s="64"/>
      <c r="M200" s="66"/>
      <c r="N200" s="193" t="s">
        <v>1743</v>
      </c>
      <c r="O200" s="202">
        <v>45764</v>
      </c>
      <c r="P200" s="145" t="s">
        <v>2924</v>
      </c>
      <c r="Q200" s="195" t="s">
        <v>2879</v>
      </c>
    </row>
    <row r="201" spans="1:887" ht="20.100000000000001" customHeight="1">
      <c r="A201" s="191" t="str">
        <f>VLOOKUP(C201,'BASE DE DADOS'!A:B,2,FALSE)</f>
        <v>PREPARA INATIVOS</v>
      </c>
      <c r="B201" s="90" t="s">
        <v>287</v>
      </c>
      <c r="C201" s="191" t="s">
        <v>288</v>
      </c>
      <c r="D201" s="191">
        <v>9531.4</v>
      </c>
      <c r="E201" s="76">
        <v>17400.63</v>
      </c>
      <c r="F201" s="193"/>
      <c r="G201" s="192"/>
      <c r="H201" s="64"/>
      <c r="I201" s="193"/>
      <c r="J201" s="193"/>
      <c r="K201" s="193"/>
      <c r="L201" s="64"/>
      <c r="M201" s="66"/>
      <c r="N201" s="193" t="s">
        <v>1743</v>
      </c>
      <c r="O201" s="202">
        <v>45671</v>
      </c>
      <c r="P201" s="146" t="s">
        <v>2925</v>
      </c>
      <c r="Q201" s="195" t="s">
        <v>2634</v>
      </c>
    </row>
    <row r="202" spans="1:887" ht="20.100000000000001" customHeight="1">
      <c r="A202" s="191" t="str">
        <f>VLOOKUP(C202,'BASE DE DADOS'!A:B,2,FALSE)</f>
        <v>PREPARA INATIVOS</v>
      </c>
      <c r="B202" s="206" t="s">
        <v>496</v>
      </c>
      <c r="C202" s="196" t="s">
        <v>497</v>
      </c>
      <c r="D202" s="191">
        <v>34230.86</v>
      </c>
      <c r="E202" s="98">
        <v>14081.02</v>
      </c>
      <c r="F202" s="193"/>
      <c r="G202" s="192"/>
      <c r="H202" s="67"/>
      <c r="I202" s="193"/>
      <c r="J202" s="193"/>
      <c r="K202" s="193"/>
      <c r="L202" s="193"/>
      <c r="M202" s="193"/>
      <c r="N202" s="193" t="s">
        <v>1743</v>
      </c>
      <c r="O202" s="202">
        <v>45842</v>
      </c>
      <c r="P202" s="146" t="s">
        <v>2926</v>
      </c>
      <c r="Q202" s="203" t="s">
        <v>3530</v>
      </c>
    </row>
    <row r="203" spans="1:887" s="73" customFormat="1" ht="20.100000000000001" customHeight="1">
      <c r="A203" s="191" t="str">
        <f>VLOOKUP(C203,'BASE DE DADOS'!A:B,2,FALSE)</f>
        <v>PREPARA INATIVOS</v>
      </c>
      <c r="B203" s="206" t="s">
        <v>496</v>
      </c>
      <c r="C203" s="191" t="s">
        <v>497</v>
      </c>
      <c r="D203" s="191"/>
      <c r="E203" s="191"/>
      <c r="F203" s="193"/>
      <c r="G203" s="192"/>
      <c r="H203" s="87"/>
      <c r="I203" s="193"/>
      <c r="J203" s="193"/>
      <c r="K203" s="193"/>
      <c r="L203" s="193"/>
      <c r="M203" s="193"/>
      <c r="N203" s="193"/>
      <c r="O203" s="193"/>
      <c r="P203" s="87"/>
      <c r="Q203" s="235" t="s">
        <v>2987</v>
      </c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  <c r="AU203" s="95"/>
      <c r="AV203" s="95"/>
      <c r="AW203" s="95"/>
      <c r="AX203" s="95"/>
      <c r="AY203" s="95"/>
      <c r="AZ203" s="95"/>
      <c r="BA203" s="95"/>
      <c r="BB203" s="95"/>
      <c r="BC203" s="95"/>
      <c r="BD203" s="95"/>
      <c r="BE203" s="95"/>
      <c r="BF203" s="95"/>
      <c r="BG203" s="95"/>
      <c r="BH203" s="95"/>
      <c r="BI203" s="95"/>
      <c r="BJ203" s="95"/>
      <c r="BK203" s="95"/>
      <c r="BL203" s="95"/>
      <c r="BM203" s="95"/>
      <c r="BN203" s="95"/>
      <c r="BO203" s="95"/>
      <c r="BP203" s="95"/>
      <c r="BQ203" s="95"/>
      <c r="BR203" s="95"/>
      <c r="BS203" s="95"/>
      <c r="BT203" s="95"/>
      <c r="BU203" s="95"/>
      <c r="BV203" s="95"/>
      <c r="BW203" s="95"/>
      <c r="BX203" s="95"/>
      <c r="BY203" s="95"/>
      <c r="BZ203" s="95"/>
      <c r="CA203" s="95"/>
      <c r="CB203" s="95"/>
      <c r="CC203" s="95"/>
      <c r="CD203" s="95"/>
      <c r="CE203" s="95"/>
      <c r="CF203" s="95"/>
      <c r="CG203" s="95"/>
      <c r="CH203" s="95"/>
      <c r="CI203" s="95"/>
      <c r="CJ203" s="95"/>
      <c r="CK203" s="95"/>
      <c r="CL203" s="95"/>
      <c r="CM203" s="95"/>
      <c r="CN203" s="95"/>
      <c r="CO203" s="95"/>
      <c r="CP203" s="95"/>
      <c r="CQ203" s="95"/>
      <c r="CR203" s="95"/>
      <c r="CS203" s="95"/>
      <c r="CT203" s="95"/>
      <c r="CU203" s="95"/>
      <c r="CV203" s="95"/>
      <c r="CW203" s="95"/>
      <c r="CX203" s="95"/>
      <c r="CY203" s="95"/>
      <c r="CZ203" s="95"/>
      <c r="DA203" s="95"/>
      <c r="DB203" s="95"/>
      <c r="DC203" s="95"/>
      <c r="DD203" s="95"/>
      <c r="DE203" s="95"/>
      <c r="DF203" s="95"/>
      <c r="DG203" s="95"/>
      <c r="DH203" s="95"/>
      <c r="DI203" s="95"/>
      <c r="DJ203" s="95"/>
      <c r="DK203" s="95"/>
      <c r="DL203" s="95"/>
      <c r="DM203" s="95"/>
      <c r="DN203" s="95"/>
      <c r="DO203" s="95"/>
      <c r="DP203" s="95"/>
      <c r="DQ203" s="95"/>
      <c r="DR203" s="95"/>
      <c r="DS203" s="95"/>
      <c r="DT203" s="95"/>
      <c r="DU203" s="95"/>
      <c r="DV203" s="95"/>
      <c r="DW203" s="95"/>
      <c r="DX203" s="95"/>
      <c r="DY203" s="95"/>
      <c r="DZ203" s="95"/>
      <c r="EA203" s="95"/>
      <c r="EB203" s="95"/>
      <c r="EC203" s="95"/>
      <c r="ED203" s="95"/>
      <c r="EE203" s="95"/>
      <c r="EF203" s="95"/>
      <c r="EG203" s="95"/>
      <c r="EH203" s="95"/>
      <c r="EI203" s="95"/>
      <c r="EJ203" s="95"/>
      <c r="EK203" s="95"/>
      <c r="EL203" s="95"/>
      <c r="EM203" s="95"/>
      <c r="EN203" s="95"/>
      <c r="EO203" s="95"/>
      <c r="EP203" s="95"/>
      <c r="EQ203" s="95"/>
      <c r="ER203" s="95"/>
      <c r="ES203" s="95"/>
      <c r="ET203" s="95"/>
      <c r="EU203" s="95"/>
      <c r="EV203" s="95"/>
      <c r="EW203" s="95"/>
      <c r="EX203" s="95"/>
      <c r="EY203" s="95"/>
      <c r="EZ203" s="95"/>
      <c r="FA203" s="95"/>
      <c r="FB203" s="95"/>
      <c r="FC203" s="95"/>
      <c r="FD203" s="95"/>
      <c r="FE203" s="95"/>
      <c r="FF203" s="95"/>
      <c r="FG203" s="95"/>
      <c r="FH203" s="95"/>
      <c r="FI203" s="95"/>
      <c r="FJ203" s="95"/>
      <c r="FK203" s="95"/>
      <c r="FL203" s="95"/>
      <c r="FM203" s="95"/>
      <c r="FN203" s="95"/>
      <c r="FO203" s="95"/>
      <c r="FP203" s="95"/>
      <c r="FQ203" s="95"/>
      <c r="FR203" s="95"/>
      <c r="FS203" s="95"/>
      <c r="FT203" s="95"/>
      <c r="FU203" s="95"/>
      <c r="FV203" s="95"/>
      <c r="FW203" s="95"/>
      <c r="FX203" s="95"/>
      <c r="FY203" s="95"/>
      <c r="FZ203" s="95"/>
      <c r="GA203" s="95"/>
      <c r="GB203" s="95"/>
      <c r="GC203" s="95"/>
      <c r="GD203" s="95"/>
      <c r="GE203" s="95"/>
      <c r="GF203" s="95"/>
      <c r="GG203" s="95"/>
      <c r="GH203" s="95"/>
      <c r="GI203" s="95"/>
      <c r="GJ203" s="95"/>
      <c r="GK203" s="95"/>
      <c r="GL203" s="95"/>
      <c r="GM203" s="95"/>
      <c r="GN203" s="95"/>
      <c r="GO203" s="95"/>
      <c r="GP203" s="95"/>
      <c r="GQ203" s="95"/>
      <c r="GR203" s="95"/>
      <c r="GS203" s="95"/>
      <c r="GT203" s="95"/>
      <c r="GU203" s="95"/>
      <c r="GV203" s="95"/>
      <c r="GW203" s="95"/>
      <c r="GX203" s="95"/>
      <c r="GY203" s="95"/>
      <c r="GZ203" s="95"/>
      <c r="HA203" s="95"/>
      <c r="HB203" s="95"/>
      <c r="HC203" s="95"/>
      <c r="HD203" s="95"/>
      <c r="HE203" s="95"/>
      <c r="HF203" s="95"/>
      <c r="HG203" s="95"/>
      <c r="HH203" s="95"/>
      <c r="HI203" s="95"/>
      <c r="HJ203" s="95"/>
      <c r="HK203" s="95"/>
      <c r="HL203" s="95"/>
      <c r="HM203" s="95"/>
      <c r="HN203" s="95"/>
      <c r="HO203" s="95"/>
      <c r="HP203" s="95"/>
      <c r="HQ203" s="95"/>
      <c r="HR203" s="95"/>
      <c r="HS203" s="95"/>
      <c r="HT203" s="95"/>
      <c r="HU203" s="95"/>
      <c r="HV203" s="95"/>
      <c r="HW203" s="95"/>
      <c r="HX203" s="95"/>
      <c r="HY203" s="95"/>
      <c r="HZ203" s="95"/>
      <c r="IA203" s="95"/>
      <c r="IB203" s="95"/>
      <c r="IC203" s="95"/>
      <c r="ID203" s="95"/>
      <c r="IE203" s="95"/>
      <c r="IF203" s="95"/>
      <c r="IG203" s="95"/>
      <c r="IH203" s="95"/>
      <c r="II203" s="95"/>
      <c r="IJ203" s="95"/>
      <c r="IK203" s="95"/>
      <c r="IL203" s="95"/>
      <c r="IM203" s="95"/>
      <c r="IN203" s="95"/>
      <c r="IO203" s="95"/>
      <c r="IP203" s="95"/>
      <c r="IQ203" s="95"/>
      <c r="IR203" s="95"/>
      <c r="IS203" s="95"/>
      <c r="IT203" s="95"/>
      <c r="IU203" s="95"/>
      <c r="IV203" s="95"/>
      <c r="IW203" s="95"/>
      <c r="IX203" s="95"/>
      <c r="IY203" s="95"/>
      <c r="IZ203" s="95"/>
      <c r="JA203" s="95"/>
      <c r="JB203" s="95"/>
      <c r="JC203" s="95"/>
      <c r="JD203" s="95"/>
      <c r="JE203" s="95"/>
      <c r="JF203" s="95"/>
      <c r="JG203" s="95"/>
      <c r="JH203" s="95"/>
      <c r="JI203" s="95"/>
      <c r="JJ203" s="95"/>
      <c r="JK203" s="95"/>
      <c r="JL203" s="95"/>
      <c r="JM203" s="95"/>
      <c r="JN203" s="95"/>
      <c r="JO203" s="95"/>
      <c r="JP203" s="95"/>
      <c r="JQ203" s="95"/>
      <c r="JR203" s="95"/>
      <c r="JS203" s="95"/>
      <c r="JT203" s="95"/>
      <c r="JU203" s="95"/>
      <c r="JV203" s="95"/>
      <c r="JW203" s="95"/>
      <c r="JX203" s="95"/>
      <c r="JY203" s="95"/>
      <c r="JZ203" s="95"/>
      <c r="KA203" s="95"/>
      <c r="KB203" s="95"/>
      <c r="KC203" s="95"/>
      <c r="KD203" s="95"/>
      <c r="KE203" s="95"/>
      <c r="KF203" s="95"/>
      <c r="KG203" s="95"/>
      <c r="KH203" s="95"/>
      <c r="KI203" s="95"/>
      <c r="KJ203" s="95"/>
      <c r="KK203" s="95"/>
      <c r="KL203" s="95"/>
      <c r="KM203" s="95"/>
      <c r="KN203" s="95"/>
      <c r="KO203" s="95"/>
      <c r="KP203" s="95"/>
      <c r="KQ203" s="95"/>
      <c r="KR203" s="95"/>
      <c r="KS203" s="95"/>
      <c r="KT203" s="95"/>
      <c r="KU203" s="95"/>
      <c r="KV203" s="95"/>
      <c r="KW203" s="95"/>
      <c r="KX203" s="95"/>
      <c r="KY203" s="95"/>
      <c r="KZ203" s="95"/>
      <c r="LA203" s="95"/>
      <c r="LB203" s="95"/>
      <c r="LC203" s="95"/>
      <c r="LD203" s="95"/>
      <c r="LE203" s="95"/>
      <c r="LF203" s="95"/>
      <c r="LG203" s="95"/>
      <c r="LH203" s="95"/>
      <c r="LI203" s="95"/>
      <c r="LJ203" s="95"/>
      <c r="LK203" s="95"/>
      <c r="LL203" s="95"/>
      <c r="LM203" s="95"/>
      <c r="LN203" s="95"/>
      <c r="LO203" s="95"/>
      <c r="LP203" s="95"/>
      <c r="LQ203" s="95"/>
      <c r="LR203" s="95"/>
      <c r="LS203" s="95"/>
      <c r="LT203" s="95"/>
      <c r="LU203" s="95"/>
      <c r="LV203" s="95"/>
      <c r="LW203" s="95"/>
      <c r="LX203" s="95"/>
      <c r="LY203" s="95"/>
      <c r="LZ203" s="95"/>
      <c r="MA203" s="95"/>
      <c r="MB203" s="95"/>
      <c r="MC203" s="95"/>
      <c r="MD203" s="95"/>
      <c r="ME203" s="95"/>
      <c r="MF203" s="95"/>
      <c r="MG203" s="95"/>
      <c r="MH203" s="95"/>
      <c r="MI203" s="95"/>
      <c r="MJ203" s="95"/>
      <c r="MK203" s="95"/>
      <c r="ML203" s="95"/>
      <c r="MM203" s="95"/>
      <c r="MN203" s="95"/>
      <c r="MO203" s="95"/>
      <c r="MP203" s="95"/>
      <c r="MQ203" s="95"/>
      <c r="MR203" s="95"/>
      <c r="MS203" s="95"/>
      <c r="MT203" s="95"/>
      <c r="MU203" s="95"/>
      <c r="MV203" s="95"/>
      <c r="MW203" s="95"/>
      <c r="MX203" s="95"/>
      <c r="MY203" s="95"/>
      <c r="MZ203" s="95"/>
      <c r="NA203" s="95"/>
      <c r="NB203" s="95"/>
      <c r="NC203" s="95"/>
      <c r="ND203" s="95"/>
      <c r="NE203" s="95"/>
      <c r="NF203" s="95"/>
      <c r="NG203" s="95"/>
      <c r="NH203" s="95"/>
      <c r="NI203" s="95"/>
      <c r="NJ203" s="95"/>
      <c r="NK203" s="95"/>
      <c r="NL203" s="95"/>
      <c r="NM203" s="95"/>
      <c r="NN203" s="95"/>
      <c r="NO203" s="95"/>
      <c r="NP203" s="95"/>
      <c r="NQ203" s="95"/>
      <c r="NR203" s="95"/>
      <c r="NS203" s="95"/>
      <c r="NT203" s="95"/>
      <c r="NU203" s="95"/>
      <c r="NV203" s="95"/>
      <c r="NW203" s="95"/>
      <c r="NX203" s="95"/>
      <c r="NY203" s="95"/>
      <c r="NZ203" s="95"/>
      <c r="OA203" s="95"/>
      <c r="OB203" s="95"/>
      <c r="OC203" s="95"/>
      <c r="OD203" s="95"/>
      <c r="OE203" s="95"/>
      <c r="OF203" s="95"/>
      <c r="OG203" s="95"/>
      <c r="OH203" s="95"/>
      <c r="OI203" s="95"/>
      <c r="OJ203" s="95"/>
      <c r="OK203" s="95"/>
      <c r="OL203" s="95"/>
      <c r="OM203" s="95"/>
      <c r="ON203" s="95"/>
      <c r="OO203" s="95"/>
      <c r="OP203" s="95"/>
      <c r="OQ203" s="95"/>
      <c r="OR203" s="95"/>
      <c r="OS203" s="95"/>
      <c r="OT203" s="95"/>
      <c r="OU203" s="95"/>
      <c r="OV203" s="95"/>
      <c r="OW203" s="95"/>
      <c r="OX203" s="95"/>
      <c r="OY203" s="95"/>
      <c r="OZ203" s="95"/>
      <c r="PA203" s="95"/>
      <c r="PB203" s="95"/>
      <c r="PC203" s="95"/>
      <c r="PD203" s="95"/>
      <c r="PE203" s="95"/>
      <c r="PF203" s="95"/>
      <c r="PG203" s="95"/>
      <c r="PH203" s="95"/>
      <c r="PI203" s="95"/>
      <c r="PJ203" s="95"/>
      <c r="PK203" s="95"/>
      <c r="PL203" s="95"/>
      <c r="PM203" s="95"/>
      <c r="PN203" s="95"/>
      <c r="PO203" s="95"/>
      <c r="PP203" s="95"/>
      <c r="PQ203" s="95"/>
      <c r="PR203" s="95"/>
      <c r="PS203" s="95"/>
      <c r="PT203" s="95"/>
      <c r="PU203" s="95"/>
      <c r="PV203" s="95"/>
      <c r="PW203" s="95"/>
      <c r="PX203" s="95"/>
      <c r="PY203" s="95"/>
      <c r="PZ203" s="95"/>
      <c r="QA203" s="95"/>
      <c r="QB203" s="95"/>
      <c r="QC203" s="95"/>
      <c r="QD203" s="95"/>
      <c r="QE203" s="95"/>
      <c r="QF203" s="95"/>
      <c r="QG203" s="95"/>
      <c r="QH203" s="95"/>
      <c r="QI203" s="95"/>
      <c r="QJ203" s="95"/>
      <c r="QK203" s="95"/>
      <c r="QL203" s="95"/>
      <c r="QM203" s="95"/>
      <c r="QN203" s="95"/>
      <c r="QO203" s="95"/>
      <c r="QP203" s="95"/>
      <c r="QQ203" s="95"/>
      <c r="QR203" s="95"/>
      <c r="QS203" s="95"/>
      <c r="QT203" s="95"/>
      <c r="QU203" s="95"/>
      <c r="QV203" s="95"/>
      <c r="QW203" s="95"/>
      <c r="QX203" s="95"/>
      <c r="QY203" s="95"/>
      <c r="QZ203" s="95"/>
      <c r="RA203" s="95"/>
      <c r="RB203" s="95"/>
      <c r="RC203" s="95"/>
      <c r="RD203" s="95"/>
      <c r="RE203" s="95"/>
      <c r="RF203" s="95"/>
      <c r="RG203" s="95"/>
      <c r="RH203" s="95"/>
      <c r="RI203" s="95"/>
      <c r="RJ203" s="95"/>
      <c r="RK203" s="95"/>
      <c r="RL203" s="95"/>
      <c r="RM203" s="95"/>
      <c r="RN203" s="95"/>
      <c r="RO203" s="95"/>
      <c r="RP203" s="95"/>
      <c r="RQ203" s="95"/>
      <c r="RR203" s="95"/>
      <c r="RS203" s="95"/>
      <c r="RT203" s="95"/>
      <c r="RU203" s="95"/>
      <c r="RV203" s="95"/>
      <c r="RW203" s="95"/>
      <c r="RX203" s="95"/>
      <c r="RY203" s="95"/>
      <c r="RZ203" s="95"/>
      <c r="SA203" s="95"/>
      <c r="SB203" s="95"/>
      <c r="SC203" s="95"/>
      <c r="SD203" s="95"/>
      <c r="SE203" s="95"/>
      <c r="SF203" s="95"/>
      <c r="SG203" s="95"/>
      <c r="SH203" s="95"/>
      <c r="SI203" s="95"/>
      <c r="SJ203" s="95"/>
      <c r="SK203" s="95"/>
      <c r="SL203" s="95"/>
      <c r="SM203" s="95"/>
      <c r="SN203" s="95"/>
      <c r="SO203" s="95"/>
      <c r="SP203" s="95"/>
      <c r="SQ203" s="95"/>
      <c r="SR203" s="95"/>
      <c r="SS203" s="95"/>
      <c r="ST203" s="95"/>
      <c r="SU203" s="95"/>
      <c r="SV203" s="95"/>
      <c r="SW203" s="95"/>
      <c r="SX203" s="95"/>
      <c r="SY203" s="95"/>
      <c r="SZ203" s="95"/>
      <c r="TA203" s="95"/>
      <c r="TB203" s="95"/>
      <c r="TC203" s="95"/>
      <c r="TD203" s="95"/>
      <c r="TE203" s="95"/>
      <c r="TF203" s="95"/>
      <c r="TG203" s="95"/>
      <c r="TH203" s="95"/>
      <c r="TI203" s="95"/>
      <c r="TJ203" s="95"/>
      <c r="TK203" s="95"/>
      <c r="TL203" s="95"/>
      <c r="TM203" s="95"/>
      <c r="TN203" s="95"/>
      <c r="TO203" s="95"/>
      <c r="TP203" s="95"/>
      <c r="TQ203" s="95"/>
      <c r="TR203" s="95"/>
      <c r="TS203" s="95"/>
      <c r="TT203" s="95"/>
      <c r="TU203" s="95"/>
      <c r="TV203" s="95"/>
      <c r="TW203" s="95"/>
      <c r="TX203" s="95"/>
      <c r="TY203" s="95"/>
      <c r="TZ203" s="95"/>
      <c r="UA203" s="95"/>
      <c r="UB203" s="95"/>
      <c r="UC203" s="95"/>
      <c r="UD203" s="95"/>
      <c r="UE203" s="95"/>
      <c r="UF203" s="95"/>
      <c r="UG203" s="95"/>
      <c r="UH203" s="95"/>
      <c r="UI203" s="95"/>
      <c r="UJ203" s="95"/>
      <c r="UK203" s="95"/>
      <c r="UL203" s="95"/>
      <c r="UM203" s="95"/>
      <c r="UN203" s="95"/>
      <c r="UO203" s="95"/>
      <c r="UP203" s="95"/>
      <c r="UQ203" s="95"/>
      <c r="UR203" s="95"/>
      <c r="US203" s="95"/>
      <c r="UT203" s="95"/>
      <c r="UU203" s="95"/>
      <c r="UV203" s="95"/>
      <c r="UW203" s="95"/>
      <c r="UX203" s="95"/>
      <c r="UY203" s="95"/>
      <c r="UZ203" s="95"/>
      <c r="VA203" s="95"/>
      <c r="VB203" s="95"/>
      <c r="VC203" s="95"/>
      <c r="VD203" s="95"/>
      <c r="VE203" s="95"/>
      <c r="VF203" s="95"/>
      <c r="VG203" s="95"/>
      <c r="VH203" s="95"/>
      <c r="VI203" s="95"/>
      <c r="VJ203" s="95"/>
      <c r="VK203" s="95"/>
      <c r="VL203" s="95"/>
      <c r="VM203" s="95"/>
      <c r="VN203" s="95"/>
      <c r="VO203" s="95"/>
      <c r="VP203" s="95"/>
      <c r="VQ203" s="95"/>
      <c r="VR203" s="95"/>
      <c r="VS203" s="95"/>
      <c r="VT203" s="95"/>
      <c r="VU203" s="95"/>
      <c r="VV203" s="95"/>
      <c r="VW203" s="95"/>
      <c r="VX203" s="95"/>
      <c r="VY203" s="95"/>
      <c r="VZ203" s="95"/>
      <c r="WA203" s="95"/>
      <c r="WB203" s="95"/>
      <c r="WC203" s="95"/>
      <c r="WD203" s="95"/>
      <c r="WE203" s="95"/>
      <c r="WF203" s="95"/>
      <c r="WG203" s="95"/>
      <c r="WH203" s="95"/>
      <c r="WI203" s="95"/>
      <c r="WJ203" s="95"/>
      <c r="WK203" s="95"/>
      <c r="WL203" s="95"/>
      <c r="WM203" s="95"/>
      <c r="WN203" s="95"/>
      <c r="WO203" s="95"/>
      <c r="WP203" s="95"/>
      <c r="WQ203" s="95"/>
      <c r="WR203" s="95"/>
      <c r="WS203" s="95"/>
      <c r="WT203" s="95"/>
      <c r="WU203" s="95"/>
      <c r="WV203" s="95"/>
      <c r="WW203" s="95"/>
      <c r="WX203" s="95"/>
      <c r="WY203" s="95"/>
      <c r="WZ203" s="95"/>
      <c r="XA203" s="95"/>
      <c r="XB203" s="95"/>
      <c r="XC203" s="95"/>
      <c r="XD203" s="95"/>
      <c r="XE203" s="95"/>
      <c r="XF203" s="95"/>
      <c r="XG203" s="95"/>
      <c r="XH203" s="95"/>
      <c r="XI203" s="95"/>
      <c r="XJ203" s="95"/>
      <c r="XK203" s="95"/>
      <c r="XL203" s="95"/>
      <c r="XM203" s="95"/>
      <c r="XN203" s="95"/>
      <c r="XO203" s="95"/>
      <c r="XP203" s="95"/>
      <c r="XQ203" s="95"/>
      <c r="XR203" s="95"/>
      <c r="XS203" s="95"/>
      <c r="XT203" s="95"/>
      <c r="XU203" s="95"/>
      <c r="XV203" s="95"/>
      <c r="XW203" s="95"/>
      <c r="XX203" s="95"/>
      <c r="XY203" s="95"/>
      <c r="XZ203" s="95"/>
      <c r="YA203" s="95"/>
      <c r="YB203" s="95"/>
      <c r="YC203" s="95"/>
      <c r="YD203" s="95"/>
      <c r="YE203" s="95"/>
      <c r="YF203" s="95"/>
      <c r="YG203" s="95"/>
      <c r="YH203" s="95"/>
      <c r="YI203" s="95"/>
      <c r="YJ203" s="95"/>
      <c r="YK203" s="95"/>
      <c r="YL203" s="95"/>
      <c r="YM203" s="95"/>
      <c r="YN203" s="95"/>
      <c r="YO203" s="95"/>
      <c r="YP203" s="95"/>
      <c r="YQ203" s="95"/>
      <c r="YR203" s="95"/>
      <c r="YS203" s="95"/>
      <c r="YT203" s="95"/>
      <c r="YU203" s="95"/>
      <c r="YV203" s="95"/>
      <c r="YW203" s="95"/>
      <c r="YX203" s="95"/>
      <c r="YY203" s="95"/>
      <c r="YZ203" s="95"/>
      <c r="ZA203" s="95"/>
      <c r="ZB203" s="95"/>
      <c r="ZC203" s="95"/>
      <c r="ZD203" s="95"/>
      <c r="ZE203" s="95"/>
      <c r="ZF203" s="95"/>
      <c r="ZG203" s="95"/>
      <c r="ZH203" s="95"/>
      <c r="ZI203" s="95"/>
      <c r="ZJ203" s="95"/>
      <c r="ZK203" s="95"/>
      <c r="ZL203" s="95"/>
      <c r="ZM203" s="95"/>
      <c r="ZN203" s="95"/>
      <c r="ZO203" s="95"/>
      <c r="ZP203" s="95"/>
      <c r="ZQ203" s="95"/>
      <c r="ZR203" s="95"/>
      <c r="ZS203" s="95"/>
      <c r="ZT203" s="95"/>
      <c r="ZU203" s="95"/>
      <c r="ZV203" s="95"/>
      <c r="ZW203" s="95"/>
      <c r="ZX203" s="95"/>
      <c r="ZY203" s="95"/>
      <c r="ZZ203" s="95"/>
      <c r="AAA203" s="95"/>
      <c r="AAB203" s="95"/>
      <c r="AAC203" s="95"/>
      <c r="AAD203" s="95"/>
      <c r="AAE203" s="95"/>
      <c r="AAF203" s="95"/>
      <c r="AAG203" s="95"/>
      <c r="AAH203" s="95"/>
      <c r="AAI203" s="95"/>
      <c r="AAJ203" s="95"/>
      <c r="AAK203" s="95"/>
      <c r="AAL203" s="95"/>
      <c r="AAM203" s="95"/>
      <c r="AAN203" s="95"/>
      <c r="AAO203" s="95"/>
      <c r="AAP203" s="95"/>
      <c r="AAQ203" s="95"/>
      <c r="AAR203" s="95"/>
      <c r="AAS203" s="95"/>
      <c r="AAT203" s="95"/>
      <c r="AAU203" s="95"/>
      <c r="AAV203" s="95"/>
      <c r="AAW203" s="95"/>
      <c r="AAX203" s="95"/>
      <c r="AAY203" s="95"/>
      <c r="AAZ203" s="95"/>
      <c r="ABA203" s="95"/>
      <c r="ABB203" s="95"/>
      <c r="ABC203" s="95"/>
      <c r="ABD203" s="95"/>
      <c r="ABE203" s="95"/>
      <c r="ABF203" s="95"/>
      <c r="ABG203" s="95"/>
      <c r="ABH203" s="95"/>
      <c r="ABI203" s="95"/>
      <c r="ABJ203" s="95"/>
      <c r="ABK203" s="95"/>
      <c r="ABL203" s="95"/>
      <c r="ABM203" s="95"/>
      <c r="ABN203" s="95"/>
      <c r="ABO203" s="95"/>
      <c r="ABP203" s="95"/>
      <c r="ABQ203" s="95"/>
      <c r="ABR203" s="95"/>
      <c r="ABS203" s="95"/>
      <c r="ABT203" s="95"/>
      <c r="ABU203" s="95"/>
      <c r="ABV203" s="95"/>
      <c r="ABW203" s="95"/>
      <c r="ABX203" s="95"/>
      <c r="ABY203" s="95"/>
      <c r="ABZ203" s="95"/>
      <c r="ACA203" s="95"/>
      <c r="ACB203" s="95"/>
      <c r="ACC203" s="95"/>
      <c r="ACD203" s="95"/>
      <c r="ACE203" s="95"/>
      <c r="ACF203" s="95"/>
      <c r="ACG203" s="95"/>
      <c r="ACH203" s="95"/>
      <c r="ACI203" s="95"/>
      <c r="ACJ203" s="95"/>
      <c r="ACK203" s="95"/>
      <c r="ACL203" s="95"/>
      <c r="ACM203" s="95"/>
      <c r="ACN203" s="95"/>
      <c r="ACO203" s="95"/>
      <c r="ACP203" s="95"/>
      <c r="ACQ203" s="95"/>
      <c r="ACR203" s="95"/>
      <c r="ACS203" s="95"/>
      <c r="ACT203" s="95"/>
      <c r="ACU203" s="95"/>
      <c r="ACV203" s="95"/>
      <c r="ACW203" s="95"/>
      <c r="ACX203" s="95"/>
      <c r="ACY203" s="95"/>
      <c r="ACZ203" s="95"/>
      <c r="ADA203" s="95"/>
      <c r="ADB203" s="95"/>
      <c r="ADC203" s="95"/>
      <c r="ADD203" s="95"/>
      <c r="ADE203" s="95"/>
      <c r="ADF203" s="95"/>
      <c r="ADG203" s="95"/>
      <c r="ADH203" s="95"/>
      <c r="ADI203" s="95"/>
      <c r="ADJ203" s="95"/>
      <c r="ADK203" s="95"/>
      <c r="ADL203" s="95"/>
      <c r="ADM203" s="95"/>
      <c r="ADN203" s="95"/>
      <c r="ADO203" s="95"/>
      <c r="ADP203" s="95"/>
      <c r="ADQ203" s="95"/>
      <c r="ADR203" s="95"/>
      <c r="ADS203" s="95"/>
      <c r="ADT203" s="95"/>
      <c r="ADU203" s="95"/>
      <c r="ADV203" s="95"/>
      <c r="ADW203" s="95"/>
      <c r="ADX203" s="95"/>
      <c r="ADY203" s="95"/>
      <c r="ADZ203" s="95"/>
      <c r="AEA203" s="95"/>
      <c r="AEB203" s="95"/>
      <c r="AEC203" s="95"/>
      <c r="AED203" s="95"/>
      <c r="AEE203" s="95"/>
      <c r="AEF203" s="95"/>
      <c r="AEG203" s="95"/>
      <c r="AEH203" s="95"/>
      <c r="AEI203" s="95"/>
      <c r="AEJ203" s="95"/>
      <c r="AEK203" s="95"/>
      <c r="AEL203" s="95"/>
      <c r="AEM203" s="95"/>
      <c r="AEN203" s="95"/>
      <c r="AEO203" s="95"/>
      <c r="AEP203" s="95"/>
      <c r="AEQ203" s="95"/>
      <c r="AER203" s="95"/>
      <c r="AES203" s="95"/>
      <c r="AET203" s="95"/>
      <c r="AEU203" s="95"/>
      <c r="AEV203" s="95"/>
      <c r="AEW203" s="95"/>
      <c r="AEX203" s="95"/>
      <c r="AEY203" s="95"/>
      <c r="AEZ203" s="95"/>
      <c r="AFA203" s="95"/>
      <c r="AFB203" s="95"/>
      <c r="AFC203" s="95"/>
      <c r="AFD203" s="95"/>
      <c r="AFE203" s="95"/>
      <c r="AFF203" s="95"/>
      <c r="AFG203" s="95"/>
      <c r="AFH203" s="95"/>
      <c r="AFI203" s="95"/>
      <c r="AFJ203" s="95"/>
      <c r="AFK203" s="95"/>
      <c r="AFL203" s="95"/>
      <c r="AFM203" s="95"/>
      <c r="AFN203" s="95"/>
      <c r="AFO203" s="95"/>
      <c r="AFP203" s="95"/>
      <c r="AFQ203" s="95"/>
      <c r="AFR203" s="95"/>
      <c r="AFS203" s="95"/>
      <c r="AFT203" s="95"/>
      <c r="AFU203" s="95"/>
      <c r="AFV203" s="95"/>
      <c r="AFW203" s="95"/>
      <c r="AFX203" s="95"/>
      <c r="AFY203" s="95"/>
      <c r="AFZ203" s="95"/>
      <c r="AGA203" s="95"/>
      <c r="AGB203" s="95"/>
      <c r="AGC203" s="95"/>
      <c r="AGD203" s="95"/>
      <c r="AGE203" s="95"/>
      <c r="AGF203" s="95"/>
      <c r="AGG203" s="95"/>
      <c r="AGH203" s="95"/>
      <c r="AGI203" s="95"/>
      <c r="AGJ203" s="95"/>
      <c r="AGK203" s="95"/>
      <c r="AGL203" s="95"/>
      <c r="AGM203" s="95"/>
      <c r="AGN203" s="95"/>
      <c r="AGO203" s="95"/>
      <c r="AGP203" s="95"/>
      <c r="AGQ203" s="95"/>
      <c r="AGR203" s="95"/>
      <c r="AGS203" s="95"/>
      <c r="AGT203" s="95"/>
      <c r="AGU203" s="95"/>
      <c r="AGV203" s="95"/>
      <c r="AGW203" s="95"/>
      <c r="AGX203" s="95"/>
      <c r="AGY203" s="95"/>
      <c r="AGZ203" s="95"/>
      <c r="AHA203" s="95"/>
      <c r="AHB203" s="95"/>
      <c r="AHC203" s="95"/>
    </row>
    <row r="204" spans="1:887" ht="20.100000000000001" customHeight="1">
      <c r="A204" s="198" t="str">
        <f>VLOOKUP(C204,'BASE DE DADOS'!A:B,2,FALSE)</f>
        <v>PREPARA INATIVOS</v>
      </c>
      <c r="B204" s="199" t="s">
        <v>352</v>
      </c>
      <c r="C204" s="198" t="s">
        <v>353</v>
      </c>
      <c r="D204" s="232">
        <v>15654.2</v>
      </c>
      <c r="E204" s="232"/>
      <c r="F204" s="233"/>
      <c r="G204" s="200"/>
      <c r="H204" s="201"/>
      <c r="I204" s="201"/>
      <c r="J204" s="201" t="s">
        <v>1743</v>
      </c>
      <c r="K204" s="201"/>
      <c r="L204" s="201"/>
      <c r="M204" s="201"/>
      <c r="N204" s="201"/>
      <c r="O204" s="201"/>
      <c r="P204" s="157"/>
      <c r="Q204" s="195" t="s">
        <v>2637</v>
      </c>
    </row>
    <row r="205" spans="1:887" s="73" customFormat="1" ht="20.100000000000001" customHeight="1">
      <c r="A205" s="191" t="str">
        <f>VLOOKUP(C205,'BASE DE DADOS'!A:B,2,FALSE)</f>
        <v>PREPARA INATIVOS</v>
      </c>
      <c r="B205" s="90" t="s">
        <v>263</v>
      </c>
      <c r="C205" s="191" t="s">
        <v>264</v>
      </c>
      <c r="D205" s="227">
        <v>444485.23</v>
      </c>
      <c r="E205" s="98">
        <v>389610.58</v>
      </c>
      <c r="F205" s="228"/>
      <c r="G205" s="192"/>
      <c r="H205" s="87"/>
      <c r="I205" s="193"/>
      <c r="J205" s="193"/>
      <c r="K205" s="193"/>
      <c r="L205" s="193"/>
      <c r="M205" s="193"/>
      <c r="N205" s="193" t="s">
        <v>1743</v>
      </c>
      <c r="O205" s="202">
        <v>45838</v>
      </c>
      <c r="P205" s="145" t="s">
        <v>2927</v>
      </c>
      <c r="Q205" s="235" t="s">
        <v>2928</v>
      </c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  <c r="AU205" s="95"/>
      <c r="AV205" s="95"/>
      <c r="AW205" s="95"/>
      <c r="AX205" s="95"/>
      <c r="AY205" s="95"/>
      <c r="AZ205" s="95"/>
      <c r="BA205" s="95"/>
      <c r="BB205" s="95"/>
      <c r="BC205" s="95"/>
      <c r="BD205" s="95"/>
      <c r="BE205" s="95"/>
      <c r="BF205" s="95"/>
      <c r="BG205" s="95"/>
      <c r="BH205" s="95"/>
      <c r="BI205" s="95"/>
      <c r="BJ205" s="95"/>
      <c r="BK205" s="95"/>
      <c r="BL205" s="95"/>
      <c r="BM205" s="95"/>
      <c r="BN205" s="95"/>
      <c r="BO205" s="95"/>
      <c r="BP205" s="95"/>
      <c r="BQ205" s="95"/>
      <c r="BR205" s="95"/>
      <c r="BS205" s="95"/>
      <c r="BT205" s="95"/>
      <c r="BU205" s="95"/>
      <c r="BV205" s="95"/>
      <c r="BW205" s="95"/>
      <c r="BX205" s="95"/>
      <c r="BY205" s="95"/>
      <c r="BZ205" s="95"/>
      <c r="CA205" s="95"/>
      <c r="CB205" s="95"/>
      <c r="CC205" s="95"/>
      <c r="CD205" s="95"/>
      <c r="CE205" s="95"/>
      <c r="CF205" s="95"/>
      <c r="CG205" s="95"/>
      <c r="CH205" s="95"/>
      <c r="CI205" s="95"/>
      <c r="CJ205" s="95"/>
      <c r="CK205" s="95"/>
      <c r="CL205" s="95"/>
      <c r="CM205" s="95"/>
      <c r="CN205" s="95"/>
      <c r="CO205" s="95"/>
      <c r="CP205" s="95"/>
      <c r="CQ205" s="95"/>
      <c r="CR205" s="95"/>
      <c r="CS205" s="95"/>
      <c r="CT205" s="95"/>
      <c r="CU205" s="95"/>
      <c r="CV205" s="95"/>
      <c r="CW205" s="95"/>
      <c r="CX205" s="95"/>
      <c r="CY205" s="95"/>
      <c r="CZ205" s="95"/>
      <c r="DA205" s="95"/>
      <c r="DB205" s="95"/>
      <c r="DC205" s="95"/>
      <c r="DD205" s="95"/>
      <c r="DE205" s="95"/>
      <c r="DF205" s="95"/>
      <c r="DG205" s="95"/>
      <c r="DH205" s="95"/>
      <c r="DI205" s="95"/>
      <c r="DJ205" s="95"/>
      <c r="DK205" s="95"/>
      <c r="DL205" s="95"/>
      <c r="DM205" s="95"/>
      <c r="DN205" s="95"/>
      <c r="DO205" s="95"/>
      <c r="DP205" s="95"/>
      <c r="DQ205" s="95"/>
      <c r="DR205" s="95"/>
      <c r="DS205" s="95"/>
      <c r="DT205" s="95"/>
      <c r="DU205" s="95"/>
      <c r="DV205" s="95"/>
      <c r="DW205" s="95"/>
      <c r="DX205" s="95"/>
      <c r="DY205" s="95"/>
      <c r="DZ205" s="95"/>
      <c r="EA205" s="95"/>
      <c r="EB205" s="95"/>
      <c r="EC205" s="95"/>
      <c r="ED205" s="95"/>
      <c r="EE205" s="95"/>
      <c r="EF205" s="95"/>
      <c r="EG205" s="95"/>
      <c r="EH205" s="95"/>
      <c r="EI205" s="95"/>
      <c r="EJ205" s="95"/>
      <c r="EK205" s="95"/>
      <c r="EL205" s="95"/>
      <c r="EM205" s="95"/>
      <c r="EN205" s="95"/>
      <c r="EO205" s="95"/>
      <c r="EP205" s="95"/>
      <c r="EQ205" s="95"/>
      <c r="ER205" s="95"/>
      <c r="ES205" s="95"/>
      <c r="ET205" s="95"/>
      <c r="EU205" s="95"/>
      <c r="EV205" s="95"/>
      <c r="EW205" s="95"/>
      <c r="EX205" s="95"/>
      <c r="EY205" s="95"/>
      <c r="EZ205" s="95"/>
      <c r="FA205" s="95"/>
      <c r="FB205" s="95"/>
      <c r="FC205" s="95"/>
      <c r="FD205" s="95"/>
      <c r="FE205" s="95"/>
      <c r="FF205" s="95"/>
      <c r="FG205" s="95"/>
      <c r="FH205" s="95"/>
      <c r="FI205" s="95"/>
      <c r="FJ205" s="95"/>
      <c r="FK205" s="95"/>
      <c r="FL205" s="95"/>
      <c r="FM205" s="95"/>
      <c r="FN205" s="95"/>
      <c r="FO205" s="95"/>
      <c r="FP205" s="95"/>
      <c r="FQ205" s="95"/>
      <c r="FR205" s="95"/>
      <c r="FS205" s="95"/>
      <c r="FT205" s="95"/>
      <c r="FU205" s="95"/>
      <c r="FV205" s="95"/>
      <c r="FW205" s="95"/>
      <c r="FX205" s="95"/>
      <c r="FY205" s="95"/>
      <c r="FZ205" s="95"/>
      <c r="GA205" s="95"/>
      <c r="GB205" s="95"/>
      <c r="GC205" s="95"/>
      <c r="GD205" s="95"/>
      <c r="GE205" s="95"/>
      <c r="GF205" s="95"/>
      <c r="GG205" s="95"/>
      <c r="GH205" s="95"/>
      <c r="GI205" s="95"/>
      <c r="GJ205" s="95"/>
      <c r="GK205" s="95"/>
      <c r="GL205" s="95"/>
      <c r="GM205" s="95"/>
      <c r="GN205" s="95"/>
      <c r="GO205" s="95"/>
      <c r="GP205" s="95"/>
      <c r="GQ205" s="95"/>
      <c r="GR205" s="95"/>
      <c r="GS205" s="95"/>
      <c r="GT205" s="95"/>
      <c r="GU205" s="95"/>
      <c r="GV205" s="95"/>
      <c r="GW205" s="95"/>
      <c r="GX205" s="95"/>
      <c r="GY205" s="95"/>
      <c r="GZ205" s="95"/>
      <c r="HA205" s="95"/>
      <c r="HB205" s="95"/>
      <c r="HC205" s="95"/>
      <c r="HD205" s="95"/>
      <c r="HE205" s="95"/>
      <c r="HF205" s="95"/>
      <c r="HG205" s="95"/>
      <c r="HH205" s="95"/>
      <c r="HI205" s="95"/>
      <c r="HJ205" s="95"/>
      <c r="HK205" s="95"/>
      <c r="HL205" s="95"/>
      <c r="HM205" s="95"/>
      <c r="HN205" s="95"/>
      <c r="HO205" s="95"/>
      <c r="HP205" s="95"/>
      <c r="HQ205" s="95"/>
      <c r="HR205" s="95"/>
      <c r="HS205" s="95"/>
      <c r="HT205" s="95"/>
      <c r="HU205" s="95"/>
      <c r="HV205" s="95"/>
      <c r="HW205" s="95"/>
      <c r="HX205" s="95"/>
      <c r="HY205" s="95"/>
      <c r="HZ205" s="95"/>
      <c r="IA205" s="95"/>
      <c r="IB205" s="95"/>
      <c r="IC205" s="95"/>
      <c r="ID205" s="95"/>
      <c r="IE205" s="95"/>
      <c r="IF205" s="95"/>
      <c r="IG205" s="95"/>
      <c r="IH205" s="95"/>
      <c r="II205" s="95"/>
      <c r="IJ205" s="95"/>
      <c r="IK205" s="95"/>
      <c r="IL205" s="95"/>
      <c r="IM205" s="95"/>
      <c r="IN205" s="95"/>
      <c r="IO205" s="95"/>
      <c r="IP205" s="95"/>
      <c r="IQ205" s="95"/>
      <c r="IR205" s="95"/>
      <c r="IS205" s="95"/>
      <c r="IT205" s="95"/>
      <c r="IU205" s="95"/>
      <c r="IV205" s="95"/>
      <c r="IW205" s="95"/>
      <c r="IX205" s="95"/>
      <c r="IY205" s="95"/>
      <c r="IZ205" s="95"/>
      <c r="JA205" s="95"/>
      <c r="JB205" s="95"/>
      <c r="JC205" s="95"/>
      <c r="JD205" s="95"/>
      <c r="JE205" s="95"/>
      <c r="JF205" s="95"/>
      <c r="JG205" s="95"/>
      <c r="JH205" s="95"/>
      <c r="JI205" s="95"/>
      <c r="JJ205" s="95"/>
      <c r="JK205" s="95"/>
      <c r="JL205" s="95"/>
      <c r="JM205" s="95"/>
      <c r="JN205" s="95"/>
      <c r="JO205" s="95"/>
      <c r="JP205" s="95"/>
      <c r="JQ205" s="95"/>
      <c r="JR205" s="95"/>
      <c r="JS205" s="95"/>
      <c r="JT205" s="95"/>
      <c r="JU205" s="95"/>
      <c r="JV205" s="95"/>
      <c r="JW205" s="95"/>
      <c r="JX205" s="95"/>
      <c r="JY205" s="95"/>
      <c r="JZ205" s="95"/>
      <c r="KA205" s="95"/>
      <c r="KB205" s="95"/>
      <c r="KC205" s="95"/>
      <c r="KD205" s="95"/>
      <c r="KE205" s="95"/>
      <c r="KF205" s="95"/>
      <c r="KG205" s="95"/>
      <c r="KH205" s="95"/>
      <c r="KI205" s="95"/>
      <c r="KJ205" s="95"/>
      <c r="KK205" s="95"/>
      <c r="KL205" s="95"/>
      <c r="KM205" s="95"/>
      <c r="KN205" s="95"/>
      <c r="KO205" s="95"/>
      <c r="KP205" s="95"/>
      <c r="KQ205" s="95"/>
      <c r="KR205" s="95"/>
      <c r="KS205" s="95"/>
      <c r="KT205" s="95"/>
      <c r="KU205" s="95"/>
      <c r="KV205" s="95"/>
      <c r="KW205" s="95"/>
      <c r="KX205" s="95"/>
      <c r="KY205" s="95"/>
      <c r="KZ205" s="95"/>
      <c r="LA205" s="95"/>
      <c r="LB205" s="95"/>
      <c r="LC205" s="95"/>
      <c r="LD205" s="95"/>
      <c r="LE205" s="95"/>
      <c r="LF205" s="95"/>
      <c r="LG205" s="95"/>
      <c r="LH205" s="95"/>
      <c r="LI205" s="95"/>
      <c r="LJ205" s="95"/>
      <c r="LK205" s="95"/>
      <c r="LL205" s="95"/>
      <c r="LM205" s="95"/>
      <c r="LN205" s="95"/>
      <c r="LO205" s="95"/>
      <c r="LP205" s="95"/>
      <c r="LQ205" s="95"/>
      <c r="LR205" s="95"/>
      <c r="LS205" s="95"/>
      <c r="LT205" s="95"/>
      <c r="LU205" s="95"/>
      <c r="LV205" s="95"/>
      <c r="LW205" s="95"/>
      <c r="LX205" s="95"/>
      <c r="LY205" s="95"/>
      <c r="LZ205" s="95"/>
      <c r="MA205" s="95"/>
      <c r="MB205" s="95"/>
      <c r="MC205" s="95"/>
      <c r="MD205" s="95"/>
      <c r="ME205" s="95"/>
      <c r="MF205" s="95"/>
      <c r="MG205" s="95"/>
      <c r="MH205" s="95"/>
      <c r="MI205" s="95"/>
      <c r="MJ205" s="95"/>
      <c r="MK205" s="95"/>
      <c r="ML205" s="95"/>
      <c r="MM205" s="95"/>
      <c r="MN205" s="95"/>
      <c r="MO205" s="95"/>
      <c r="MP205" s="95"/>
      <c r="MQ205" s="95"/>
      <c r="MR205" s="95"/>
      <c r="MS205" s="95"/>
      <c r="MT205" s="95"/>
      <c r="MU205" s="95"/>
      <c r="MV205" s="95"/>
      <c r="MW205" s="95"/>
      <c r="MX205" s="95"/>
      <c r="MY205" s="95"/>
      <c r="MZ205" s="95"/>
      <c r="NA205" s="95"/>
      <c r="NB205" s="95"/>
      <c r="NC205" s="95"/>
      <c r="ND205" s="95"/>
      <c r="NE205" s="95"/>
      <c r="NF205" s="95"/>
      <c r="NG205" s="95"/>
      <c r="NH205" s="95"/>
      <c r="NI205" s="95"/>
      <c r="NJ205" s="95"/>
      <c r="NK205" s="95"/>
      <c r="NL205" s="95"/>
      <c r="NM205" s="95"/>
      <c r="NN205" s="95"/>
      <c r="NO205" s="95"/>
      <c r="NP205" s="95"/>
      <c r="NQ205" s="95"/>
      <c r="NR205" s="95"/>
      <c r="NS205" s="95"/>
      <c r="NT205" s="95"/>
      <c r="NU205" s="95"/>
      <c r="NV205" s="95"/>
      <c r="NW205" s="95"/>
      <c r="NX205" s="95"/>
      <c r="NY205" s="95"/>
      <c r="NZ205" s="95"/>
      <c r="OA205" s="95"/>
      <c r="OB205" s="95"/>
      <c r="OC205" s="95"/>
      <c r="OD205" s="95"/>
      <c r="OE205" s="95"/>
      <c r="OF205" s="95"/>
      <c r="OG205" s="95"/>
      <c r="OH205" s="95"/>
      <c r="OI205" s="95"/>
      <c r="OJ205" s="95"/>
      <c r="OK205" s="95"/>
      <c r="OL205" s="95"/>
      <c r="OM205" s="95"/>
      <c r="ON205" s="95"/>
      <c r="OO205" s="95"/>
      <c r="OP205" s="95"/>
      <c r="OQ205" s="95"/>
      <c r="OR205" s="95"/>
      <c r="OS205" s="95"/>
      <c r="OT205" s="95"/>
      <c r="OU205" s="95"/>
      <c r="OV205" s="95"/>
      <c r="OW205" s="95"/>
      <c r="OX205" s="95"/>
      <c r="OY205" s="95"/>
      <c r="OZ205" s="95"/>
      <c r="PA205" s="95"/>
      <c r="PB205" s="95"/>
      <c r="PC205" s="95"/>
      <c r="PD205" s="95"/>
      <c r="PE205" s="95"/>
      <c r="PF205" s="95"/>
      <c r="PG205" s="95"/>
      <c r="PH205" s="95"/>
      <c r="PI205" s="95"/>
      <c r="PJ205" s="95"/>
      <c r="PK205" s="95"/>
      <c r="PL205" s="95"/>
      <c r="PM205" s="95"/>
      <c r="PN205" s="95"/>
      <c r="PO205" s="95"/>
      <c r="PP205" s="95"/>
      <c r="PQ205" s="95"/>
      <c r="PR205" s="95"/>
      <c r="PS205" s="95"/>
      <c r="PT205" s="95"/>
      <c r="PU205" s="95"/>
      <c r="PV205" s="95"/>
      <c r="PW205" s="95"/>
      <c r="PX205" s="95"/>
      <c r="PY205" s="95"/>
      <c r="PZ205" s="95"/>
      <c r="QA205" s="95"/>
      <c r="QB205" s="95"/>
      <c r="QC205" s="95"/>
      <c r="QD205" s="95"/>
      <c r="QE205" s="95"/>
      <c r="QF205" s="95"/>
      <c r="QG205" s="95"/>
      <c r="QH205" s="95"/>
      <c r="QI205" s="95"/>
      <c r="QJ205" s="95"/>
      <c r="QK205" s="95"/>
      <c r="QL205" s="95"/>
      <c r="QM205" s="95"/>
      <c r="QN205" s="95"/>
      <c r="QO205" s="95"/>
      <c r="QP205" s="95"/>
      <c r="QQ205" s="95"/>
      <c r="QR205" s="95"/>
      <c r="QS205" s="95"/>
      <c r="QT205" s="95"/>
      <c r="QU205" s="95"/>
      <c r="QV205" s="95"/>
      <c r="QW205" s="95"/>
      <c r="QX205" s="95"/>
      <c r="QY205" s="95"/>
      <c r="QZ205" s="95"/>
      <c r="RA205" s="95"/>
      <c r="RB205" s="95"/>
      <c r="RC205" s="95"/>
      <c r="RD205" s="95"/>
      <c r="RE205" s="95"/>
      <c r="RF205" s="95"/>
      <c r="RG205" s="95"/>
      <c r="RH205" s="95"/>
      <c r="RI205" s="95"/>
      <c r="RJ205" s="95"/>
      <c r="RK205" s="95"/>
      <c r="RL205" s="95"/>
      <c r="RM205" s="95"/>
      <c r="RN205" s="95"/>
      <c r="RO205" s="95"/>
      <c r="RP205" s="95"/>
      <c r="RQ205" s="95"/>
      <c r="RR205" s="95"/>
      <c r="RS205" s="95"/>
      <c r="RT205" s="95"/>
      <c r="RU205" s="95"/>
      <c r="RV205" s="95"/>
      <c r="RW205" s="95"/>
      <c r="RX205" s="95"/>
      <c r="RY205" s="95"/>
      <c r="RZ205" s="95"/>
      <c r="SA205" s="95"/>
      <c r="SB205" s="95"/>
      <c r="SC205" s="95"/>
      <c r="SD205" s="95"/>
      <c r="SE205" s="95"/>
      <c r="SF205" s="95"/>
      <c r="SG205" s="95"/>
      <c r="SH205" s="95"/>
      <c r="SI205" s="95"/>
      <c r="SJ205" s="95"/>
      <c r="SK205" s="95"/>
      <c r="SL205" s="95"/>
      <c r="SM205" s="95"/>
      <c r="SN205" s="95"/>
      <c r="SO205" s="95"/>
      <c r="SP205" s="95"/>
      <c r="SQ205" s="95"/>
      <c r="SR205" s="95"/>
      <c r="SS205" s="95"/>
      <c r="ST205" s="95"/>
      <c r="SU205" s="95"/>
      <c r="SV205" s="95"/>
      <c r="SW205" s="95"/>
      <c r="SX205" s="95"/>
      <c r="SY205" s="95"/>
      <c r="SZ205" s="95"/>
      <c r="TA205" s="95"/>
      <c r="TB205" s="95"/>
      <c r="TC205" s="95"/>
      <c r="TD205" s="95"/>
      <c r="TE205" s="95"/>
      <c r="TF205" s="95"/>
      <c r="TG205" s="95"/>
      <c r="TH205" s="95"/>
      <c r="TI205" s="95"/>
      <c r="TJ205" s="95"/>
      <c r="TK205" s="95"/>
      <c r="TL205" s="95"/>
      <c r="TM205" s="95"/>
      <c r="TN205" s="95"/>
      <c r="TO205" s="95"/>
      <c r="TP205" s="95"/>
      <c r="TQ205" s="95"/>
      <c r="TR205" s="95"/>
      <c r="TS205" s="95"/>
      <c r="TT205" s="95"/>
      <c r="TU205" s="95"/>
      <c r="TV205" s="95"/>
      <c r="TW205" s="95"/>
      <c r="TX205" s="95"/>
      <c r="TY205" s="95"/>
      <c r="TZ205" s="95"/>
      <c r="UA205" s="95"/>
      <c r="UB205" s="95"/>
      <c r="UC205" s="95"/>
      <c r="UD205" s="95"/>
      <c r="UE205" s="95"/>
      <c r="UF205" s="95"/>
      <c r="UG205" s="95"/>
      <c r="UH205" s="95"/>
      <c r="UI205" s="95"/>
      <c r="UJ205" s="95"/>
      <c r="UK205" s="95"/>
      <c r="UL205" s="95"/>
      <c r="UM205" s="95"/>
      <c r="UN205" s="95"/>
      <c r="UO205" s="95"/>
      <c r="UP205" s="95"/>
      <c r="UQ205" s="95"/>
      <c r="UR205" s="95"/>
      <c r="US205" s="95"/>
      <c r="UT205" s="95"/>
      <c r="UU205" s="95"/>
      <c r="UV205" s="95"/>
      <c r="UW205" s="95"/>
      <c r="UX205" s="95"/>
      <c r="UY205" s="95"/>
      <c r="UZ205" s="95"/>
      <c r="VA205" s="95"/>
      <c r="VB205" s="95"/>
      <c r="VC205" s="95"/>
      <c r="VD205" s="95"/>
      <c r="VE205" s="95"/>
      <c r="VF205" s="95"/>
      <c r="VG205" s="95"/>
      <c r="VH205" s="95"/>
      <c r="VI205" s="95"/>
      <c r="VJ205" s="95"/>
      <c r="VK205" s="95"/>
      <c r="VL205" s="95"/>
      <c r="VM205" s="95"/>
      <c r="VN205" s="95"/>
      <c r="VO205" s="95"/>
      <c r="VP205" s="95"/>
      <c r="VQ205" s="95"/>
      <c r="VR205" s="95"/>
      <c r="VS205" s="95"/>
      <c r="VT205" s="95"/>
      <c r="VU205" s="95"/>
      <c r="VV205" s="95"/>
      <c r="VW205" s="95"/>
      <c r="VX205" s="95"/>
      <c r="VY205" s="95"/>
      <c r="VZ205" s="95"/>
      <c r="WA205" s="95"/>
      <c r="WB205" s="95"/>
      <c r="WC205" s="95"/>
      <c r="WD205" s="95"/>
      <c r="WE205" s="95"/>
      <c r="WF205" s="95"/>
      <c r="WG205" s="95"/>
      <c r="WH205" s="95"/>
      <c r="WI205" s="95"/>
      <c r="WJ205" s="95"/>
      <c r="WK205" s="95"/>
      <c r="WL205" s="95"/>
      <c r="WM205" s="95"/>
      <c r="WN205" s="95"/>
      <c r="WO205" s="95"/>
      <c r="WP205" s="95"/>
      <c r="WQ205" s="95"/>
      <c r="WR205" s="95"/>
      <c r="WS205" s="95"/>
      <c r="WT205" s="95"/>
      <c r="WU205" s="95"/>
      <c r="WV205" s="95"/>
      <c r="WW205" s="95"/>
      <c r="WX205" s="95"/>
      <c r="WY205" s="95"/>
      <c r="WZ205" s="95"/>
      <c r="XA205" s="95"/>
      <c r="XB205" s="95"/>
      <c r="XC205" s="95"/>
      <c r="XD205" s="95"/>
      <c r="XE205" s="95"/>
      <c r="XF205" s="95"/>
      <c r="XG205" s="95"/>
      <c r="XH205" s="95"/>
      <c r="XI205" s="95"/>
      <c r="XJ205" s="95"/>
      <c r="XK205" s="95"/>
      <c r="XL205" s="95"/>
      <c r="XM205" s="95"/>
      <c r="XN205" s="95"/>
      <c r="XO205" s="95"/>
      <c r="XP205" s="95"/>
      <c r="XQ205" s="95"/>
      <c r="XR205" s="95"/>
      <c r="XS205" s="95"/>
      <c r="XT205" s="95"/>
      <c r="XU205" s="95"/>
      <c r="XV205" s="95"/>
      <c r="XW205" s="95"/>
      <c r="XX205" s="95"/>
      <c r="XY205" s="95"/>
      <c r="XZ205" s="95"/>
      <c r="YA205" s="95"/>
      <c r="YB205" s="95"/>
      <c r="YC205" s="95"/>
      <c r="YD205" s="95"/>
      <c r="YE205" s="95"/>
      <c r="YF205" s="95"/>
      <c r="YG205" s="95"/>
      <c r="YH205" s="95"/>
      <c r="YI205" s="95"/>
      <c r="YJ205" s="95"/>
      <c r="YK205" s="95"/>
      <c r="YL205" s="95"/>
      <c r="YM205" s="95"/>
      <c r="YN205" s="95"/>
      <c r="YO205" s="95"/>
      <c r="YP205" s="95"/>
      <c r="YQ205" s="95"/>
      <c r="YR205" s="95"/>
      <c r="YS205" s="95"/>
      <c r="YT205" s="95"/>
      <c r="YU205" s="95"/>
      <c r="YV205" s="95"/>
      <c r="YW205" s="95"/>
      <c r="YX205" s="95"/>
      <c r="YY205" s="95"/>
      <c r="YZ205" s="95"/>
      <c r="ZA205" s="95"/>
      <c r="ZB205" s="95"/>
      <c r="ZC205" s="95"/>
      <c r="ZD205" s="95"/>
      <c r="ZE205" s="95"/>
      <c r="ZF205" s="95"/>
      <c r="ZG205" s="95"/>
      <c r="ZH205" s="95"/>
      <c r="ZI205" s="95"/>
      <c r="ZJ205" s="95"/>
      <c r="ZK205" s="95"/>
      <c r="ZL205" s="95"/>
      <c r="ZM205" s="95"/>
      <c r="ZN205" s="95"/>
      <c r="ZO205" s="95"/>
      <c r="ZP205" s="95"/>
      <c r="ZQ205" s="95"/>
      <c r="ZR205" s="95"/>
      <c r="ZS205" s="95"/>
      <c r="ZT205" s="95"/>
      <c r="ZU205" s="95"/>
      <c r="ZV205" s="95"/>
      <c r="ZW205" s="95"/>
      <c r="ZX205" s="95"/>
      <c r="ZY205" s="95"/>
      <c r="ZZ205" s="95"/>
      <c r="AAA205" s="95"/>
      <c r="AAB205" s="95"/>
      <c r="AAC205" s="95"/>
      <c r="AAD205" s="95"/>
      <c r="AAE205" s="95"/>
      <c r="AAF205" s="95"/>
      <c r="AAG205" s="95"/>
      <c r="AAH205" s="95"/>
      <c r="AAI205" s="95"/>
      <c r="AAJ205" s="95"/>
      <c r="AAK205" s="95"/>
      <c r="AAL205" s="95"/>
      <c r="AAM205" s="95"/>
      <c r="AAN205" s="95"/>
      <c r="AAO205" s="95"/>
      <c r="AAP205" s="95"/>
      <c r="AAQ205" s="95"/>
      <c r="AAR205" s="95"/>
      <c r="AAS205" s="95"/>
      <c r="AAT205" s="95"/>
      <c r="AAU205" s="95"/>
      <c r="AAV205" s="95"/>
      <c r="AAW205" s="95"/>
      <c r="AAX205" s="95"/>
      <c r="AAY205" s="95"/>
      <c r="AAZ205" s="95"/>
      <c r="ABA205" s="95"/>
      <c r="ABB205" s="95"/>
      <c r="ABC205" s="95"/>
      <c r="ABD205" s="95"/>
      <c r="ABE205" s="95"/>
      <c r="ABF205" s="95"/>
      <c r="ABG205" s="95"/>
      <c r="ABH205" s="95"/>
      <c r="ABI205" s="95"/>
      <c r="ABJ205" s="95"/>
      <c r="ABK205" s="95"/>
      <c r="ABL205" s="95"/>
      <c r="ABM205" s="95"/>
      <c r="ABN205" s="95"/>
      <c r="ABO205" s="95"/>
      <c r="ABP205" s="95"/>
      <c r="ABQ205" s="95"/>
      <c r="ABR205" s="95"/>
      <c r="ABS205" s="95"/>
      <c r="ABT205" s="95"/>
      <c r="ABU205" s="95"/>
      <c r="ABV205" s="95"/>
      <c r="ABW205" s="95"/>
      <c r="ABX205" s="95"/>
      <c r="ABY205" s="95"/>
      <c r="ABZ205" s="95"/>
      <c r="ACA205" s="95"/>
      <c r="ACB205" s="95"/>
      <c r="ACC205" s="95"/>
      <c r="ACD205" s="95"/>
      <c r="ACE205" s="95"/>
      <c r="ACF205" s="95"/>
      <c r="ACG205" s="95"/>
      <c r="ACH205" s="95"/>
      <c r="ACI205" s="95"/>
      <c r="ACJ205" s="95"/>
      <c r="ACK205" s="95"/>
      <c r="ACL205" s="95"/>
      <c r="ACM205" s="95"/>
      <c r="ACN205" s="95"/>
      <c r="ACO205" s="95"/>
      <c r="ACP205" s="95"/>
      <c r="ACQ205" s="95"/>
      <c r="ACR205" s="95"/>
      <c r="ACS205" s="95"/>
      <c r="ACT205" s="95"/>
      <c r="ACU205" s="95"/>
      <c r="ACV205" s="95"/>
      <c r="ACW205" s="95"/>
      <c r="ACX205" s="95"/>
      <c r="ACY205" s="95"/>
      <c r="ACZ205" s="95"/>
      <c r="ADA205" s="95"/>
      <c r="ADB205" s="95"/>
      <c r="ADC205" s="95"/>
      <c r="ADD205" s="95"/>
      <c r="ADE205" s="95"/>
      <c r="ADF205" s="95"/>
      <c r="ADG205" s="95"/>
      <c r="ADH205" s="95"/>
      <c r="ADI205" s="95"/>
      <c r="ADJ205" s="95"/>
      <c r="ADK205" s="95"/>
      <c r="ADL205" s="95"/>
      <c r="ADM205" s="95"/>
      <c r="ADN205" s="95"/>
      <c r="ADO205" s="95"/>
      <c r="ADP205" s="95"/>
      <c r="ADQ205" s="95"/>
      <c r="ADR205" s="95"/>
      <c r="ADS205" s="95"/>
      <c r="ADT205" s="95"/>
      <c r="ADU205" s="95"/>
      <c r="ADV205" s="95"/>
      <c r="ADW205" s="95"/>
      <c r="ADX205" s="95"/>
      <c r="ADY205" s="95"/>
      <c r="ADZ205" s="95"/>
      <c r="AEA205" s="95"/>
      <c r="AEB205" s="95"/>
      <c r="AEC205" s="95"/>
      <c r="AED205" s="95"/>
      <c r="AEE205" s="95"/>
      <c r="AEF205" s="95"/>
      <c r="AEG205" s="95"/>
      <c r="AEH205" s="95"/>
      <c r="AEI205" s="95"/>
      <c r="AEJ205" s="95"/>
      <c r="AEK205" s="95"/>
      <c r="AEL205" s="95"/>
      <c r="AEM205" s="95"/>
      <c r="AEN205" s="95"/>
      <c r="AEO205" s="95"/>
      <c r="AEP205" s="95"/>
      <c r="AEQ205" s="95"/>
      <c r="AER205" s="95"/>
      <c r="AES205" s="95"/>
      <c r="AET205" s="95"/>
      <c r="AEU205" s="95"/>
      <c r="AEV205" s="95"/>
      <c r="AEW205" s="95"/>
      <c r="AEX205" s="95"/>
      <c r="AEY205" s="95"/>
      <c r="AEZ205" s="95"/>
      <c r="AFA205" s="95"/>
      <c r="AFB205" s="95"/>
      <c r="AFC205" s="95"/>
      <c r="AFD205" s="95"/>
      <c r="AFE205" s="95"/>
      <c r="AFF205" s="95"/>
      <c r="AFG205" s="95"/>
      <c r="AFH205" s="95"/>
      <c r="AFI205" s="95"/>
      <c r="AFJ205" s="95"/>
      <c r="AFK205" s="95"/>
      <c r="AFL205" s="95"/>
      <c r="AFM205" s="95"/>
      <c r="AFN205" s="95"/>
      <c r="AFO205" s="95"/>
      <c r="AFP205" s="95"/>
      <c r="AFQ205" s="95"/>
      <c r="AFR205" s="95"/>
      <c r="AFS205" s="95"/>
      <c r="AFT205" s="95"/>
      <c r="AFU205" s="95"/>
      <c r="AFV205" s="95"/>
      <c r="AFW205" s="95"/>
      <c r="AFX205" s="95"/>
      <c r="AFY205" s="95"/>
      <c r="AFZ205" s="95"/>
      <c r="AGA205" s="95"/>
      <c r="AGB205" s="95"/>
      <c r="AGC205" s="95"/>
      <c r="AGD205" s="95"/>
      <c r="AGE205" s="95"/>
      <c r="AGF205" s="95"/>
      <c r="AGG205" s="95"/>
      <c r="AGH205" s="95"/>
      <c r="AGI205" s="95"/>
      <c r="AGJ205" s="95"/>
      <c r="AGK205" s="95"/>
      <c r="AGL205" s="95"/>
      <c r="AGM205" s="95"/>
      <c r="AGN205" s="95"/>
      <c r="AGO205" s="95"/>
      <c r="AGP205" s="95"/>
      <c r="AGQ205" s="95"/>
      <c r="AGR205" s="95"/>
      <c r="AGS205" s="95"/>
      <c r="AGT205" s="95"/>
      <c r="AGU205" s="95"/>
      <c r="AGV205" s="95"/>
      <c r="AGW205" s="95"/>
      <c r="AGX205" s="95"/>
      <c r="AGY205" s="95"/>
      <c r="AGZ205" s="95"/>
      <c r="AHA205" s="95"/>
      <c r="AHB205" s="95"/>
      <c r="AHC205" s="95"/>
    </row>
    <row r="206" spans="1:887" ht="20.100000000000001" customHeight="1">
      <c r="A206" s="236" t="str">
        <f>VLOOKUP(C206,'BASE DE DADOS'!A:B,2,FALSE)</f>
        <v>PREPARA INATIVOS</v>
      </c>
      <c r="B206" s="237" t="s">
        <v>303</v>
      </c>
      <c r="C206" s="236" t="s">
        <v>304</v>
      </c>
      <c r="D206" s="238">
        <v>241358.7</v>
      </c>
      <c r="E206" s="238"/>
      <c r="F206" s="239"/>
      <c r="G206" s="240"/>
      <c r="H206" s="86" t="s">
        <v>1743</v>
      </c>
      <c r="I206" s="241"/>
      <c r="J206" s="241"/>
      <c r="K206" s="241"/>
      <c r="L206" s="241"/>
      <c r="M206" s="241"/>
      <c r="N206" s="241"/>
      <c r="O206" s="241"/>
      <c r="P206" s="86"/>
      <c r="Q206" s="203" t="s">
        <v>2638</v>
      </c>
    </row>
    <row r="207" spans="1:887" ht="20.100000000000001" customHeight="1">
      <c r="A207" s="191" t="str">
        <f>VLOOKUP(C207,'BASE DE DADOS'!A:B,2,FALSE)</f>
        <v>PREPARA INATIVOS</v>
      </c>
      <c r="B207" s="90" t="s">
        <v>466</v>
      </c>
      <c r="C207" s="191" t="s">
        <v>467</v>
      </c>
      <c r="D207" s="191">
        <v>65823.66</v>
      </c>
      <c r="E207" s="99">
        <v>70092.62</v>
      </c>
      <c r="F207" s="193"/>
      <c r="G207" s="192"/>
      <c r="H207" s="87"/>
      <c r="I207" s="193"/>
      <c r="J207" s="193"/>
      <c r="K207" s="193"/>
      <c r="L207" s="193"/>
      <c r="M207" s="193"/>
      <c r="N207" s="193" t="s">
        <v>1743</v>
      </c>
      <c r="O207" s="202">
        <v>46155</v>
      </c>
      <c r="P207" s="145" t="s">
        <v>3537</v>
      </c>
      <c r="Q207" s="203" t="s">
        <v>3538</v>
      </c>
    </row>
    <row r="208" spans="1:887" ht="20.100000000000001" customHeight="1">
      <c r="A208" s="236" t="str">
        <f>VLOOKUP(C208,'BASE DE DADOS'!A:B,2,FALSE)</f>
        <v>PREPARA INATIVOS</v>
      </c>
      <c r="B208" s="237" t="s">
        <v>515</v>
      </c>
      <c r="C208" s="236" t="s">
        <v>516</v>
      </c>
      <c r="D208" s="238">
        <v>221068.62</v>
      </c>
      <c r="E208" s="238"/>
      <c r="F208" s="239"/>
      <c r="G208" s="122"/>
      <c r="H208" s="86" t="s">
        <v>1743</v>
      </c>
      <c r="I208" s="241"/>
      <c r="J208" s="241"/>
      <c r="K208" s="241"/>
      <c r="L208" s="241"/>
      <c r="M208" s="241"/>
      <c r="N208" s="241"/>
      <c r="O208" s="241"/>
      <c r="P208" s="86"/>
      <c r="Q208" s="203" t="s">
        <v>2641</v>
      </c>
    </row>
    <row r="209" spans="1:887" ht="20.100000000000001" customHeight="1">
      <c r="A209" s="191" t="str">
        <f>VLOOKUP(C209,'BASE DE DADOS'!A:B,2,FALSE)</f>
        <v>PREPARA INATIVOS</v>
      </c>
      <c r="B209" s="90" t="s">
        <v>506</v>
      </c>
      <c r="C209" s="191" t="s">
        <v>507</v>
      </c>
      <c r="D209" s="227">
        <v>80436.679999999993</v>
      </c>
      <c r="E209" s="227">
        <v>17055.71</v>
      </c>
      <c r="F209" s="228"/>
      <c r="G209" s="192"/>
      <c r="H209" s="193"/>
      <c r="I209" s="193"/>
      <c r="J209" s="193"/>
      <c r="K209" s="64"/>
      <c r="L209" s="193"/>
      <c r="M209" s="61"/>
      <c r="N209" s="193" t="s">
        <v>1743</v>
      </c>
      <c r="O209" s="202">
        <v>45638</v>
      </c>
      <c r="P209" s="146" t="s">
        <v>2929</v>
      </c>
      <c r="Q209" s="195" t="s">
        <v>2930</v>
      </c>
    </row>
    <row r="210" spans="1:887" ht="20.100000000000001" customHeight="1">
      <c r="A210" s="191" t="str">
        <f>VLOOKUP(C210,'BASE DE DADOS'!A:B,2,FALSE)</f>
        <v>PREPARA INATIVOS</v>
      </c>
      <c r="B210" s="90" t="s">
        <v>506</v>
      </c>
      <c r="C210" s="191" t="s">
        <v>507</v>
      </c>
      <c r="D210" s="227"/>
      <c r="E210" s="227">
        <v>10197.36</v>
      </c>
      <c r="F210" s="228"/>
      <c r="G210" s="192"/>
      <c r="H210" s="193"/>
      <c r="I210" s="193"/>
      <c r="J210" s="193"/>
      <c r="K210" s="64"/>
      <c r="L210" s="193"/>
      <c r="M210" s="61"/>
      <c r="N210" s="193" t="s">
        <v>1743</v>
      </c>
      <c r="O210" s="202">
        <v>45629</v>
      </c>
      <c r="P210" s="145" t="s">
        <v>2931</v>
      </c>
      <c r="Q210" s="195" t="s">
        <v>2932</v>
      </c>
    </row>
    <row r="211" spans="1:887" ht="20.100000000000001" customHeight="1">
      <c r="A211" s="191" t="str">
        <f>VLOOKUP(C211,'BASE DE DADOS'!A:B,2,FALSE)</f>
        <v>PREPARA INATIVOS</v>
      </c>
      <c r="B211" s="90" t="s">
        <v>506</v>
      </c>
      <c r="C211" s="191" t="s">
        <v>507</v>
      </c>
      <c r="D211" s="227"/>
      <c r="E211" s="76">
        <v>99823.8</v>
      </c>
      <c r="F211" s="228"/>
      <c r="G211" s="192"/>
      <c r="H211" s="193"/>
      <c r="I211" s="193"/>
      <c r="J211" s="193"/>
      <c r="K211" s="64"/>
      <c r="L211" s="193"/>
      <c r="M211" s="66"/>
      <c r="N211" s="193" t="s">
        <v>1743</v>
      </c>
      <c r="O211" s="202">
        <v>45685</v>
      </c>
      <c r="P211" s="147" t="s">
        <v>2933</v>
      </c>
      <c r="Q211" s="195" t="s">
        <v>2934</v>
      </c>
    </row>
    <row r="212" spans="1:887" ht="20.100000000000001" customHeight="1">
      <c r="A212" s="191" t="str">
        <f>VLOOKUP(C212,'BASE DE DADOS'!A:B,2,FALSE)</f>
        <v>PREPARA</v>
      </c>
      <c r="B212" s="90" t="s">
        <v>1217</v>
      </c>
      <c r="C212" s="191" t="s">
        <v>1218</v>
      </c>
      <c r="D212" s="227">
        <v>11291.61</v>
      </c>
      <c r="E212" s="76">
        <v>16514.3</v>
      </c>
      <c r="F212" s="228"/>
      <c r="G212" s="119"/>
      <c r="H212" s="193"/>
      <c r="I212" s="193"/>
      <c r="J212" s="193"/>
      <c r="K212" s="64"/>
      <c r="L212" s="193"/>
      <c r="M212" s="68"/>
      <c r="N212" s="193" t="s">
        <v>1743</v>
      </c>
      <c r="O212" s="202">
        <v>45744</v>
      </c>
      <c r="P212" s="145" t="s">
        <v>2935</v>
      </c>
      <c r="Q212" s="203" t="s">
        <v>2642</v>
      </c>
    </row>
    <row r="213" spans="1:887" ht="20.100000000000001" customHeight="1">
      <c r="A213" s="191" t="str">
        <f>VLOOKUP(C213,'BASE DE DADOS'!A:B,2,FALSE)</f>
        <v>PREPARA</v>
      </c>
      <c r="B213" s="90" t="s">
        <v>1217</v>
      </c>
      <c r="C213" s="191" t="s">
        <v>1218</v>
      </c>
      <c r="D213" s="227">
        <v>91008.97</v>
      </c>
      <c r="E213" s="98">
        <v>109196.01</v>
      </c>
      <c r="F213" s="228"/>
      <c r="G213" s="119"/>
      <c r="H213" s="193"/>
      <c r="I213" s="193"/>
      <c r="J213" s="193"/>
      <c r="K213" s="64"/>
      <c r="L213" s="193"/>
      <c r="M213" s="68"/>
      <c r="N213" s="193" t="s">
        <v>1743</v>
      </c>
      <c r="O213" s="202">
        <v>45723</v>
      </c>
      <c r="P213" s="146" t="s">
        <v>2936</v>
      </c>
      <c r="Q213" s="203" t="s">
        <v>2662</v>
      </c>
    </row>
    <row r="214" spans="1:887" ht="20.100000000000001" customHeight="1">
      <c r="A214" s="191" t="str">
        <f>VLOOKUP(C214,'BASE DE DADOS'!A:B,2,FALSE)</f>
        <v>PREPARA INATIVOS</v>
      </c>
      <c r="B214" s="90" t="s">
        <v>404</v>
      </c>
      <c r="C214" s="191" t="s">
        <v>405</v>
      </c>
      <c r="D214" s="227">
        <v>15346.08</v>
      </c>
      <c r="E214" s="227">
        <v>18278.419999999998</v>
      </c>
      <c r="F214" s="228"/>
      <c r="G214" s="121"/>
      <c r="H214" s="64"/>
      <c r="I214" s="193"/>
      <c r="J214" s="193"/>
      <c r="K214" s="193"/>
      <c r="L214" s="64"/>
      <c r="M214" s="61"/>
      <c r="N214" s="193" t="s">
        <v>1743</v>
      </c>
      <c r="O214" s="202">
        <v>45538</v>
      </c>
      <c r="P214" s="145" t="s">
        <v>2937</v>
      </c>
      <c r="Q214" s="195" t="s">
        <v>2643</v>
      </c>
    </row>
    <row r="215" spans="1:887" ht="20.100000000000001" customHeight="1">
      <c r="A215" s="191" t="str">
        <f>VLOOKUP(C215,'BASE DE DADOS'!A:B,2,FALSE)</f>
        <v>ENSINA MAIS</v>
      </c>
      <c r="B215" s="90" t="s">
        <v>143</v>
      </c>
      <c r="C215" s="191" t="s">
        <v>144</v>
      </c>
      <c r="D215" s="227">
        <v>5835.64</v>
      </c>
      <c r="E215" s="99">
        <v>15813.08</v>
      </c>
      <c r="F215" s="228"/>
      <c r="G215" s="119"/>
      <c r="H215" s="193"/>
      <c r="I215" s="193"/>
      <c r="J215" s="193"/>
      <c r="K215" s="193"/>
      <c r="L215" s="193"/>
      <c r="M215" s="193"/>
      <c r="N215" s="193" t="s">
        <v>1743</v>
      </c>
      <c r="O215" s="202">
        <v>46080</v>
      </c>
      <c r="P215" s="63" t="s">
        <v>2986</v>
      </c>
      <c r="Q215" s="231" t="s">
        <v>2644</v>
      </c>
    </row>
    <row r="216" spans="1:887" ht="20.100000000000001" customHeight="1">
      <c r="A216" s="244" t="str">
        <f>VLOOKUP(C216,'BASE DE DADOS'!A:B,2,FALSE)</f>
        <v>ENSINA MAIS INATIVOS</v>
      </c>
      <c r="B216" s="245" t="s">
        <v>2241</v>
      </c>
      <c r="C216" s="244" t="s">
        <v>2242</v>
      </c>
      <c r="D216" s="246">
        <v>30000</v>
      </c>
      <c r="E216" s="246"/>
      <c r="F216" s="247"/>
      <c r="G216" s="248"/>
      <c r="H216" s="116"/>
      <c r="I216" s="249"/>
      <c r="J216" s="249"/>
      <c r="K216" s="249"/>
      <c r="L216" s="249"/>
      <c r="M216" s="249"/>
      <c r="N216" s="249"/>
      <c r="O216" s="249"/>
      <c r="P216" s="116"/>
      <c r="Q216" s="195" t="s">
        <v>2645</v>
      </c>
    </row>
    <row r="217" spans="1:887" ht="20.100000000000001" customHeight="1">
      <c r="A217" s="219" t="str">
        <f>VLOOKUP(C217,'BASE DE DADOS'!A:B,2,FALSE)</f>
        <v>PREPARA INATIVOS</v>
      </c>
      <c r="B217" s="92" t="s">
        <v>479</v>
      </c>
      <c r="C217" s="219" t="s">
        <v>480</v>
      </c>
      <c r="D217" s="229">
        <v>17274.03</v>
      </c>
      <c r="E217" s="229"/>
      <c r="F217" s="230"/>
      <c r="G217" s="123"/>
      <c r="H217" s="71"/>
      <c r="I217" s="85"/>
      <c r="J217" s="85"/>
      <c r="K217" s="221"/>
      <c r="L217" s="221"/>
      <c r="M217" s="221"/>
      <c r="N217" s="221"/>
      <c r="O217" s="221"/>
      <c r="P217" s="85"/>
      <c r="Q217" s="226" t="s">
        <v>2963</v>
      </c>
    </row>
    <row r="218" spans="1:887" ht="20.100000000000001" customHeight="1">
      <c r="A218" s="191" t="str">
        <f>VLOOKUP(C218,'BASE DE DADOS'!A:B,2,FALSE)</f>
        <v>ENSINA MAIS INATIVOS</v>
      </c>
      <c r="B218" s="90" t="s">
        <v>20</v>
      </c>
      <c r="C218" s="191" t="s">
        <v>21</v>
      </c>
      <c r="D218" s="227">
        <v>91800.41</v>
      </c>
      <c r="E218" s="227"/>
      <c r="F218" s="228"/>
      <c r="G218" s="192"/>
      <c r="H218" s="67"/>
      <c r="I218" s="193"/>
      <c r="J218" s="193"/>
      <c r="K218" s="193"/>
      <c r="L218" s="193"/>
      <c r="M218" s="87" t="s">
        <v>1743</v>
      </c>
      <c r="N218" s="193"/>
      <c r="O218" s="193"/>
      <c r="P218" s="87"/>
      <c r="Q218" s="195" t="s">
        <v>2646</v>
      </c>
    </row>
    <row r="219" spans="1:887" ht="20.100000000000001" customHeight="1">
      <c r="A219" s="191" t="str">
        <f>VLOOKUP(C219,'BASE DE DADOS'!A:B,2,FALSE)</f>
        <v>PREPARA INATIVOS</v>
      </c>
      <c r="B219" s="90" t="s">
        <v>326</v>
      </c>
      <c r="C219" s="191" t="s">
        <v>327</v>
      </c>
      <c r="D219" s="227">
        <v>159158.75</v>
      </c>
      <c r="E219" s="76">
        <v>145857.1</v>
      </c>
      <c r="F219" s="228"/>
      <c r="G219" s="192"/>
      <c r="H219" s="193"/>
      <c r="I219" s="64"/>
      <c r="J219" s="64"/>
      <c r="K219" s="193"/>
      <c r="L219" s="193"/>
      <c r="M219" s="61"/>
      <c r="N219" s="193" t="s">
        <v>1743</v>
      </c>
      <c r="O219" s="202">
        <v>45813</v>
      </c>
      <c r="P219" s="146" t="s">
        <v>2938</v>
      </c>
      <c r="Q219" s="203" t="s">
        <v>3529</v>
      </c>
    </row>
    <row r="220" spans="1:887" ht="20.100000000000001" customHeight="1">
      <c r="A220" s="191" t="str">
        <f>VLOOKUP(C220,'BASE DE DADOS'!A:B,2,FALSE)</f>
        <v>PREPARA INATIVOS</v>
      </c>
      <c r="B220" s="90" t="s">
        <v>326</v>
      </c>
      <c r="C220" s="191" t="s">
        <v>327</v>
      </c>
      <c r="D220" s="227"/>
      <c r="E220" s="98">
        <v>76225.37</v>
      </c>
      <c r="F220" s="228"/>
      <c r="G220" s="192"/>
      <c r="H220" s="193"/>
      <c r="I220" s="64"/>
      <c r="J220" s="64"/>
      <c r="K220" s="193"/>
      <c r="L220" s="193"/>
      <c r="M220" s="61"/>
      <c r="N220" s="193" t="s">
        <v>1743</v>
      </c>
      <c r="O220" s="202">
        <v>45869</v>
      </c>
      <c r="P220" s="145" t="s">
        <v>2939</v>
      </c>
      <c r="Q220" s="203" t="s">
        <v>3528</v>
      </c>
    </row>
    <row r="221" spans="1:887" ht="20.100000000000001" customHeight="1">
      <c r="A221" s="191" t="str">
        <f>VLOOKUP(C221,'BASE DE DADOS'!A:B,2,FALSE)</f>
        <v>PREPARA INATIVOS</v>
      </c>
      <c r="B221" s="90" t="s">
        <v>621</v>
      </c>
      <c r="C221" s="191" t="s">
        <v>622</v>
      </c>
      <c r="D221" s="227">
        <v>21642.77</v>
      </c>
      <c r="E221" s="227">
        <v>19178.349999999999</v>
      </c>
      <c r="F221" s="228"/>
      <c r="G221" s="192"/>
      <c r="H221" s="193"/>
      <c r="I221" s="193"/>
      <c r="J221" s="193"/>
      <c r="K221" s="64"/>
      <c r="L221" s="64"/>
      <c r="M221" s="61"/>
      <c r="N221" s="193" t="s">
        <v>1743</v>
      </c>
      <c r="O221" s="202">
        <v>45553</v>
      </c>
      <c r="P221" s="146" t="s">
        <v>2940</v>
      </c>
      <c r="Q221" s="203" t="s">
        <v>2647</v>
      </c>
    </row>
    <row r="222" spans="1:887" ht="20.100000000000001" customHeight="1">
      <c r="A222" s="191" t="str">
        <f>VLOOKUP(C222,'BASE DE DADOS'!A:B,2,FALSE)</f>
        <v>PREPARA</v>
      </c>
      <c r="B222" s="90" t="s">
        <v>334</v>
      </c>
      <c r="C222" s="191" t="s">
        <v>335</v>
      </c>
      <c r="D222" s="227">
        <v>64787.09</v>
      </c>
      <c r="E222" s="76">
        <v>116037.36</v>
      </c>
      <c r="F222" s="228"/>
      <c r="G222" s="192"/>
      <c r="H222" s="193"/>
      <c r="I222" s="193"/>
      <c r="J222" s="193"/>
      <c r="K222" s="64"/>
      <c r="L222" s="64"/>
      <c r="M222" s="61"/>
      <c r="N222" s="193" t="s">
        <v>1743</v>
      </c>
      <c r="O222" s="202">
        <v>45798</v>
      </c>
      <c r="P222" s="146" t="s">
        <v>2941</v>
      </c>
      <c r="Q222" s="203" t="s">
        <v>3527</v>
      </c>
    </row>
    <row r="223" spans="1:887" ht="20.100000000000001" customHeight="1">
      <c r="A223" s="191" t="str">
        <f>VLOOKUP(C223,'BASE DE DADOS'!A:B,2,FALSE)</f>
        <v>PREPARA</v>
      </c>
      <c r="B223" s="90" t="s">
        <v>265</v>
      </c>
      <c r="C223" s="196" t="s">
        <v>266</v>
      </c>
      <c r="D223" s="227">
        <v>234958.35</v>
      </c>
      <c r="E223" s="99">
        <v>358739.89</v>
      </c>
      <c r="F223" s="228"/>
      <c r="G223" s="192"/>
      <c r="H223" s="193"/>
      <c r="I223" s="193"/>
      <c r="J223" s="193"/>
      <c r="K223" s="193"/>
      <c r="L223" s="193"/>
      <c r="M223" s="66"/>
      <c r="N223" s="87" t="s">
        <v>1743</v>
      </c>
      <c r="O223" s="202">
        <v>46043</v>
      </c>
      <c r="P223" s="146" t="s">
        <v>2984</v>
      </c>
      <c r="Q223" s="195" t="s">
        <v>2985</v>
      </c>
    </row>
    <row r="224" spans="1:887" s="80" customFormat="1" ht="20.100000000000001" customHeight="1">
      <c r="A224" s="222" t="str">
        <f>VLOOKUP(C224,'BASE DE DADOS'!A:B,2,FALSE)</f>
        <v>PREPARA INATIVOS</v>
      </c>
      <c r="B224" s="223" t="s">
        <v>2386</v>
      </c>
      <c r="C224" s="222" t="s">
        <v>2387</v>
      </c>
      <c r="D224" s="250">
        <v>86002.52</v>
      </c>
      <c r="E224" s="250">
        <v>101371.83</v>
      </c>
      <c r="F224" s="251"/>
      <c r="G224" s="252"/>
      <c r="H224" s="224"/>
      <c r="I224" s="224"/>
      <c r="J224" s="224"/>
      <c r="K224" s="224"/>
      <c r="L224" s="224"/>
      <c r="M224" s="81"/>
      <c r="N224" s="224" t="s">
        <v>1743</v>
      </c>
      <c r="O224" s="225">
        <v>45539</v>
      </c>
      <c r="P224" s="148" t="s">
        <v>2942</v>
      </c>
      <c r="Q224" s="235" t="s">
        <v>2654</v>
      </c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/>
      <c r="BK224" s="95"/>
      <c r="BL224" s="95"/>
      <c r="BM224" s="95"/>
      <c r="BN224" s="95"/>
      <c r="BO224" s="95"/>
      <c r="BP224" s="95"/>
      <c r="BQ224" s="95"/>
      <c r="BR224" s="95"/>
      <c r="BS224" s="95"/>
      <c r="BT224" s="95"/>
      <c r="BU224" s="95"/>
      <c r="BV224" s="95"/>
      <c r="BW224" s="95"/>
      <c r="BX224" s="95"/>
      <c r="BY224" s="95"/>
      <c r="BZ224" s="95"/>
      <c r="CA224" s="95"/>
      <c r="CB224" s="95"/>
      <c r="CC224" s="95"/>
      <c r="CD224" s="95"/>
      <c r="CE224" s="95"/>
      <c r="CF224" s="95"/>
      <c r="CG224" s="95"/>
      <c r="CH224" s="95"/>
      <c r="CI224" s="95"/>
      <c r="CJ224" s="95"/>
      <c r="CK224" s="95"/>
      <c r="CL224" s="95"/>
      <c r="CM224" s="95"/>
      <c r="CN224" s="95"/>
      <c r="CO224" s="95"/>
      <c r="CP224" s="95"/>
      <c r="CQ224" s="95"/>
      <c r="CR224" s="95"/>
      <c r="CS224" s="95"/>
      <c r="CT224" s="95"/>
      <c r="CU224" s="95"/>
      <c r="CV224" s="95"/>
      <c r="CW224" s="95"/>
      <c r="CX224" s="95"/>
      <c r="CY224" s="95"/>
      <c r="CZ224" s="95"/>
      <c r="DA224" s="95"/>
      <c r="DB224" s="95"/>
      <c r="DC224" s="95"/>
      <c r="DD224" s="95"/>
      <c r="DE224" s="95"/>
      <c r="DF224" s="95"/>
      <c r="DG224" s="95"/>
      <c r="DH224" s="95"/>
      <c r="DI224" s="95"/>
      <c r="DJ224" s="95"/>
      <c r="DK224" s="95"/>
      <c r="DL224" s="95"/>
      <c r="DM224" s="95"/>
      <c r="DN224" s="95"/>
      <c r="DO224" s="95"/>
      <c r="DP224" s="95"/>
      <c r="DQ224" s="95"/>
      <c r="DR224" s="95"/>
      <c r="DS224" s="95"/>
      <c r="DT224" s="95"/>
      <c r="DU224" s="95"/>
      <c r="DV224" s="95"/>
      <c r="DW224" s="95"/>
      <c r="DX224" s="95"/>
      <c r="DY224" s="95"/>
      <c r="DZ224" s="95"/>
      <c r="EA224" s="95"/>
      <c r="EB224" s="95"/>
      <c r="EC224" s="95"/>
      <c r="ED224" s="95"/>
      <c r="EE224" s="95"/>
      <c r="EF224" s="95"/>
      <c r="EG224" s="95"/>
      <c r="EH224" s="95"/>
      <c r="EI224" s="95"/>
      <c r="EJ224" s="95"/>
      <c r="EK224" s="95"/>
      <c r="EL224" s="95"/>
      <c r="EM224" s="95"/>
      <c r="EN224" s="95"/>
      <c r="EO224" s="95"/>
      <c r="EP224" s="95"/>
      <c r="EQ224" s="95"/>
      <c r="ER224" s="95"/>
      <c r="ES224" s="95"/>
      <c r="ET224" s="95"/>
      <c r="EU224" s="95"/>
      <c r="EV224" s="95"/>
      <c r="EW224" s="95"/>
      <c r="EX224" s="95"/>
      <c r="EY224" s="95"/>
      <c r="EZ224" s="95"/>
      <c r="FA224" s="95"/>
      <c r="FB224" s="95"/>
      <c r="FC224" s="95"/>
      <c r="FD224" s="95"/>
      <c r="FE224" s="95"/>
      <c r="FF224" s="95"/>
      <c r="FG224" s="95"/>
      <c r="FH224" s="95"/>
      <c r="FI224" s="95"/>
      <c r="FJ224" s="95"/>
      <c r="FK224" s="95"/>
      <c r="FL224" s="95"/>
      <c r="FM224" s="95"/>
      <c r="FN224" s="95"/>
      <c r="FO224" s="95"/>
      <c r="FP224" s="95"/>
      <c r="FQ224" s="95"/>
      <c r="FR224" s="95"/>
      <c r="FS224" s="95"/>
      <c r="FT224" s="95"/>
      <c r="FU224" s="95"/>
      <c r="FV224" s="95"/>
      <c r="FW224" s="95"/>
      <c r="FX224" s="95"/>
      <c r="FY224" s="95"/>
      <c r="FZ224" s="95"/>
      <c r="GA224" s="95"/>
      <c r="GB224" s="95"/>
      <c r="GC224" s="95"/>
      <c r="GD224" s="95"/>
      <c r="GE224" s="95"/>
      <c r="GF224" s="95"/>
      <c r="GG224" s="95"/>
      <c r="GH224" s="95"/>
      <c r="GI224" s="95"/>
      <c r="GJ224" s="95"/>
      <c r="GK224" s="95"/>
      <c r="GL224" s="95"/>
      <c r="GM224" s="95"/>
      <c r="GN224" s="95"/>
      <c r="GO224" s="95"/>
      <c r="GP224" s="95"/>
      <c r="GQ224" s="95"/>
      <c r="GR224" s="95"/>
      <c r="GS224" s="95"/>
      <c r="GT224" s="95"/>
      <c r="GU224" s="95"/>
      <c r="GV224" s="95"/>
      <c r="GW224" s="95"/>
      <c r="GX224" s="95"/>
      <c r="GY224" s="95"/>
      <c r="GZ224" s="95"/>
      <c r="HA224" s="95"/>
      <c r="HB224" s="95"/>
      <c r="HC224" s="95"/>
      <c r="HD224" s="95"/>
      <c r="HE224" s="95"/>
      <c r="HF224" s="95"/>
      <c r="HG224" s="95"/>
      <c r="HH224" s="95"/>
      <c r="HI224" s="95"/>
      <c r="HJ224" s="95"/>
      <c r="HK224" s="95"/>
      <c r="HL224" s="95"/>
      <c r="HM224" s="95"/>
      <c r="HN224" s="95"/>
      <c r="HO224" s="95"/>
      <c r="HP224" s="95"/>
      <c r="HQ224" s="95"/>
      <c r="HR224" s="95"/>
      <c r="HS224" s="95"/>
      <c r="HT224" s="95"/>
      <c r="HU224" s="95"/>
      <c r="HV224" s="95"/>
      <c r="HW224" s="95"/>
      <c r="HX224" s="95"/>
      <c r="HY224" s="95"/>
      <c r="HZ224" s="95"/>
      <c r="IA224" s="95"/>
      <c r="IB224" s="95"/>
      <c r="IC224" s="95"/>
      <c r="ID224" s="95"/>
      <c r="IE224" s="95"/>
      <c r="IF224" s="95"/>
      <c r="IG224" s="95"/>
      <c r="IH224" s="95"/>
      <c r="II224" s="95"/>
      <c r="IJ224" s="95"/>
      <c r="IK224" s="95"/>
      <c r="IL224" s="95"/>
      <c r="IM224" s="95"/>
      <c r="IN224" s="95"/>
      <c r="IO224" s="95"/>
      <c r="IP224" s="95"/>
      <c r="IQ224" s="95"/>
      <c r="IR224" s="95"/>
      <c r="IS224" s="95"/>
      <c r="IT224" s="95"/>
      <c r="IU224" s="95"/>
      <c r="IV224" s="95"/>
      <c r="IW224" s="95"/>
      <c r="IX224" s="95"/>
      <c r="IY224" s="95"/>
      <c r="IZ224" s="95"/>
      <c r="JA224" s="95"/>
      <c r="JB224" s="95"/>
      <c r="JC224" s="95"/>
      <c r="JD224" s="95"/>
      <c r="JE224" s="95"/>
      <c r="JF224" s="95"/>
      <c r="JG224" s="95"/>
      <c r="JH224" s="95"/>
      <c r="JI224" s="95"/>
      <c r="JJ224" s="95"/>
      <c r="JK224" s="95"/>
      <c r="JL224" s="95"/>
      <c r="JM224" s="95"/>
      <c r="JN224" s="95"/>
      <c r="JO224" s="95"/>
      <c r="JP224" s="95"/>
      <c r="JQ224" s="95"/>
      <c r="JR224" s="95"/>
      <c r="JS224" s="95"/>
      <c r="JT224" s="95"/>
      <c r="JU224" s="95"/>
      <c r="JV224" s="95"/>
      <c r="JW224" s="95"/>
      <c r="JX224" s="95"/>
      <c r="JY224" s="95"/>
      <c r="JZ224" s="95"/>
      <c r="KA224" s="95"/>
      <c r="KB224" s="95"/>
      <c r="KC224" s="95"/>
      <c r="KD224" s="95"/>
      <c r="KE224" s="95"/>
      <c r="KF224" s="95"/>
      <c r="KG224" s="95"/>
      <c r="KH224" s="95"/>
      <c r="KI224" s="95"/>
      <c r="KJ224" s="95"/>
      <c r="KK224" s="95"/>
      <c r="KL224" s="95"/>
      <c r="KM224" s="95"/>
      <c r="KN224" s="95"/>
      <c r="KO224" s="95"/>
      <c r="KP224" s="95"/>
      <c r="KQ224" s="95"/>
      <c r="KR224" s="95"/>
      <c r="KS224" s="95"/>
      <c r="KT224" s="95"/>
      <c r="KU224" s="95"/>
      <c r="KV224" s="95"/>
      <c r="KW224" s="95"/>
      <c r="KX224" s="95"/>
      <c r="KY224" s="95"/>
      <c r="KZ224" s="95"/>
      <c r="LA224" s="95"/>
      <c r="LB224" s="95"/>
      <c r="LC224" s="95"/>
      <c r="LD224" s="95"/>
      <c r="LE224" s="95"/>
      <c r="LF224" s="95"/>
      <c r="LG224" s="95"/>
      <c r="LH224" s="95"/>
      <c r="LI224" s="95"/>
      <c r="LJ224" s="95"/>
      <c r="LK224" s="95"/>
      <c r="LL224" s="95"/>
      <c r="LM224" s="95"/>
      <c r="LN224" s="95"/>
      <c r="LO224" s="95"/>
      <c r="LP224" s="95"/>
      <c r="LQ224" s="95"/>
      <c r="LR224" s="95"/>
      <c r="LS224" s="95"/>
      <c r="LT224" s="95"/>
      <c r="LU224" s="95"/>
      <c r="LV224" s="95"/>
      <c r="LW224" s="95"/>
      <c r="LX224" s="95"/>
      <c r="LY224" s="95"/>
      <c r="LZ224" s="95"/>
      <c r="MA224" s="95"/>
      <c r="MB224" s="95"/>
      <c r="MC224" s="95"/>
      <c r="MD224" s="95"/>
      <c r="ME224" s="95"/>
      <c r="MF224" s="95"/>
      <c r="MG224" s="95"/>
      <c r="MH224" s="95"/>
      <c r="MI224" s="95"/>
      <c r="MJ224" s="95"/>
      <c r="MK224" s="95"/>
      <c r="ML224" s="95"/>
      <c r="MM224" s="95"/>
      <c r="MN224" s="95"/>
      <c r="MO224" s="95"/>
      <c r="MP224" s="95"/>
      <c r="MQ224" s="95"/>
      <c r="MR224" s="95"/>
      <c r="MS224" s="95"/>
      <c r="MT224" s="95"/>
      <c r="MU224" s="95"/>
      <c r="MV224" s="95"/>
      <c r="MW224" s="95"/>
      <c r="MX224" s="95"/>
      <c r="MY224" s="95"/>
      <c r="MZ224" s="95"/>
      <c r="NA224" s="95"/>
      <c r="NB224" s="95"/>
      <c r="NC224" s="95"/>
      <c r="ND224" s="95"/>
      <c r="NE224" s="95"/>
      <c r="NF224" s="95"/>
      <c r="NG224" s="95"/>
      <c r="NH224" s="95"/>
      <c r="NI224" s="95"/>
      <c r="NJ224" s="95"/>
      <c r="NK224" s="95"/>
      <c r="NL224" s="95"/>
      <c r="NM224" s="95"/>
      <c r="NN224" s="95"/>
      <c r="NO224" s="95"/>
      <c r="NP224" s="95"/>
      <c r="NQ224" s="95"/>
      <c r="NR224" s="95"/>
      <c r="NS224" s="95"/>
      <c r="NT224" s="95"/>
      <c r="NU224" s="95"/>
      <c r="NV224" s="95"/>
      <c r="NW224" s="95"/>
      <c r="NX224" s="95"/>
      <c r="NY224" s="95"/>
      <c r="NZ224" s="95"/>
      <c r="OA224" s="95"/>
      <c r="OB224" s="95"/>
      <c r="OC224" s="95"/>
      <c r="OD224" s="95"/>
      <c r="OE224" s="95"/>
      <c r="OF224" s="95"/>
      <c r="OG224" s="95"/>
      <c r="OH224" s="95"/>
      <c r="OI224" s="95"/>
      <c r="OJ224" s="95"/>
      <c r="OK224" s="95"/>
      <c r="OL224" s="95"/>
      <c r="OM224" s="95"/>
      <c r="ON224" s="95"/>
      <c r="OO224" s="95"/>
      <c r="OP224" s="95"/>
      <c r="OQ224" s="95"/>
      <c r="OR224" s="95"/>
      <c r="OS224" s="95"/>
      <c r="OT224" s="95"/>
      <c r="OU224" s="95"/>
      <c r="OV224" s="95"/>
      <c r="OW224" s="95"/>
      <c r="OX224" s="95"/>
      <c r="OY224" s="95"/>
      <c r="OZ224" s="95"/>
      <c r="PA224" s="95"/>
      <c r="PB224" s="95"/>
      <c r="PC224" s="95"/>
      <c r="PD224" s="95"/>
      <c r="PE224" s="95"/>
      <c r="PF224" s="95"/>
      <c r="PG224" s="95"/>
      <c r="PH224" s="95"/>
      <c r="PI224" s="95"/>
      <c r="PJ224" s="95"/>
      <c r="PK224" s="95"/>
      <c r="PL224" s="95"/>
      <c r="PM224" s="95"/>
      <c r="PN224" s="95"/>
      <c r="PO224" s="95"/>
      <c r="PP224" s="95"/>
      <c r="PQ224" s="95"/>
      <c r="PR224" s="95"/>
      <c r="PS224" s="95"/>
      <c r="PT224" s="95"/>
      <c r="PU224" s="95"/>
      <c r="PV224" s="95"/>
      <c r="PW224" s="95"/>
      <c r="PX224" s="95"/>
      <c r="PY224" s="95"/>
      <c r="PZ224" s="95"/>
      <c r="QA224" s="95"/>
      <c r="QB224" s="95"/>
      <c r="QC224" s="95"/>
      <c r="QD224" s="95"/>
      <c r="QE224" s="95"/>
      <c r="QF224" s="95"/>
      <c r="QG224" s="95"/>
      <c r="QH224" s="95"/>
      <c r="QI224" s="95"/>
      <c r="QJ224" s="95"/>
      <c r="QK224" s="95"/>
      <c r="QL224" s="95"/>
      <c r="QM224" s="95"/>
      <c r="QN224" s="95"/>
      <c r="QO224" s="95"/>
      <c r="QP224" s="95"/>
      <c r="QQ224" s="95"/>
      <c r="QR224" s="95"/>
      <c r="QS224" s="95"/>
      <c r="QT224" s="95"/>
      <c r="QU224" s="95"/>
      <c r="QV224" s="95"/>
      <c r="QW224" s="95"/>
      <c r="QX224" s="95"/>
      <c r="QY224" s="95"/>
      <c r="QZ224" s="95"/>
      <c r="RA224" s="95"/>
      <c r="RB224" s="95"/>
      <c r="RC224" s="95"/>
      <c r="RD224" s="95"/>
      <c r="RE224" s="95"/>
      <c r="RF224" s="95"/>
      <c r="RG224" s="95"/>
      <c r="RH224" s="95"/>
      <c r="RI224" s="95"/>
      <c r="RJ224" s="95"/>
      <c r="RK224" s="95"/>
      <c r="RL224" s="95"/>
      <c r="RM224" s="95"/>
      <c r="RN224" s="95"/>
      <c r="RO224" s="95"/>
      <c r="RP224" s="95"/>
      <c r="RQ224" s="95"/>
      <c r="RR224" s="95"/>
      <c r="RS224" s="95"/>
      <c r="RT224" s="95"/>
      <c r="RU224" s="95"/>
      <c r="RV224" s="95"/>
      <c r="RW224" s="95"/>
      <c r="RX224" s="95"/>
      <c r="RY224" s="95"/>
      <c r="RZ224" s="95"/>
      <c r="SA224" s="95"/>
      <c r="SB224" s="95"/>
      <c r="SC224" s="95"/>
      <c r="SD224" s="95"/>
      <c r="SE224" s="95"/>
      <c r="SF224" s="95"/>
      <c r="SG224" s="95"/>
      <c r="SH224" s="95"/>
      <c r="SI224" s="95"/>
      <c r="SJ224" s="95"/>
      <c r="SK224" s="95"/>
      <c r="SL224" s="95"/>
      <c r="SM224" s="95"/>
      <c r="SN224" s="95"/>
      <c r="SO224" s="95"/>
      <c r="SP224" s="95"/>
      <c r="SQ224" s="95"/>
      <c r="SR224" s="95"/>
      <c r="SS224" s="95"/>
      <c r="ST224" s="95"/>
      <c r="SU224" s="95"/>
      <c r="SV224" s="95"/>
      <c r="SW224" s="95"/>
      <c r="SX224" s="95"/>
      <c r="SY224" s="95"/>
      <c r="SZ224" s="95"/>
      <c r="TA224" s="95"/>
      <c r="TB224" s="95"/>
      <c r="TC224" s="95"/>
      <c r="TD224" s="95"/>
      <c r="TE224" s="95"/>
      <c r="TF224" s="95"/>
      <c r="TG224" s="95"/>
      <c r="TH224" s="95"/>
      <c r="TI224" s="95"/>
      <c r="TJ224" s="95"/>
      <c r="TK224" s="95"/>
      <c r="TL224" s="95"/>
      <c r="TM224" s="95"/>
      <c r="TN224" s="95"/>
      <c r="TO224" s="95"/>
      <c r="TP224" s="95"/>
      <c r="TQ224" s="95"/>
      <c r="TR224" s="95"/>
      <c r="TS224" s="95"/>
      <c r="TT224" s="95"/>
      <c r="TU224" s="95"/>
      <c r="TV224" s="95"/>
      <c r="TW224" s="95"/>
      <c r="TX224" s="95"/>
      <c r="TY224" s="95"/>
      <c r="TZ224" s="95"/>
      <c r="UA224" s="95"/>
      <c r="UB224" s="95"/>
      <c r="UC224" s="95"/>
      <c r="UD224" s="95"/>
      <c r="UE224" s="95"/>
      <c r="UF224" s="95"/>
      <c r="UG224" s="95"/>
      <c r="UH224" s="95"/>
      <c r="UI224" s="95"/>
      <c r="UJ224" s="95"/>
      <c r="UK224" s="95"/>
      <c r="UL224" s="95"/>
      <c r="UM224" s="95"/>
      <c r="UN224" s="95"/>
      <c r="UO224" s="95"/>
      <c r="UP224" s="95"/>
      <c r="UQ224" s="95"/>
      <c r="UR224" s="95"/>
      <c r="US224" s="95"/>
      <c r="UT224" s="95"/>
      <c r="UU224" s="95"/>
      <c r="UV224" s="95"/>
      <c r="UW224" s="95"/>
      <c r="UX224" s="95"/>
      <c r="UY224" s="95"/>
      <c r="UZ224" s="95"/>
      <c r="VA224" s="95"/>
      <c r="VB224" s="95"/>
      <c r="VC224" s="95"/>
      <c r="VD224" s="95"/>
      <c r="VE224" s="95"/>
      <c r="VF224" s="95"/>
      <c r="VG224" s="95"/>
      <c r="VH224" s="95"/>
      <c r="VI224" s="95"/>
      <c r="VJ224" s="95"/>
      <c r="VK224" s="95"/>
      <c r="VL224" s="95"/>
      <c r="VM224" s="95"/>
      <c r="VN224" s="95"/>
      <c r="VO224" s="95"/>
      <c r="VP224" s="95"/>
      <c r="VQ224" s="95"/>
      <c r="VR224" s="95"/>
      <c r="VS224" s="95"/>
      <c r="VT224" s="95"/>
      <c r="VU224" s="95"/>
      <c r="VV224" s="95"/>
      <c r="VW224" s="95"/>
      <c r="VX224" s="95"/>
      <c r="VY224" s="95"/>
      <c r="VZ224" s="95"/>
      <c r="WA224" s="95"/>
      <c r="WB224" s="95"/>
      <c r="WC224" s="95"/>
      <c r="WD224" s="95"/>
      <c r="WE224" s="95"/>
      <c r="WF224" s="95"/>
      <c r="WG224" s="95"/>
      <c r="WH224" s="95"/>
      <c r="WI224" s="95"/>
      <c r="WJ224" s="95"/>
      <c r="WK224" s="95"/>
      <c r="WL224" s="95"/>
      <c r="WM224" s="95"/>
      <c r="WN224" s="95"/>
      <c r="WO224" s="95"/>
      <c r="WP224" s="95"/>
      <c r="WQ224" s="95"/>
      <c r="WR224" s="95"/>
      <c r="WS224" s="95"/>
      <c r="WT224" s="95"/>
      <c r="WU224" s="95"/>
      <c r="WV224" s="95"/>
      <c r="WW224" s="95"/>
      <c r="WX224" s="95"/>
      <c r="WY224" s="95"/>
      <c r="WZ224" s="95"/>
      <c r="XA224" s="95"/>
      <c r="XB224" s="95"/>
      <c r="XC224" s="95"/>
      <c r="XD224" s="95"/>
      <c r="XE224" s="95"/>
      <c r="XF224" s="95"/>
      <c r="XG224" s="95"/>
      <c r="XH224" s="95"/>
      <c r="XI224" s="95"/>
      <c r="XJ224" s="95"/>
      <c r="XK224" s="95"/>
      <c r="XL224" s="95"/>
      <c r="XM224" s="95"/>
      <c r="XN224" s="95"/>
      <c r="XO224" s="95"/>
      <c r="XP224" s="95"/>
      <c r="XQ224" s="95"/>
      <c r="XR224" s="95"/>
      <c r="XS224" s="95"/>
      <c r="XT224" s="95"/>
      <c r="XU224" s="95"/>
      <c r="XV224" s="95"/>
      <c r="XW224" s="95"/>
      <c r="XX224" s="95"/>
      <c r="XY224" s="95"/>
      <c r="XZ224" s="95"/>
      <c r="YA224" s="95"/>
      <c r="YB224" s="95"/>
      <c r="YC224" s="95"/>
      <c r="YD224" s="95"/>
      <c r="YE224" s="95"/>
      <c r="YF224" s="95"/>
      <c r="YG224" s="95"/>
      <c r="YH224" s="95"/>
      <c r="YI224" s="95"/>
      <c r="YJ224" s="95"/>
      <c r="YK224" s="95"/>
      <c r="YL224" s="95"/>
      <c r="YM224" s="95"/>
      <c r="YN224" s="95"/>
      <c r="YO224" s="95"/>
      <c r="YP224" s="95"/>
      <c r="YQ224" s="95"/>
      <c r="YR224" s="95"/>
      <c r="YS224" s="95"/>
      <c r="YT224" s="95"/>
      <c r="YU224" s="95"/>
      <c r="YV224" s="95"/>
      <c r="YW224" s="95"/>
      <c r="YX224" s="95"/>
      <c r="YY224" s="95"/>
      <c r="YZ224" s="95"/>
      <c r="ZA224" s="95"/>
      <c r="ZB224" s="95"/>
      <c r="ZC224" s="95"/>
      <c r="ZD224" s="95"/>
      <c r="ZE224" s="95"/>
      <c r="ZF224" s="95"/>
      <c r="ZG224" s="95"/>
      <c r="ZH224" s="95"/>
      <c r="ZI224" s="95"/>
      <c r="ZJ224" s="95"/>
      <c r="ZK224" s="95"/>
      <c r="ZL224" s="95"/>
      <c r="ZM224" s="95"/>
      <c r="ZN224" s="95"/>
      <c r="ZO224" s="95"/>
      <c r="ZP224" s="95"/>
      <c r="ZQ224" s="95"/>
      <c r="ZR224" s="95"/>
      <c r="ZS224" s="95"/>
      <c r="ZT224" s="95"/>
      <c r="ZU224" s="95"/>
      <c r="ZV224" s="95"/>
      <c r="ZW224" s="95"/>
      <c r="ZX224" s="95"/>
      <c r="ZY224" s="95"/>
      <c r="ZZ224" s="95"/>
      <c r="AAA224" s="95"/>
      <c r="AAB224" s="95"/>
      <c r="AAC224" s="95"/>
      <c r="AAD224" s="95"/>
      <c r="AAE224" s="95"/>
      <c r="AAF224" s="95"/>
      <c r="AAG224" s="95"/>
      <c r="AAH224" s="95"/>
      <c r="AAI224" s="95"/>
      <c r="AAJ224" s="95"/>
      <c r="AAK224" s="95"/>
      <c r="AAL224" s="95"/>
      <c r="AAM224" s="95"/>
      <c r="AAN224" s="95"/>
      <c r="AAO224" s="95"/>
      <c r="AAP224" s="95"/>
      <c r="AAQ224" s="95"/>
      <c r="AAR224" s="95"/>
      <c r="AAS224" s="95"/>
      <c r="AAT224" s="95"/>
      <c r="AAU224" s="95"/>
      <c r="AAV224" s="95"/>
      <c r="AAW224" s="95"/>
      <c r="AAX224" s="95"/>
      <c r="AAY224" s="95"/>
      <c r="AAZ224" s="95"/>
      <c r="ABA224" s="95"/>
      <c r="ABB224" s="95"/>
      <c r="ABC224" s="95"/>
      <c r="ABD224" s="95"/>
      <c r="ABE224" s="95"/>
      <c r="ABF224" s="95"/>
      <c r="ABG224" s="95"/>
      <c r="ABH224" s="95"/>
      <c r="ABI224" s="95"/>
      <c r="ABJ224" s="95"/>
      <c r="ABK224" s="95"/>
      <c r="ABL224" s="95"/>
      <c r="ABM224" s="95"/>
      <c r="ABN224" s="95"/>
      <c r="ABO224" s="95"/>
      <c r="ABP224" s="95"/>
      <c r="ABQ224" s="95"/>
      <c r="ABR224" s="95"/>
      <c r="ABS224" s="95"/>
      <c r="ABT224" s="95"/>
      <c r="ABU224" s="95"/>
      <c r="ABV224" s="95"/>
      <c r="ABW224" s="95"/>
      <c r="ABX224" s="95"/>
      <c r="ABY224" s="95"/>
      <c r="ABZ224" s="95"/>
      <c r="ACA224" s="95"/>
      <c r="ACB224" s="95"/>
      <c r="ACC224" s="95"/>
      <c r="ACD224" s="95"/>
      <c r="ACE224" s="95"/>
      <c r="ACF224" s="95"/>
      <c r="ACG224" s="95"/>
      <c r="ACH224" s="95"/>
      <c r="ACI224" s="95"/>
      <c r="ACJ224" s="95"/>
      <c r="ACK224" s="95"/>
      <c r="ACL224" s="95"/>
      <c r="ACM224" s="95"/>
      <c r="ACN224" s="95"/>
      <c r="ACO224" s="95"/>
      <c r="ACP224" s="95"/>
      <c r="ACQ224" s="95"/>
      <c r="ACR224" s="95"/>
      <c r="ACS224" s="95"/>
      <c r="ACT224" s="95"/>
      <c r="ACU224" s="95"/>
      <c r="ACV224" s="95"/>
      <c r="ACW224" s="95"/>
      <c r="ACX224" s="95"/>
      <c r="ACY224" s="95"/>
      <c r="ACZ224" s="95"/>
      <c r="ADA224" s="95"/>
      <c r="ADB224" s="95"/>
      <c r="ADC224" s="95"/>
      <c r="ADD224" s="95"/>
      <c r="ADE224" s="95"/>
      <c r="ADF224" s="95"/>
      <c r="ADG224" s="95"/>
      <c r="ADH224" s="95"/>
      <c r="ADI224" s="95"/>
      <c r="ADJ224" s="95"/>
      <c r="ADK224" s="95"/>
      <c r="ADL224" s="95"/>
      <c r="ADM224" s="95"/>
      <c r="ADN224" s="95"/>
      <c r="ADO224" s="95"/>
      <c r="ADP224" s="95"/>
      <c r="ADQ224" s="95"/>
      <c r="ADR224" s="95"/>
      <c r="ADS224" s="95"/>
      <c r="ADT224" s="95"/>
      <c r="ADU224" s="95"/>
      <c r="ADV224" s="95"/>
      <c r="ADW224" s="95"/>
      <c r="ADX224" s="95"/>
      <c r="ADY224" s="95"/>
      <c r="ADZ224" s="95"/>
      <c r="AEA224" s="95"/>
      <c r="AEB224" s="95"/>
      <c r="AEC224" s="95"/>
      <c r="AED224" s="95"/>
      <c r="AEE224" s="95"/>
      <c r="AEF224" s="95"/>
      <c r="AEG224" s="95"/>
      <c r="AEH224" s="95"/>
      <c r="AEI224" s="95"/>
      <c r="AEJ224" s="95"/>
      <c r="AEK224" s="95"/>
      <c r="AEL224" s="95"/>
      <c r="AEM224" s="95"/>
      <c r="AEN224" s="95"/>
      <c r="AEO224" s="95"/>
      <c r="AEP224" s="95"/>
      <c r="AEQ224" s="95"/>
      <c r="AER224" s="95"/>
      <c r="AES224" s="95"/>
      <c r="AET224" s="95"/>
      <c r="AEU224" s="95"/>
      <c r="AEV224" s="95"/>
      <c r="AEW224" s="95"/>
      <c r="AEX224" s="95"/>
      <c r="AEY224" s="95"/>
      <c r="AEZ224" s="95"/>
      <c r="AFA224" s="95"/>
      <c r="AFB224" s="95"/>
      <c r="AFC224" s="95"/>
      <c r="AFD224" s="95"/>
      <c r="AFE224" s="95"/>
      <c r="AFF224" s="95"/>
      <c r="AFG224" s="95"/>
      <c r="AFH224" s="95"/>
      <c r="AFI224" s="95"/>
      <c r="AFJ224" s="95"/>
      <c r="AFK224" s="95"/>
      <c r="AFL224" s="95"/>
      <c r="AFM224" s="95"/>
      <c r="AFN224" s="95"/>
      <c r="AFO224" s="95"/>
      <c r="AFP224" s="95"/>
      <c r="AFQ224" s="95"/>
      <c r="AFR224" s="95"/>
      <c r="AFS224" s="95"/>
      <c r="AFT224" s="95"/>
      <c r="AFU224" s="95"/>
      <c r="AFV224" s="95"/>
      <c r="AFW224" s="95"/>
      <c r="AFX224" s="95"/>
      <c r="AFY224" s="95"/>
      <c r="AFZ224" s="95"/>
      <c r="AGA224" s="95"/>
      <c r="AGB224" s="95"/>
      <c r="AGC224" s="95"/>
      <c r="AGD224" s="95"/>
      <c r="AGE224" s="95"/>
      <c r="AGF224" s="95"/>
      <c r="AGG224" s="95"/>
      <c r="AGH224" s="95"/>
      <c r="AGI224" s="95"/>
      <c r="AGJ224" s="95"/>
      <c r="AGK224" s="95"/>
      <c r="AGL224" s="95"/>
      <c r="AGM224" s="95"/>
      <c r="AGN224" s="95"/>
      <c r="AGO224" s="95"/>
      <c r="AGP224" s="95"/>
      <c r="AGQ224" s="95"/>
      <c r="AGR224" s="95"/>
      <c r="AGS224" s="95"/>
      <c r="AGT224" s="95"/>
      <c r="AGU224" s="95"/>
      <c r="AGV224" s="95"/>
      <c r="AGW224" s="95"/>
      <c r="AGX224" s="95"/>
      <c r="AGY224" s="95"/>
      <c r="AGZ224" s="95"/>
      <c r="AHA224" s="95"/>
      <c r="AHB224" s="95"/>
      <c r="AHC224" s="95"/>
    </row>
    <row r="225" spans="1:887" s="95" customFormat="1" ht="20.100000000000001" customHeight="1">
      <c r="A225" s="244" t="str">
        <f>VLOOKUP(C225,'BASE DE DADOS'!A:B,2,FALSE)</f>
        <v>PREPARA INATIVOS</v>
      </c>
      <c r="B225" s="245" t="s">
        <v>2206</v>
      </c>
      <c r="C225" s="244" t="s">
        <v>2207</v>
      </c>
      <c r="D225" s="246">
        <v>52000</v>
      </c>
      <c r="E225" s="246"/>
      <c r="F225" s="247"/>
      <c r="G225" s="124"/>
      <c r="H225" s="116"/>
      <c r="I225" s="249"/>
      <c r="J225" s="249"/>
      <c r="K225" s="249"/>
      <c r="L225" s="249"/>
      <c r="M225" s="249"/>
      <c r="N225" s="249"/>
      <c r="O225" s="249"/>
      <c r="P225" s="116"/>
      <c r="Q225" s="235" t="s">
        <v>2999</v>
      </c>
    </row>
    <row r="226" spans="1:887" s="80" customFormat="1" ht="20.100000000000001" customHeight="1">
      <c r="A226" s="191" t="str">
        <f>VLOOKUP(C226,'BASE DE DADOS'!A:B,2,FALSE)</f>
        <v>PREPARA INATIVOS</v>
      </c>
      <c r="B226" s="90" t="s">
        <v>227</v>
      </c>
      <c r="C226" s="191" t="s">
        <v>228</v>
      </c>
      <c r="D226" s="227">
        <v>23411.96</v>
      </c>
      <c r="E226" s="191"/>
      <c r="F226" s="193"/>
      <c r="G226" s="126"/>
      <c r="H226" s="193"/>
      <c r="I226" s="193"/>
      <c r="J226" s="193"/>
      <c r="K226" s="193"/>
      <c r="L226" s="193"/>
      <c r="M226" s="193" t="s">
        <v>1743</v>
      </c>
      <c r="N226" s="193"/>
      <c r="O226" s="193"/>
      <c r="P226" s="87"/>
      <c r="Q226" s="235" t="s">
        <v>3542</v>
      </c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5"/>
      <c r="BK226" s="95"/>
      <c r="BL226" s="95"/>
      <c r="BM226" s="95"/>
      <c r="BN226" s="95"/>
      <c r="BO226" s="95"/>
      <c r="BP226" s="95"/>
      <c r="BQ226" s="95"/>
      <c r="BR226" s="95"/>
      <c r="BS226" s="95"/>
      <c r="BT226" s="95"/>
      <c r="BU226" s="95"/>
      <c r="BV226" s="95"/>
      <c r="BW226" s="95"/>
      <c r="BX226" s="95"/>
      <c r="BY226" s="95"/>
      <c r="BZ226" s="95"/>
      <c r="CA226" s="95"/>
      <c r="CB226" s="95"/>
      <c r="CC226" s="95"/>
      <c r="CD226" s="95"/>
      <c r="CE226" s="95"/>
      <c r="CF226" s="95"/>
      <c r="CG226" s="95"/>
      <c r="CH226" s="95"/>
      <c r="CI226" s="95"/>
      <c r="CJ226" s="95"/>
      <c r="CK226" s="95"/>
      <c r="CL226" s="95"/>
      <c r="CM226" s="95"/>
      <c r="CN226" s="95"/>
      <c r="CO226" s="95"/>
      <c r="CP226" s="95"/>
      <c r="CQ226" s="95"/>
      <c r="CR226" s="95"/>
      <c r="CS226" s="95"/>
      <c r="CT226" s="95"/>
      <c r="CU226" s="95"/>
      <c r="CV226" s="95"/>
      <c r="CW226" s="95"/>
      <c r="CX226" s="95"/>
      <c r="CY226" s="95"/>
      <c r="CZ226" s="95"/>
      <c r="DA226" s="95"/>
      <c r="DB226" s="95"/>
      <c r="DC226" s="95"/>
      <c r="DD226" s="95"/>
      <c r="DE226" s="95"/>
      <c r="DF226" s="95"/>
      <c r="DG226" s="95"/>
      <c r="DH226" s="95"/>
      <c r="DI226" s="95"/>
      <c r="DJ226" s="95"/>
      <c r="DK226" s="95"/>
      <c r="DL226" s="95"/>
      <c r="DM226" s="95"/>
      <c r="DN226" s="95"/>
      <c r="DO226" s="95"/>
      <c r="DP226" s="95"/>
      <c r="DQ226" s="95"/>
      <c r="DR226" s="95"/>
      <c r="DS226" s="95"/>
      <c r="DT226" s="95"/>
      <c r="DU226" s="95"/>
      <c r="DV226" s="95"/>
      <c r="DW226" s="95"/>
      <c r="DX226" s="95"/>
      <c r="DY226" s="95"/>
      <c r="DZ226" s="95"/>
      <c r="EA226" s="95"/>
      <c r="EB226" s="95"/>
      <c r="EC226" s="95"/>
      <c r="ED226" s="95"/>
      <c r="EE226" s="95"/>
      <c r="EF226" s="95"/>
      <c r="EG226" s="95"/>
      <c r="EH226" s="95"/>
      <c r="EI226" s="95"/>
      <c r="EJ226" s="95"/>
      <c r="EK226" s="95"/>
      <c r="EL226" s="95"/>
      <c r="EM226" s="95"/>
      <c r="EN226" s="95"/>
      <c r="EO226" s="95"/>
      <c r="EP226" s="95"/>
      <c r="EQ226" s="95"/>
      <c r="ER226" s="95"/>
      <c r="ES226" s="95"/>
      <c r="ET226" s="95"/>
      <c r="EU226" s="95"/>
      <c r="EV226" s="95"/>
      <c r="EW226" s="95"/>
      <c r="EX226" s="95"/>
      <c r="EY226" s="95"/>
      <c r="EZ226" s="95"/>
      <c r="FA226" s="95"/>
      <c r="FB226" s="95"/>
      <c r="FC226" s="95"/>
      <c r="FD226" s="95"/>
      <c r="FE226" s="95"/>
      <c r="FF226" s="95"/>
      <c r="FG226" s="95"/>
      <c r="FH226" s="95"/>
      <c r="FI226" s="95"/>
      <c r="FJ226" s="95"/>
      <c r="FK226" s="95"/>
      <c r="FL226" s="95"/>
      <c r="FM226" s="95"/>
      <c r="FN226" s="95"/>
      <c r="FO226" s="95"/>
      <c r="FP226" s="95"/>
      <c r="FQ226" s="95"/>
      <c r="FR226" s="95"/>
      <c r="FS226" s="95"/>
      <c r="FT226" s="95"/>
      <c r="FU226" s="95"/>
      <c r="FV226" s="95"/>
      <c r="FW226" s="95"/>
      <c r="FX226" s="95"/>
      <c r="FY226" s="95"/>
      <c r="FZ226" s="95"/>
      <c r="GA226" s="95"/>
      <c r="GB226" s="95"/>
      <c r="GC226" s="95"/>
      <c r="GD226" s="95"/>
      <c r="GE226" s="95"/>
      <c r="GF226" s="95"/>
      <c r="GG226" s="95"/>
      <c r="GH226" s="95"/>
      <c r="GI226" s="95"/>
      <c r="GJ226" s="95"/>
      <c r="GK226" s="95"/>
      <c r="GL226" s="95"/>
      <c r="GM226" s="95"/>
      <c r="GN226" s="95"/>
      <c r="GO226" s="95"/>
      <c r="GP226" s="95"/>
      <c r="GQ226" s="95"/>
      <c r="GR226" s="95"/>
      <c r="GS226" s="95"/>
      <c r="GT226" s="95"/>
      <c r="GU226" s="95"/>
      <c r="GV226" s="95"/>
      <c r="GW226" s="95"/>
      <c r="GX226" s="95"/>
      <c r="GY226" s="95"/>
      <c r="GZ226" s="95"/>
      <c r="HA226" s="95"/>
      <c r="HB226" s="95"/>
      <c r="HC226" s="95"/>
      <c r="HD226" s="95"/>
      <c r="HE226" s="95"/>
      <c r="HF226" s="95"/>
      <c r="HG226" s="95"/>
      <c r="HH226" s="95"/>
      <c r="HI226" s="95"/>
      <c r="HJ226" s="95"/>
      <c r="HK226" s="95"/>
      <c r="HL226" s="95"/>
      <c r="HM226" s="95"/>
      <c r="HN226" s="95"/>
      <c r="HO226" s="95"/>
      <c r="HP226" s="95"/>
      <c r="HQ226" s="95"/>
      <c r="HR226" s="95"/>
      <c r="HS226" s="95"/>
      <c r="HT226" s="95"/>
      <c r="HU226" s="95"/>
      <c r="HV226" s="95"/>
      <c r="HW226" s="95"/>
      <c r="HX226" s="95"/>
      <c r="HY226" s="95"/>
      <c r="HZ226" s="95"/>
      <c r="IA226" s="95"/>
      <c r="IB226" s="95"/>
      <c r="IC226" s="95"/>
      <c r="ID226" s="95"/>
      <c r="IE226" s="95"/>
      <c r="IF226" s="95"/>
      <c r="IG226" s="95"/>
      <c r="IH226" s="95"/>
      <c r="II226" s="95"/>
      <c r="IJ226" s="95"/>
      <c r="IK226" s="95"/>
      <c r="IL226" s="95"/>
      <c r="IM226" s="95"/>
      <c r="IN226" s="95"/>
      <c r="IO226" s="95"/>
      <c r="IP226" s="95"/>
      <c r="IQ226" s="95"/>
      <c r="IR226" s="95"/>
      <c r="IS226" s="95"/>
      <c r="IT226" s="95"/>
      <c r="IU226" s="95"/>
      <c r="IV226" s="95"/>
      <c r="IW226" s="95"/>
      <c r="IX226" s="95"/>
      <c r="IY226" s="95"/>
      <c r="IZ226" s="95"/>
      <c r="JA226" s="95"/>
      <c r="JB226" s="95"/>
      <c r="JC226" s="95"/>
      <c r="JD226" s="95"/>
      <c r="JE226" s="95"/>
      <c r="JF226" s="95"/>
      <c r="JG226" s="95"/>
      <c r="JH226" s="95"/>
      <c r="JI226" s="95"/>
      <c r="JJ226" s="95"/>
      <c r="JK226" s="95"/>
      <c r="JL226" s="95"/>
      <c r="JM226" s="95"/>
      <c r="JN226" s="95"/>
      <c r="JO226" s="95"/>
      <c r="JP226" s="95"/>
      <c r="JQ226" s="95"/>
      <c r="JR226" s="95"/>
      <c r="JS226" s="95"/>
      <c r="JT226" s="95"/>
      <c r="JU226" s="95"/>
      <c r="JV226" s="95"/>
      <c r="JW226" s="95"/>
      <c r="JX226" s="95"/>
      <c r="JY226" s="95"/>
      <c r="JZ226" s="95"/>
      <c r="KA226" s="95"/>
      <c r="KB226" s="95"/>
      <c r="KC226" s="95"/>
      <c r="KD226" s="95"/>
      <c r="KE226" s="95"/>
      <c r="KF226" s="95"/>
      <c r="KG226" s="95"/>
      <c r="KH226" s="95"/>
      <c r="KI226" s="95"/>
      <c r="KJ226" s="95"/>
      <c r="KK226" s="95"/>
      <c r="KL226" s="95"/>
      <c r="KM226" s="95"/>
      <c r="KN226" s="95"/>
      <c r="KO226" s="95"/>
      <c r="KP226" s="95"/>
      <c r="KQ226" s="95"/>
      <c r="KR226" s="95"/>
      <c r="KS226" s="95"/>
      <c r="KT226" s="95"/>
      <c r="KU226" s="95"/>
      <c r="KV226" s="95"/>
      <c r="KW226" s="95"/>
      <c r="KX226" s="95"/>
      <c r="KY226" s="95"/>
      <c r="KZ226" s="95"/>
      <c r="LA226" s="95"/>
      <c r="LB226" s="95"/>
      <c r="LC226" s="95"/>
      <c r="LD226" s="95"/>
      <c r="LE226" s="95"/>
      <c r="LF226" s="95"/>
      <c r="LG226" s="95"/>
      <c r="LH226" s="95"/>
      <c r="LI226" s="95"/>
      <c r="LJ226" s="95"/>
      <c r="LK226" s="95"/>
      <c r="LL226" s="95"/>
      <c r="LM226" s="95"/>
      <c r="LN226" s="95"/>
      <c r="LO226" s="95"/>
      <c r="LP226" s="95"/>
      <c r="LQ226" s="95"/>
      <c r="LR226" s="95"/>
      <c r="LS226" s="95"/>
      <c r="LT226" s="95"/>
      <c r="LU226" s="95"/>
      <c r="LV226" s="95"/>
      <c r="LW226" s="95"/>
      <c r="LX226" s="95"/>
      <c r="LY226" s="95"/>
      <c r="LZ226" s="95"/>
      <c r="MA226" s="95"/>
      <c r="MB226" s="95"/>
      <c r="MC226" s="95"/>
      <c r="MD226" s="95"/>
      <c r="ME226" s="95"/>
      <c r="MF226" s="95"/>
      <c r="MG226" s="95"/>
      <c r="MH226" s="95"/>
      <c r="MI226" s="95"/>
      <c r="MJ226" s="95"/>
      <c r="MK226" s="95"/>
      <c r="ML226" s="95"/>
      <c r="MM226" s="95"/>
      <c r="MN226" s="95"/>
      <c r="MO226" s="95"/>
      <c r="MP226" s="95"/>
      <c r="MQ226" s="95"/>
      <c r="MR226" s="95"/>
      <c r="MS226" s="95"/>
      <c r="MT226" s="95"/>
      <c r="MU226" s="95"/>
      <c r="MV226" s="95"/>
      <c r="MW226" s="95"/>
      <c r="MX226" s="95"/>
      <c r="MY226" s="95"/>
      <c r="MZ226" s="95"/>
      <c r="NA226" s="95"/>
      <c r="NB226" s="95"/>
      <c r="NC226" s="95"/>
      <c r="ND226" s="95"/>
      <c r="NE226" s="95"/>
      <c r="NF226" s="95"/>
      <c r="NG226" s="95"/>
      <c r="NH226" s="95"/>
      <c r="NI226" s="95"/>
      <c r="NJ226" s="95"/>
      <c r="NK226" s="95"/>
      <c r="NL226" s="95"/>
      <c r="NM226" s="95"/>
      <c r="NN226" s="95"/>
      <c r="NO226" s="95"/>
      <c r="NP226" s="95"/>
      <c r="NQ226" s="95"/>
      <c r="NR226" s="95"/>
      <c r="NS226" s="95"/>
      <c r="NT226" s="95"/>
      <c r="NU226" s="95"/>
      <c r="NV226" s="95"/>
      <c r="NW226" s="95"/>
      <c r="NX226" s="95"/>
      <c r="NY226" s="95"/>
      <c r="NZ226" s="95"/>
      <c r="OA226" s="95"/>
      <c r="OB226" s="95"/>
      <c r="OC226" s="95"/>
      <c r="OD226" s="95"/>
      <c r="OE226" s="95"/>
      <c r="OF226" s="95"/>
      <c r="OG226" s="95"/>
      <c r="OH226" s="95"/>
      <c r="OI226" s="95"/>
      <c r="OJ226" s="95"/>
      <c r="OK226" s="95"/>
      <c r="OL226" s="95"/>
      <c r="OM226" s="95"/>
      <c r="ON226" s="95"/>
      <c r="OO226" s="95"/>
      <c r="OP226" s="95"/>
      <c r="OQ226" s="95"/>
      <c r="OR226" s="95"/>
      <c r="OS226" s="95"/>
      <c r="OT226" s="95"/>
      <c r="OU226" s="95"/>
      <c r="OV226" s="95"/>
      <c r="OW226" s="95"/>
      <c r="OX226" s="95"/>
      <c r="OY226" s="95"/>
      <c r="OZ226" s="95"/>
      <c r="PA226" s="95"/>
      <c r="PB226" s="95"/>
      <c r="PC226" s="95"/>
      <c r="PD226" s="95"/>
      <c r="PE226" s="95"/>
      <c r="PF226" s="95"/>
      <c r="PG226" s="95"/>
      <c r="PH226" s="95"/>
      <c r="PI226" s="95"/>
      <c r="PJ226" s="95"/>
      <c r="PK226" s="95"/>
      <c r="PL226" s="95"/>
      <c r="PM226" s="95"/>
      <c r="PN226" s="95"/>
      <c r="PO226" s="95"/>
      <c r="PP226" s="95"/>
      <c r="PQ226" s="95"/>
      <c r="PR226" s="95"/>
      <c r="PS226" s="95"/>
      <c r="PT226" s="95"/>
      <c r="PU226" s="95"/>
      <c r="PV226" s="95"/>
      <c r="PW226" s="95"/>
      <c r="PX226" s="95"/>
      <c r="PY226" s="95"/>
      <c r="PZ226" s="95"/>
      <c r="QA226" s="95"/>
      <c r="QB226" s="95"/>
      <c r="QC226" s="95"/>
      <c r="QD226" s="95"/>
      <c r="QE226" s="95"/>
      <c r="QF226" s="95"/>
      <c r="QG226" s="95"/>
      <c r="QH226" s="95"/>
      <c r="QI226" s="95"/>
      <c r="QJ226" s="95"/>
      <c r="QK226" s="95"/>
      <c r="QL226" s="95"/>
      <c r="QM226" s="95"/>
      <c r="QN226" s="95"/>
      <c r="QO226" s="95"/>
      <c r="QP226" s="95"/>
      <c r="QQ226" s="95"/>
      <c r="QR226" s="95"/>
      <c r="QS226" s="95"/>
      <c r="QT226" s="95"/>
      <c r="QU226" s="95"/>
      <c r="QV226" s="95"/>
      <c r="QW226" s="95"/>
      <c r="QX226" s="95"/>
      <c r="QY226" s="95"/>
      <c r="QZ226" s="95"/>
      <c r="RA226" s="95"/>
      <c r="RB226" s="95"/>
      <c r="RC226" s="95"/>
      <c r="RD226" s="95"/>
      <c r="RE226" s="95"/>
      <c r="RF226" s="95"/>
      <c r="RG226" s="95"/>
      <c r="RH226" s="95"/>
      <c r="RI226" s="95"/>
      <c r="RJ226" s="95"/>
      <c r="RK226" s="95"/>
      <c r="RL226" s="95"/>
      <c r="RM226" s="95"/>
      <c r="RN226" s="95"/>
      <c r="RO226" s="95"/>
      <c r="RP226" s="95"/>
      <c r="RQ226" s="95"/>
      <c r="RR226" s="95"/>
      <c r="RS226" s="95"/>
      <c r="RT226" s="95"/>
      <c r="RU226" s="95"/>
      <c r="RV226" s="95"/>
      <c r="RW226" s="95"/>
      <c r="RX226" s="95"/>
      <c r="RY226" s="95"/>
      <c r="RZ226" s="95"/>
      <c r="SA226" s="95"/>
      <c r="SB226" s="95"/>
      <c r="SC226" s="95"/>
      <c r="SD226" s="95"/>
      <c r="SE226" s="95"/>
      <c r="SF226" s="95"/>
      <c r="SG226" s="95"/>
      <c r="SH226" s="95"/>
      <c r="SI226" s="95"/>
      <c r="SJ226" s="95"/>
      <c r="SK226" s="95"/>
      <c r="SL226" s="95"/>
      <c r="SM226" s="95"/>
      <c r="SN226" s="95"/>
      <c r="SO226" s="95"/>
      <c r="SP226" s="95"/>
      <c r="SQ226" s="95"/>
      <c r="SR226" s="95"/>
      <c r="SS226" s="95"/>
      <c r="ST226" s="95"/>
      <c r="SU226" s="95"/>
      <c r="SV226" s="95"/>
      <c r="SW226" s="95"/>
      <c r="SX226" s="95"/>
      <c r="SY226" s="95"/>
      <c r="SZ226" s="95"/>
      <c r="TA226" s="95"/>
      <c r="TB226" s="95"/>
      <c r="TC226" s="95"/>
      <c r="TD226" s="95"/>
      <c r="TE226" s="95"/>
      <c r="TF226" s="95"/>
      <c r="TG226" s="95"/>
      <c r="TH226" s="95"/>
      <c r="TI226" s="95"/>
      <c r="TJ226" s="95"/>
      <c r="TK226" s="95"/>
      <c r="TL226" s="95"/>
      <c r="TM226" s="95"/>
      <c r="TN226" s="95"/>
      <c r="TO226" s="95"/>
      <c r="TP226" s="95"/>
      <c r="TQ226" s="95"/>
      <c r="TR226" s="95"/>
      <c r="TS226" s="95"/>
      <c r="TT226" s="95"/>
      <c r="TU226" s="95"/>
      <c r="TV226" s="95"/>
      <c r="TW226" s="95"/>
      <c r="TX226" s="95"/>
      <c r="TY226" s="95"/>
      <c r="TZ226" s="95"/>
      <c r="UA226" s="95"/>
      <c r="UB226" s="95"/>
      <c r="UC226" s="95"/>
      <c r="UD226" s="95"/>
      <c r="UE226" s="95"/>
      <c r="UF226" s="95"/>
      <c r="UG226" s="95"/>
      <c r="UH226" s="95"/>
      <c r="UI226" s="95"/>
      <c r="UJ226" s="95"/>
      <c r="UK226" s="95"/>
      <c r="UL226" s="95"/>
      <c r="UM226" s="95"/>
      <c r="UN226" s="95"/>
      <c r="UO226" s="95"/>
      <c r="UP226" s="95"/>
      <c r="UQ226" s="95"/>
      <c r="UR226" s="95"/>
      <c r="US226" s="95"/>
      <c r="UT226" s="95"/>
      <c r="UU226" s="95"/>
      <c r="UV226" s="95"/>
      <c r="UW226" s="95"/>
      <c r="UX226" s="95"/>
      <c r="UY226" s="95"/>
      <c r="UZ226" s="95"/>
      <c r="VA226" s="95"/>
      <c r="VB226" s="95"/>
      <c r="VC226" s="95"/>
      <c r="VD226" s="95"/>
      <c r="VE226" s="95"/>
      <c r="VF226" s="95"/>
      <c r="VG226" s="95"/>
      <c r="VH226" s="95"/>
      <c r="VI226" s="95"/>
      <c r="VJ226" s="95"/>
      <c r="VK226" s="95"/>
      <c r="VL226" s="95"/>
      <c r="VM226" s="95"/>
      <c r="VN226" s="95"/>
      <c r="VO226" s="95"/>
      <c r="VP226" s="95"/>
      <c r="VQ226" s="95"/>
      <c r="VR226" s="95"/>
      <c r="VS226" s="95"/>
      <c r="VT226" s="95"/>
      <c r="VU226" s="95"/>
      <c r="VV226" s="95"/>
      <c r="VW226" s="95"/>
      <c r="VX226" s="95"/>
      <c r="VY226" s="95"/>
      <c r="VZ226" s="95"/>
      <c r="WA226" s="95"/>
      <c r="WB226" s="95"/>
      <c r="WC226" s="95"/>
      <c r="WD226" s="95"/>
      <c r="WE226" s="95"/>
      <c r="WF226" s="95"/>
      <c r="WG226" s="95"/>
      <c r="WH226" s="95"/>
      <c r="WI226" s="95"/>
      <c r="WJ226" s="95"/>
      <c r="WK226" s="95"/>
      <c r="WL226" s="95"/>
      <c r="WM226" s="95"/>
      <c r="WN226" s="95"/>
      <c r="WO226" s="95"/>
      <c r="WP226" s="95"/>
      <c r="WQ226" s="95"/>
      <c r="WR226" s="95"/>
      <c r="WS226" s="95"/>
      <c r="WT226" s="95"/>
      <c r="WU226" s="95"/>
      <c r="WV226" s="95"/>
      <c r="WW226" s="95"/>
      <c r="WX226" s="95"/>
      <c r="WY226" s="95"/>
      <c r="WZ226" s="95"/>
      <c r="XA226" s="95"/>
      <c r="XB226" s="95"/>
      <c r="XC226" s="95"/>
      <c r="XD226" s="95"/>
      <c r="XE226" s="95"/>
      <c r="XF226" s="95"/>
      <c r="XG226" s="95"/>
      <c r="XH226" s="95"/>
      <c r="XI226" s="95"/>
      <c r="XJ226" s="95"/>
      <c r="XK226" s="95"/>
      <c r="XL226" s="95"/>
      <c r="XM226" s="95"/>
      <c r="XN226" s="95"/>
      <c r="XO226" s="95"/>
      <c r="XP226" s="95"/>
      <c r="XQ226" s="95"/>
      <c r="XR226" s="95"/>
      <c r="XS226" s="95"/>
      <c r="XT226" s="95"/>
      <c r="XU226" s="95"/>
      <c r="XV226" s="95"/>
      <c r="XW226" s="95"/>
      <c r="XX226" s="95"/>
      <c r="XY226" s="95"/>
      <c r="XZ226" s="95"/>
      <c r="YA226" s="95"/>
      <c r="YB226" s="95"/>
      <c r="YC226" s="95"/>
      <c r="YD226" s="95"/>
      <c r="YE226" s="95"/>
      <c r="YF226" s="95"/>
      <c r="YG226" s="95"/>
      <c r="YH226" s="95"/>
      <c r="YI226" s="95"/>
      <c r="YJ226" s="95"/>
      <c r="YK226" s="95"/>
      <c r="YL226" s="95"/>
      <c r="YM226" s="95"/>
      <c r="YN226" s="95"/>
      <c r="YO226" s="95"/>
      <c r="YP226" s="95"/>
      <c r="YQ226" s="95"/>
      <c r="YR226" s="95"/>
      <c r="YS226" s="95"/>
      <c r="YT226" s="95"/>
      <c r="YU226" s="95"/>
      <c r="YV226" s="95"/>
      <c r="YW226" s="95"/>
      <c r="YX226" s="95"/>
      <c r="YY226" s="95"/>
      <c r="YZ226" s="95"/>
      <c r="ZA226" s="95"/>
      <c r="ZB226" s="95"/>
      <c r="ZC226" s="95"/>
      <c r="ZD226" s="95"/>
      <c r="ZE226" s="95"/>
      <c r="ZF226" s="95"/>
      <c r="ZG226" s="95"/>
      <c r="ZH226" s="95"/>
      <c r="ZI226" s="95"/>
      <c r="ZJ226" s="95"/>
      <c r="ZK226" s="95"/>
      <c r="ZL226" s="95"/>
      <c r="ZM226" s="95"/>
      <c r="ZN226" s="95"/>
      <c r="ZO226" s="95"/>
      <c r="ZP226" s="95"/>
      <c r="ZQ226" s="95"/>
      <c r="ZR226" s="95"/>
      <c r="ZS226" s="95"/>
      <c r="ZT226" s="95"/>
      <c r="ZU226" s="95"/>
      <c r="ZV226" s="95"/>
      <c r="ZW226" s="95"/>
      <c r="ZX226" s="95"/>
      <c r="ZY226" s="95"/>
      <c r="ZZ226" s="95"/>
      <c r="AAA226" s="95"/>
      <c r="AAB226" s="95"/>
      <c r="AAC226" s="95"/>
      <c r="AAD226" s="95"/>
      <c r="AAE226" s="95"/>
      <c r="AAF226" s="95"/>
      <c r="AAG226" s="95"/>
      <c r="AAH226" s="95"/>
      <c r="AAI226" s="95"/>
      <c r="AAJ226" s="95"/>
      <c r="AAK226" s="95"/>
      <c r="AAL226" s="95"/>
      <c r="AAM226" s="95"/>
      <c r="AAN226" s="95"/>
      <c r="AAO226" s="95"/>
      <c r="AAP226" s="95"/>
      <c r="AAQ226" s="95"/>
      <c r="AAR226" s="95"/>
      <c r="AAS226" s="95"/>
      <c r="AAT226" s="95"/>
      <c r="AAU226" s="95"/>
      <c r="AAV226" s="95"/>
      <c r="AAW226" s="95"/>
      <c r="AAX226" s="95"/>
      <c r="AAY226" s="95"/>
      <c r="AAZ226" s="95"/>
      <c r="ABA226" s="95"/>
      <c r="ABB226" s="95"/>
      <c r="ABC226" s="95"/>
      <c r="ABD226" s="95"/>
      <c r="ABE226" s="95"/>
      <c r="ABF226" s="95"/>
      <c r="ABG226" s="95"/>
      <c r="ABH226" s="95"/>
      <c r="ABI226" s="95"/>
      <c r="ABJ226" s="95"/>
      <c r="ABK226" s="95"/>
      <c r="ABL226" s="95"/>
      <c r="ABM226" s="95"/>
      <c r="ABN226" s="95"/>
      <c r="ABO226" s="95"/>
      <c r="ABP226" s="95"/>
      <c r="ABQ226" s="95"/>
      <c r="ABR226" s="95"/>
      <c r="ABS226" s="95"/>
      <c r="ABT226" s="95"/>
      <c r="ABU226" s="95"/>
      <c r="ABV226" s="95"/>
      <c r="ABW226" s="95"/>
      <c r="ABX226" s="95"/>
      <c r="ABY226" s="95"/>
      <c r="ABZ226" s="95"/>
      <c r="ACA226" s="95"/>
      <c r="ACB226" s="95"/>
      <c r="ACC226" s="95"/>
      <c r="ACD226" s="95"/>
      <c r="ACE226" s="95"/>
      <c r="ACF226" s="95"/>
      <c r="ACG226" s="95"/>
      <c r="ACH226" s="95"/>
      <c r="ACI226" s="95"/>
      <c r="ACJ226" s="95"/>
      <c r="ACK226" s="95"/>
      <c r="ACL226" s="95"/>
      <c r="ACM226" s="95"/>
      <c r="ACN226" s="95"/>
      <c r="ACO226" s="95"/>
      <c r="ACP226" s="95"/>
      <c r="ACQ226" s="95"/>
      <c r="ACR226" s="95"/>
      <c r="ACS226" s="95"/>
      <c r="ACT226" s="95"/>
      <c r="ACU226" s="95"/>
      <c r="ACV226" s="95"/>
      <c r="ACW226" s="95"/>
      <c r="ACX226" s="95"/>
      <c r="ACY226" s="95"/>
      <c r="ACZ226" s="95"/>
      <c r="ADA226" s="95"/>
      <c r="ADB226" s="95"/>
      <c r="ADC226" s="95"/>
      <c r="ADD226" s="95"/>
      <c r="ADE226" s="95"/>
      <c r="ADF226" s="95"/>
      <c r="ADG226" s="95"/>
      <c r="ADH226" s="95"/>
      <c r="ADI226" s="95"/>
      <c r="ADJ226" s="95"/>
      <c r="ADK226" s="95"/>
      <c r="ADL226" s="95"/>
      <c r="ADM226" s="95"/>
      <c r="ADN226" s="95"/>
      <c r="ADO226" s="95"/>
      <c r="ADP226" s="95"/>
      <c r="ADQ226" s="95"/>
      <c r="ADR226" s="95"/>
      <c r="ADS226" s="95"/>
      <c r="ADT226" s="95"/>
      <c r="ADU226" s="95"/>
      <c r="ADV226" s="95"/>
      <c r="ADW226" s="95"/>
      <c r="ADX226" s="95"/>
      <c r="ADY226" s="95"/>
      <c r="ADZ226" s="95"/>
      <c r="AEA226" s="95"/>
      <c r="AEB226" s="95"/>
      <c r="AEC226" s="95"/>
      <c r="AED226" s="95"/>
      <c r="AEE226" s="95"/>
      <c r="AEF226" s="95"/>
      <c r="AEG226" s="95"/>
      <c r="AEH226" s="95"/>
      <c r="AEI226" s="95"/>
      <c r="AEJ226" s="95"/>
      <c r="AEK226" s="95"/>
      <c r="AEL226" s="95"/>
      <c r="AEM226" s="95"/>
      <c r="AEN226" s="95"/>
      <c r="AEO226" s="95"/>
      <c r="AEP226" s="95"/>
      <c r="AEQ226" s="95"/>
      <c r="AER226" s="95"/>
      <c r="AES226" s="95"/>
      <c r="AET226" s="95"/>
      <c r="AEU226" s="95"/>
      <c r="AEV226" s="95"/>
      <c r="AEW226" s="95"/>
      <c r="AEX226" s="95"/>
      <c r="AEY226" s="95"/>
      <c r="AEZ226" s="95"/>
      <c r="AFA226" s="95"/>
      <c r="AFB226" s="95"/>
      <c r="AFC226" s="95"/>
      <c r="AFD226" s="95"/>
      <c r="AFE226" s="95"/>
      <c r="AFF226" s="95"/>
      <c r="AFG226" s="95"/>
      <c r="AFH226" s="95"/>
      <c r="AFI226" s="95"/>
      <c r="AFJ226" s="95"/>
      <c r="AFK226" s="95"/>
      <c r="AFL226" s="95"/>
      <c r="AFM226" s="95"/>
      <c r="AFN226" s="95"/>
      <c r="AFO226" s="95"/>
      <c r="AFP226" s="95"/>
      <c r="AFQ226" s="95"/>
      <c r="AFR226" s="95"/>
      <c r="AFS226" s="95"/>
      <c r="AFT226" s="95"/>
      <c r="AFU226" s="95"/>
      <c r="AFV226" s="95"/>
      <c r="AFW226" s="95"/>
      <c r="AFX226" s="95"/>
      <c r="AFY226" s="95"/>
      <c r="AFZ226" s="95"/>
      <c r="AGA226" s="95"/>
      <c r="AGB226" s="95"/>
      <c r="AGC226" s="95"/>
      <c r="AGD226" s="95"/>
      <c r="AGE226" s="95"/>
      <c r="AGF226" s="95"/>
      <c r="AGG226" s="95"/>
      <c r="AGH226" s="95"/>
      <c r="AGI226" s="95"/>
      <c r="AGJ226" s="95"/>
      <c r="AGK226" s="95"/>
      <c r="AGL226" s="95"/>
      <c r="AGM226" s="95"/>
      <c r="AGN226" s="95"/>
      <c r="AGO226" s="95"/>
      <c r="AGP226" s="95"/>
      <c r="AGQ226" s="95"/>
      <c r="AGR226" s="95"/>
      <c r="AGS226" s="95"/>
      <c r="AGT226" s="95"/>
      <c r="AGU226" s="95"/>
      <c r="AGV226" s="95"/>
      <c r="AGW226" s="95"/>
      <c r="AGX226" s="95"/>
      <c r="AGY226" s="95"/>
      <c r="AGZ226" s="95"/>
      <c r="AHA226" s="95"/>
      <c r="AHB226" s="95"/>
      <c r="AHC226" s="95"/>
    </row>
    <row r="227" spans="1:887" s="73" customFormat="1" ht="20.100000000000001" customHeight="1">
      <c r="A227" s="191" t="str">
        <f>VLOOKUP(C227,'BASE DE DADOS'!A:B,2,FALSE)</f>
        <v>PREPARA INATIVOS</v>
      </c>
      <c r="B227" s="90" t="s">
        <v>227</v>
      </c>
      <c r="C227" s="191" t="s">
        <v>228</v>
      </c>
      <c r="D227" s="227">
        <v>4572.17</v>
      </c>
      <c r="E227" s="97" t="s">
        <v>2948</v>
      </c>
      <c r="F227" s="193"/>
      <c r="G227" s="125"/>
      <c r="H227" s="193"/>
      <c r="I227" s="193"/>
      <c r="J227" s="193"/>
      <c r="K227" s="193"/>
      <c r="L227" s="193"/>
      <c r="M227" s="193"/>
      <c r="N227" s="193" t="s">
        <v>1743</v>
      </c>
      <c r="O227" s="202">
        <v>45869</v>
      </c>
      <c r="P227" s="145" t="s">
        <v>2946</v>
      </c>
      <c r="Q227" s="235" t="s">
        <v>2947</v>
      </c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  <c r="AY227" s="95"/>
      <c r="AZ227" s="95"/>
      <c r="BA227" s="95"/>
      <c r="BB227" s="95"/>
      <c r="BC227" s="95"/>
      <c r="BD227" s="95"/>
      <c r="BE227" s="95"/>
      <c r="BF227" s="95"/>
      <c r="BG227" s="95"/>
      <c r="BH227" s="95"/>
      <c r="BI227" s="95"/>
      <c r="BJ227" s="95"/>
      <c r="BK227" s="95"/>
      <c r="BL227" s="95"/>
      <c r="BM227" s="95"/>
      <c r="BN227" s="95"/>
      <c r="BO227" s="95"/>
      <c r="BP227" s="95"/>
      <c r="BQ227" s="95"/>
      <c r="BR227" s="95"/>
      <c r="BS227" s="95"/>
      <c r="BT227" s="95"/>
      <c r="BU227" s="95"/>
      <c r="BV227" s="95"/>
      <c r="BW227" s="95"/>
      <c r="BX227" s="95"/>
      <c r="BY227" s="95"/>
      <c r="BZ227" s="95"/>
      <c r="CA227" s="95"/>
      <c r="CB227" s="95"/>
      <c r="CC227" s="95"/>
      <c r="CD227" s="95"/>
      <c r="CE227" s="95"/>
      <c r="CF227" s="95"/>
      <c r="CG227" s="95"/>
      <c r="CH227" s="95"/>
      <c r="CI227" s="95"/>
      <c r="CJ227" s="95"/>
      <c r="CK227" s="95"/>
      <c r="CL227" s="95"/>
      <c r="CM227" s="95"/>
      <c r="CN227" s="95"/>
      <c r="CO227" s="95"/>
      <c r="CP227" s="95"/>
      <c r="CQ227" s="95"/>
      <c r="CR227" s="95"/>
      <c r="CS227" s="95"/>
      <c r="CT227" s="95"/>
      <c r="CU227" s="95"/>
      <c r="CV227" s="95"/>
      <c r="CW227" s="95"/>
      <c r="CX227" s="95"/>
      <c r="CY227" s="95"/>
      <c r="CZ227" s="95"/>
      <c r="DA227" s="95"/>
      <c r="DB227" s="95"/>
      <c r="DC227" s="95"/>
      <c r="DD227" s="95"/>
      <c r="DE227" s="95"/>
      <c r="DF227" s="95"/>
      <c r="DG227" s="95"/>
      <c r="DH227" s="95"/>
      <c r="DI227" s="95"/>
      <c r="DJ227" s="95"/>
      <c r="DK227" s="95"/>
      <c r="DL227" s="95"/>
      <c r="DM227" s="95"/>
      <c r="DN227" s="95"/>
      <c r="DO227" s="95"/>
      <c r="DP227" s="95"/>
      <c r="DQ227" s="95"/>
      <c r="DR227" s="95"/>
      <c r="DS227" s="95"/>
      <c r="DT227" s="95"/>
      <c r="DU227" s="95"/>
      <c r="DV227" s="95"/>
      <c r="DW227" s="95"/>
      <c r="DX227" s="95"/>
      <c r="DY227" s="95"/>
      <c r="DZ227" s="95"/>
      <c r="EA227" s="95"/>
      <c r="EB227" s="95"/>
      <c r="EC227" s="95"/>
      <c r="ED227" s="95"/>
      <c r="EE227" s="95"/>
      <c r="EF227" s="95"/>
      <c r="EG227" s="95"/>
      <c r="EH227" s="95"/>
      <c r="EI227" s="95"/>
      <c r="EJ227" s="95"/>
      <c r="EK227" s="95"/>
      <c r="EL227" s="95"/>
      <c r="EM227" s="95"/>
      <c r="EN227" s="95"/>
      <c r="EO227" s="95"/>
      <c r="EP227" s="95"/>
      <c r="EQ227" s="95"/>
      <c r="ER227" s="95"/>
      <c r="ES227" s="95"/>
      <c r="ET227" s="95"/>
      <c r="EU227" s="95"/>
      <c r="EV227" s="95"/>
      <c r="EW227" s="95"/>
      <c r="EX227" s="95"/>
      <c r="EY227" s="95"/>
      <c r="EZ227" s="95"/>
      <c r="FA227" s="95"/>
      <c r="FB227" s="95"/>
      <c r="FC227" s="95"/>
      <c r="FD227" s="95"/>
      <c r="FE227" s="95"/>
      <c r="FF227" s="95"/>
      <c r="FG227" s="95"/>
      <c r="FH227" s="95"/>
      <c r="FI227" s="95"/>
      <c r="FJ227" s="95"/>
      <c r="FK227" s="95"/>
      <c r="FL227" s="95"/>
      <c r="FM227" s="95"/>
      <c r="FN227" s="95"/>
      <c r="FO227" s="95"/>
      <c r="FP227" s="95"/>
      <c r="FQ227" s="95"/>
      <c r="FR227" s="95"/>
      <c r="FS227" s="95"/>
      <c r="FT227" s="95"/>
      <c r="FU227" s="95"/>
      <c r="FV227" s="95"/>
      <c r="FW227" s="95"/>
      <c r="FX227" s="95"/>
      <c r="FY227" s="95"/>
      <c r="FZ227" s="95"/>
      <c r="GA227" s="95"/>
      <c r="GB227" s="95"/>
      <c r="GC227" s="95"/>
      <c r="GD227" s="95"/>
      <c r="GE227" s="95"/>
      <c r="GF227" s="95"/>
      <c r="GG227" s="95"/>
      <c r="GH227" s="95"/>
      <c r="GI227" s="95"/>
      <c r="GJ227" s="95"/>
      <c r="GK227" s="95"/>
      <c r="GL227" s="95"/>
      <c r="GM227" s="95"/>
      <c r="GN227" s="95"/>
      <c r="GO227" s="95"/>
      <c r="GP227" s="95"/>
      <c r="GQ227" s="95"/>
      <c r="GR227" s="95"/>
      <c r="GS227" s="95"/>
      <c r="GT227" s="95"/>
      <c r="GU227" s="95"/>
      <c r="GV227" s="95"/>
      <c r="GW227" s="95"/>
      <c r="GX227" s="95"/>
      <c r="GY227" s="95"/>
      <c r="GZ227" s="95"/>
      <c r="HA227" s="95"/>
      <c r="HB227" s="95"/>
      <c r="HC227" s="95"/>
      <c r="HD227" s="95"/>
      <c r="HE227" s="95"/>
      <c r="HF227" s="95"/>
      <c r="HG227" s="95"/>
      <c r="HH227" s="95"/>
      <c r="HI227" s="95"/>
      <c r="HJ227" s="95"/>
      <c r="HK227" s="95"/>
      <c r="HL227" s="95"/>
      <c r="HM227" s="95"/>
      <c r="HN227" s="95"/>
      <c r="HO227" s="95"/>
      <c r="HP227" s="95"/>
      <c r="HQ227" s="95"/>
      <c r="HR227" s="95"/>
      <c r="HS227" s="95"/>
      <c r="HT227" s="95"/>
      <c r="HU227" s="95"/>
      <c r="HV227" s="95"/>
      <c r="HW227" s="95"/>
      <c r="HX227" s="95"/>
      <c r="HY227" s="95"/>
      <c r="HZ227" s="95"/>
      <c r="IA227" s="95"/>
      <c r="IB227" s="95"/>
      <c r="IC227" s="95"/>
      <c r="ID227" s="95"/>
      <c r="IE227" s="95"/>
      <c r="IF227" s="95"/>
      <c r="IG227" s="95"/>
      <c r="IH227" s="95"/>
      <c r="II227" s="95"/>
      <c r="IJ227" s="95"/>
      <c r="IK227" s="95"/>
      <c r="IL227" s="95"/>
      <c r="IM227" s="95"/>
      <c r="IN227" s="95"/>
      <c r="IO227" s="95"/>
      <c r="IP227" s="95"/>
      <c r="IQ227" s="95"/>
      <c r="IR227" s="95"/>
      <c r="IS227" s="95"/>
      <c r="IT227" s="95"/>
      <c r="IU227" s="95"/>
      <c r="IV227" s="95"/>
      <c r="IW227" s="95"/>
      <c r="IX227" s="95"/>
      <c r="IY227" s="95"/>
      <c r="IZ227" s="95"/>
      <c r="JA227" s="95"/>
      <c r="JB227" s="95"/>
      <c r="JC227" s="95"/>
      <c r="JD227" s="95"/>
      <c r="JE227" s="95"/>
      <c r="JF227" s="95"/>
      <c r="JG227" s="95"/>
      <c r="JH227" s="95"/>
      <c r="JI227" s="95"/>
      <c r="JJ227" s="95"/>
      <c r="JK227" s="95"/>
      <c r="JL227" s="95"/>
      <c r="JM227" s="95"/>
      <c r="JN227" s="95"/>
      <c r="JO227" s="95"/>
      <c r="JP227" s="95"/>
      <c r="JQ227" s="95"/>
      <c r="JR227" s="95"/>
      <c r="JS227" s="95"/>
      <c r="JT227" s="95"/>
      <c r="JU227" s="95"/>
      <c r="JV227" s="95"/>
      <c r="JW227" s="95"/>
      <c r="JX227" s="95"/>
      <c r="JY227" s="95"/>
      <c r="JZ227" s="95"/>
      <c r="KA227" s="95"/>
      <c r="KB227" s="95"/>
      <c r="KC227" s="95"/>
      <c r="KD227" s="95"/>
      <c r="KE227" s="95"/>
      <c r="KF227" s="95"/>
      <c r="KG227" s="95"/>
      <c r="KH227" s="95"/>
      <c r="KI227" s="95"/>
      <c r="KJ227" s="95"/>
      <c r="KK227" s="95"/>
      <c r="KL227" s="95"/>
      <c r="KM227" s="95"/>
      <c r="KN227" s="95"/>
      <c r="KO227" s="95"/>
      <c r="KP227" s="95"/>
      <c r="KQ227" s="95"/>
      <c r="KR227" s="95"/>
      <c r="KS227" s="95"/>
      <c r="KT227" s="95"/>
      <c r="KU227" s="95"/>
      <c r="KV227" s="95"/>
      <c r="KW227" s="95"/>
      <c r="KX227" s="95"/>
      <c r="KY227" s="95"/>
      <c r="KZ227" s="95"/>
      <c r="LA227" s="95"/>
      <c r="LB227" s="95"/>
      <c r="LC227" s="95"/>
      <c r="LD227" s="95"/>
      <c r="LE227" s="95"/>
      <c r="LF227" s="95"/>
      <c r="LG227" s="95"/>
      <c r="LH227" s="95"/>
      <c r="LI227" s="95"/>
      <c r="LJ227" s="95"/>
      <c r="LK227" s="95"/>
      <c r="LL227" s="95"/>
      <c r="LM227" s="95"/>
      <c r="LN227" s="95"/>
      <c r="LO227" s="95"/>
      <c r="LP227" s="95"/>
      <c r="LQ227" s="95"/>
      <c r="LR227" s="95"/>
      <c r="LS227" s="95"/>
      <c r="LT227" s="95"/>
      <c r="LU227" s="95"/>
      <c r="LV227" s="95"/>
      <c r="LW227" s="95"/>
      <c r="LX227" s="95"/>
      <c r="LY227" s="95"/>
      <c r="LZ227" s="95"/>
      <c r="MA227" s="95"/>
      <c r="MB227" s="95"/>
      <c r="MC227" s="95"/>
      <c r="MD227" s="95"/>
      <c r="ME227" s="95"/>
      <c r="MF227" s="95"/>
      <c r="MG227" s="95"/>
      <c r="MH227" s="95"/>
      <c r="MI227" s="95"/>
      <c r="MJ227" s="95"/>
      <c r="MK227" s="95"/>
      <c r="ML227" s="95"/>
      <c r="MM227" s="95"/>
      <c r="MN227" s="95"/>
      <c r="MO227" s="95"/>
      <c r="MP227" s="95"/>
      <c r="MQ227" s="95"/>
      <c r="MR227" s="95"/>
      <c r="MS227" s="95"/>
      <c r="MT227" s="95"/>
      <c r="MU227" s="95"/>
      <c r="MV227" s="95"/>
      <c r="MW227" s="95"/>
      <c r="MX227" s="95"/>
      <c r="MY227" s="95"/>
      <c r="MZ227" s="95"/>
      <c r="NA227" s="95"/>
      <c r="NB227" s="95"/>
      <c r="NC227" s="95"/>
      <c r="ND227" s="95"/>
      <c r="NE227" s="95"/>
      <c r="NF227" s="95"/>
      <c r="NG227" s="95"/>
      <c r="NH227" s="95"/>
      <c r="NI227" s="95"/>
      <c r="NJ227" s="95"/>
      <c r="NK227" s="95"/>
      <c r="NL227" s="95"/>
      <c r="NM227" s="95"/>
      <c r="NN227" s="95"/>
      <c r="NO227" s="95"/>
      <c r="NP227" s="95"/>
      <c r="NQ227" s="95"/>
      <c r="NR227" s="95"/>
      <c r="NS227" s="95"/>
      <c r="NT227" s="95"/>
      <c r="NU227" s="95"/>
      <c r="NV227" s="95"/>
      <c r="NW227" s="95"/>
      <c r="NX227" s="95"/>
      <c r="NY227" s="95"/>
      <c r="NZ227" s="95"/>
      <c r="OA227" s="95"/>
      <c r="OB227" s="95"/>
      <c r="OC227" s="95"/>
      <c r="OD227" s="95"/>
      <c r="OE227" s="95"/>
      <c r="OF227" s="95"/>
      <c r="OG227" s="95"/>
      <c r="OH227" s="95"/>
      <c r="OI227" s="95"/>
      <c r="OJ227" s="95"/>
      <c r="OK227" s="95"/>
      <c r="OL227" s="95"/>
      <c r="OM227" s="95"/>
      <c r="ON227" s="95"/>
      <c r="OO227" s="95"/>
      <c r="OP227" s="95"/>
      <c r="OQ227" s="95"/>
      <c r="OR227" s="95"/>
      <c r="OS227" s="95"/>
      <c r="OT227" s="95"/>
      <c r="OU227" s="95"/>
      <c r="OV227" s="95"/>
      <c r="OW227" s="95"/>
      <c r="OX227" s="95"/>
      <c r="OY227" s="95"/>
      <c r="OZ227" s="95"/>
      <c r="PA227" s="95"/>
      <c r="PB227" s="95"/>
      <c r="PC227" s="95"/>
      <c r="PD227" s="95"/>
      <c r="PE227" s="95"/>
      <c r="PF227" s="95"/>
      <c r="PG227" s="95"/>
      <c r="PH227" s="95"/>
      <c r="PI227" s="95"/>
      <c r="PJ227" s="95"/>
      <c r="PK227" s="95"/>
      <c r="PL227" s="95"/>
      <c r="PM227" s="95"/>
      <c r="PN227" s="95"/>
      <c r="PO227" s="95"/>
      <c r="PP227" s="95"/>
      <c r="PQ227" s="95"/>
      <c r="PR227" s="95"/>
      <c r="PS227" s="95"/>
      <c r="PT227" s="95"/>
      <c r="PU227" s="95"/>
      <c r="PV227" s="95"/>
      <c r="PW227" s="95"/>
      <c r="PX227" s="95"/>
      <c r="PY227" s="95"/>
      <c r="PZ227" s="95"/>
      <c r="QA227" s="95"/>
      <c r="QB227" s="95"/>
      <c r="QC227" s="95"/>
      <c r="QD227" s="95"/>
      <c r="QE227" s="95"/>
      <c r="QF227" s="95"/>
      <c r="QG227" s="95"/>
      <c r="QH227" s="95"/>
      <c r="QI227" s="95"/>
      <c r="QJ227" s="95"/>
      <c r="QK227" s="95"/>
      <c r="QL227" s="95"/>
      <c r="QM227" s="95"/>
      <c r="QN227" s="95"/>
      <c r="QO227" s="95"/>
      <c r="QP227" s="95"/>
      <c r="QQ227" s="95"/>
      <c r="QR227" s="95"/>
      <c r="QS227" s="95"/>
      <c r="QT227" s="95"/>
      <c r="QU227" s="95"/>
      <c r="QV227" s="95"/>
      <c r="QW227" s="95"/>
      <c r="QX227" s="95"/>
      <c r="QY227" s="95"/>
      <c r="QZ227" s="95"/>
      <c r="RA227" s="95"/>
      <c r="RB227" s="95"/>
      <c r="RC227" s="95"/>
      <c r="RD227" s="95"/>
      <c r="RE227" s="95"/>
      <c r="RF227" s="95"/>
      <c r="RG227" s="95"/>
      <c r="RH227" s="95"/>
      <c r="RI227" s="95"/>
      <c r="RJ227" s="95"/>
      <c r="RK227" s="95"/>
      <c r="RL227" s="95"/>
      <c r="RM227" s="95"/>
      <c r="RN227" s="95"/>
      <c r="RO227" s="95"/>
      <c r="RP227" s="95"/>
      <c r="RQ227" s="95"/>
      <c r="RR227" s="95"/>
      <c r="RS227" s="95"/>
      <c r="RT227" s="95"/>
      <c r="RU227" s="95"/>
      <c r="RV227" s="95"/>
      <c r="RW227" s="95"/>
      <c r="RX227" s="95"/>
      <c r="RY227" s="95"/>
      <c r="RZ227" s="95"/>
      <c r="SA227" s="95"/>
      <c r="SB227" s="95"/>
      <c r="SC227" s="95"/>
      <c r="SD227" s="95"/>
      <c r="SE227" s="95"/>
      <c r="SF227" s="95"/>
      <c r="SG227" s="95"/>
      <c r="SH227" s="95"/>
      <c r="SI227" s="95"/>
      <c r="SJ227" s="95"/>
      <c r="SK227" s="95"/>
      <c r="SL227" s="95"/>
      <c r="SM227" s="95"/>
      <c r="SN227" s="95"/>
      <c r="SO227" s="95"/>
      <c r="SP227" s="95"/>
      <c r="SQ227" s="95"/>
      <c r="SR227" s="95"/>
      <c r="SS227" s="95"/>
      <c r="ST227" s="95"/>
      <c r="SU227" s="95"/>
      <c r="SV227" s="95"/>
      <c r="SW227" s="95"/>
      <c r="SX227" s="95"/>
      <c r="SY227" s="95"/>
      <c r="SZ227" s="95"/>
      <c r="TA227" s="95"/>
      <c r="TB227" s="95"/>
      <c r="TC227" s="95"/>
      <c r="TD227" s="95"/>
      <c r="TE227" s="95"/>
      <c r="TF227" s="95"/>
      <c r="TG227" s="95"/>
      <c r="TH227" s="95"/>
      <c r="TI227" s="95"/>
      <c r="TJ227" s="95"/>
      <c r="TK227" s="95"/>
      <c r="TL227" s="95"/>
      <c r="TM227" s="95"/>
      <c r="TN227" s="95"/>
      <c r="TO227" s="95"/>
      <c r="TP227" s="95"/>
      <c r="TQ227" s="95"/>
      <c r="TR227" s="95"/>
      <c r="TS227" s="95"/>
      <c r="TT227" s="95"/>
      <c r="TU227" s="95"/>
      <c r="TV227" s="95"/>
      <c r="TW227" s="95"/>
      <c r="TX227" s="95"/>
      <c r="TY227" s="95"/>
      <c r="TZ227" s="95"/>
      <c r="UA227" s="95"/>
      <c r="UB227" s="95"/>
      <c r="UC227" s="95"/>
      <c r="UD227" s="95"/>
      <c r="UE227" s="95"/>
      <c r="UF227" s="95"/>
      <c r="UG227" s="95"/>
      <c r="UH227" s="95"/>
      <c r="UI227" s="95"/>
      <c r="UJ227" s="95"/>
      <c r="UK227" s="95"/>
      <c r="UL227" s="95"/>
      <c r="UM227" s="95"/>
      <c r="UN227" s="95"/>
      <c r="UO227" s="95"/>
      <c r="UP227" s="95"/>
      <c r="UQ227" s="95"/>
      <c r="UR227" s="95"/>
      <c r="US227" s="95"/>
      <c r="UT227" s="95"/>
      <c r="UU227" s="95"/>
      <c r="UV227" s="95"/>
      <c r="UW227" s="95"/>
      <c r="UX227" s="95"/>
      <c r="UY227" s="95"/>
      <c r="UZ227" s="95"/>
      <c r="VA227" s="95"/>
      <c r="VB227" s="95"/>
      <c r="VC227" s="95"/>
      <c r="VD227" s="95"/>
      <c r="VE227" s="95"/>
      <c r="VF227" s="95"/>
      <c r="VG227" s="95"/>
      <c r="VH227" s="95"/>
      <c r="VI227" s="95"/>
      <c r="VJ227" s="95"/>
      <c r="VK227" s="95"/>
      <c r="VL227" s="95"/>
      <c r="VM227" s="95"/>
      <c r="VN227" s="95"/>
      <c r="VO227" s="95"/>
      <c r="VP227" s="95"/>
      <c r="VQ227" s="95"/>
      <c r="VR227" s="95"/>
      <c r="VS227" s="95"/>
      <c r="VT227" s="95"/>
      <c r="VU227" s="95"/>
      <c r="VV227" s="95"/>
      <c r="VW227" s="95"/>
      <c r="VX227" s="95"/>
      <c r="VY227" s="95"/>
      <c r="VZ227" s="95"/>
      <c r="WA227" s="95"/>
      <c r="WB227" s="95"/>
      <c r="WC227" s="95"/>
      <c r="WD227" s="95"/>
      <c r="WE227" s="95"/>
      <c r="WF227" s="95"/>
      <c r="WG227" s="95"/>
      <c r="WH227" s="95"/>
      <c r="WI227" s="95"/>
      <c r="WJ227" s="95"/>
      <c r="WK227" s="95"/>
      <c r="WL227" s="95"/>
      <c r="WM227" s="95"/>
      <c r="WN227" s="95"/>
      <c r="WO227" s="95"/>
      <c r="WP227" s="95"/>
      <c r="WQ227" s="95"/>
      <c r="WR227" s="95"/>
      <c r="WS227" s="95"/>
      <c r="WT227" s="95"/>
      <c r="WU227" s="95"/>
      <c r="WV227" s="95"/>
      <c r="WW227" s="95"/>
      <c r="WX227" s="95"/>
      <c r="WY227" s="95"/>
      <c r="WZ227" s="95"/>
      <c r="XA227" s="95"/>
      <c r="XB227" s="95"/>
      <c r="XC227" s="95"/>
      <c r="XD227" s="95"/>
      <c r="XE227" s="95"/>
      <c r="XF227" s="95"/>
      <c r="XG227" s="95"/>
      <c r="XH227" s="95"/>
      <c r="XI227" s="95"/>
      <c r="XJ227" s="95"/>
      <c r="XK227" s="95"/>
      <c r="XL227" s="95"/>
      <c r="XM227" s="95"/>
      <c r="XN227" s="95"/>
      <c r="XO227" s="95"/>
      <c r="XP227" s="95"/>
      <c r="XQ227" s="95"/>
      <c r="XR227" s="95"/>
      <c r="XS227" s="95"/>
      <c r="XT227" s="95"/>
      <c r="XU227" s="95"/>
      <c r="XV227" s="95"/>
      <c r="XW227" s="95"/>
      <c r="XX227" s="95"/>
      <c r="XY227" s="95"/>
      <c r="XZ227" s="95"/>
      <c r="YA227" s="95"/>
      <c r="YB227" s="95"/>
      <c r="YC227" s="95"/>
      <c r="YD227" s="95"/>
      <c r="YE227" s="95"/>
      <c r="YF227" s="95"/>
      <c r="YG227" s="95"/>
      <c r="YH227" s="95"/>
      <c r="YI227" s="95"/>
      <c r="YJ227" s="95"/>
      <c r="YK227" s="95"/>
      <c r="YL227" s="95"/>
      <c r="YM227" s="95"/>
      <c r="YN227" s="95"/>
      <c r="YO227" s="95"/>
      <c r="YP227" s="95"/>
      <c r="YQ227" s="95"/>
      <c r="YR227" s="95"/>
      <c r="YS227" s="95"/>
      <c r="YT227" s="95"/>
      <c r="YU227" s="95"/>
      <c r="YV227" s="95"/>
      <c r="YW227" s="95"/>
      <c r="YX227" s="95"/>
      <c r="YY227" s="95"/>
      <c r="YZ227" s="95"/>
      <c r="ZA227" s="95"/>
      <c r="ZB227" s="95"/>
      <c r="ZC227" s="95"/>
      <c r="ZD227" s="95"/>
      <c r="ZE227" s="95"/>
      <c r="ZF227" s="95"/>
      <c r="ZG227" s="95"/>
      <c r="ZH227" s="95"/>
      <c r="ZI227" s="95"/>
      <c r="ZJ227" s="95"/>
      <c r="ZK227" s="95"/>
      <c r="ZL227" s="95"/>
      <c r="ZM227" s="95"/>
      <c r="ZN227" s="95"/>
      <c r="ZO227" s="95"/>
      <c r="ZP227" s="95"/>
      <c r="ZQ227" s="95"/>
      <c r="ZR227" s="95"/>
      <c r="ZS227" s="95"/>
      <c r="ZT227" s="95"/>
      <c r="ZU227" s="95"/>
      <c r="ZV227" s="95"/>
      <c r="ZW227" s="95"/>
      <c r="ZX227" s="95"/>
      <c r="ZY227" s="95"/>
      <c r="ZZ227" s="95"/>
      <c r="AAA227" s="95"/>
      <c r="AAB227" s="95"/>
      <c r="AAC227" s="95"/>
      <c r="AAD227" s="95"/>
      <c r="AAE227" s="95"/>
      <c r="AAF227" s="95"/>
      <c r="AAG227" s="95"/>
      <c r="AAH227" s="95"/>
      <c r="AAI227" s="95"/>
      <c r="AAJ227" s="95"/>
      <c r="AAK227" s="95"/>
      <c r="AAL227" s="95"/>
      <c r="AAM227" s="95"/>
      <c r="AAN227" s="95"/>
      <c r="AAO227" s="95"/>
      <c r="AAP227" s="95"/>
      <c r="AAQ227" s="95"/>
      <c r="AAR227" s="95"/>
      <c r="AAS227" s="95"/>
      <c r="AAT227" s="95"/>
      <c r="AAU227" s="95"/>
      <c r="AAV227" s="95"/>
      <c r="AAW227" s="95"/>
      <c r="AAX227" s="95"/>
      <c r="AAY227" s="95"/>
      <c r="AAZ227" s="95"/>
      <c r="ABA227" s="95"/>
      <c r="ABB227" s="95"/>
      <c r="ABC227" s="95"/>
      <c r="ABD227" s="95"/>
      <c r="ABE227" s="95"/>
      <c r="ABF227" s="95"/>
      <c r="ABG227" s="95"/>
      <c r="ABH227" s="95"/>
      <c r="ABI227" s="95"/>
      <c r="ABJ227" s="95"/>
      <c r="ABK227" s="95"/>
      <c r="ABL227" s="95"/>
      <c r="ABM227" s="95"/>
      <c r="ABN227" s="95"/>
      <c r="ABO227" s="95"/>
      <c r="ABP227" s="95"/>
      <c r="ABQ227" s="95"/>
      <c r="ABR227" s="95"/>
      <c r="ABS227" s="95"/>
      <c r="ABT227" s="95"/>
      <c r="ABU227" s="95"/>
      <c r="ABV227" s="95"/>
      <c r="ABW227" s="95"/>
      <c r="ABX227" s="95"/>
      <c r="ABY227" s="95"/>
      <c r="ABZ227" s="95"/>
      <c r="ACA227" s="95"/>
      <c r="ACB227" s="95"/>
      <c r="ACC227" s="95"/>
      <c r="ACD227" s="95"/>
      <c r="ACE227" s="95"/>
      <c r="ACF227" s="95"/>
      <c r="ACG227" s="95"/>
      <c r="ACH227" s="95"/>
      <c r="ACI227" s="95"/>
      <c r="ACJ227" s="95"/>
      <c r="ACK227" s="95"/>
      <c r="ACL227" s="95"/>
      <c r="ACM227" s="95"/>
      <c r="ACN227" s="95"/>
      <c r="ACO227" s="95"/>
      <c r="ACP227" s="95"/>
      <c r="ACQ227" s="95"/>
      <c r="ACR227" s="95"/>
      <c r="ACS227" s="95"/>
      <c r="ACT227" s="95"/>
      <c r="ACU227" s="95"/>
      <c r="ACV227" s="95"/>
      <c r="ACW227" s="95"/>
      <c r="ACX227" s="95"/>
      <c r="ACY227" s="95"/>
      <c r="ACZ227" s="95"/>
      <c r="ADA227" s="95"/>
      <c r="ADB227" s="95"/>
      <c r="ADC227" s="95"/>
      <c r="ADD227" s="95"/>
      <c r="ADE227" s="95"/>
      <c r="ADF227" s="95"/>
      <c r="ADG227" s="95"/>
      <c r="ADH227" s="95"/>
      <c r="ADI227" s="95"/>
      <c r="ADJ227" s="95"/>
      <c r="ADK227" s="95"/>
      <c r="ADL227" s="95"/>
      <c r="ADM227" s="95"/>
      <c r="ADN227" s="95"/>
      <c r="ADO227" s="95"/>
      <c r="ADP227" s="95"/>
      <c r="ADQ227" s="95"/>
      <c r="ADR227" s="95"/>
      <c r="ADS227" s="95"/>
      <c r="ADT227" s="95"/>
      <c r="ADU227" s="95"/>
      <c r="ADV227" s="95"/>
      <c r="ADW227" s="95"/>
      <c r="ADX227" s="95"/>
      <c r="ADY227" s="95"/>
      <c r="ADZ227" s="95"/>
      <c r="AEA227" s="95"/>
      <c r="AEB227" s="95"/>
      <c r="AEC227" s="95"/>
      <c r="AED227" s="95"/>
      <c r="AEE227" s="95"/>
      <c r="AEF227" s="95"/>
      <c r="AEG227" s="95"/>
      <c r="AEH227" s="95"/>
      <c r="AEI227" s="95"/>
      <c r="AEJ227" s="95"/>
      <c r="AEK227" s="95"/>
      <c r="AEL227" s="95"/>
      <c r="AEM227" s="95"/>
      <c r="AEN227" s="95"/>
      <c r="AEO227" s="95"/>
      <c r="AEP227" s="95"/>
      <c r="AEQ227" s="95"/>
      <c r="AER227" s="95"/>
      <c r="AES227" s="95"/>
      <c r="AET227" s="95"/>
      <c r="AEU227" s="95"/>
      <c r="AEV227" s="95"/>
      <c r="AEW227" s="95"/>
      <c r="AEX227" s="95"/>
      <c r="AEY227" s="95"/>
      <c r="AEZ227" s="95"/>
      <c r="AFA227" s="95"/>
      <c r="AFB227" s="95"/>
      <c r="AFC227" s="95"/>
      <c r="AFD227" s="95"/>
      <c r="AFE227" s="95"/>
      <c r="AFF227" s="95"/>
      <c r="AFG227" s="95"/>
      <c r="AFH227" s="95"/>
      <c r="AFI227" s="95"/>
      <c r="AFJ227" s="95"/>
      <c r="AFK227" s="95"/>
      <c r="AFL227" s="95"/>
      <c r="AFM227" s="95"/>
      <c r="AFN227" s="95"/>
      <c r="AFO227" s="95"/>
      <c r="AFP227" s="95"/>
      <c r="AFQ227" s="95"/>
      <c r="AFR227" s="95"/>
      <c r="AFS227" s="95"/>
      <c r="AFT227" s="95"/>
      <c r="AFU227" s="95"/>
      <c r="AFV227" s="95"/>
      <c r="AFW227" s="95"/>
      <c r="AFX227" s="95"/>
      <c r="AFY227" s="95"/>
      <c r="AFZ227" s="95"/>
      <c r="AGA227" s="95"/>
      <c r="AGB227" s="95"/>
      <c r="AGC227" s="95"/>
      <c r="AGD227" s="95"/>
      <c r="AGE227" s="95"/>
      <c r="AGF227" s="95"/>
      <c r="AGG227" s="95"/>
      <c r="AGH227" s="95"/>
      <c r="AGI227" s="95"/>
      <c r="AGJ227" s="95"/>
      <c r="AGK227" s="95"/>
      <c r="AGL227" s="95"/>
      <c r="AGM227" s="95"/>
      <c r="AGN227" s="95"/>
      <c r="AGO227" s="95"/>
      <c r="AGP227" s="95"/>
      <c r="AGQ227" s="95"/>
      <c r="AGR227" s="95"/>
      <c r="AGS227" s="95"/>
      <c r="AGT227" s="95"/>
      <c r="AGU227" s="95"/>
      <c r="AGV227" s="95"/>
      <c r="AGW227" s="95"/>
      <c r="AGX227" s="95"/>
      <c r="AGY227" s="95"/>
      <c r="AGZ227" s="95"/>
      <c r="AHA227" s="95"/>
      <c r="AHB227" s="95"/>
      <c r="AHC227" s="95"/>
    </row>
    <row r="228" spans="1:887" s="73" customFormat="1" ht="20.100000000000001" customHeight="1">
      <c r="A228" s="191" t="str">
        <f>VLOOKUP(C228,'BASE DE DADOS'!A:B,2,FALSE)</f>
        <v>PREPARA INATIVOS</v>
      </c>
      <c r="B228" s="90" t="s">
        <v>227</v>
      </c>
      <c r="C228" s="191" t="s">
        <v>228</v>
      </c>
      <c r="D228" s="227">
        <v>90657.79</v>
      </c>
      <c r="E228" s="191"/>
      <c r="F228" s="193"/>
      <c r="G228" s="126"/>
      <c r="H228" s="193"/>
      <c r="I228" s="193"/>
      <c r="J228" s="193"/>
      <c r="K228" s="193"/>
      <c r="L228" s="193"/>
      <c r="M228" s="193" t="s">
        <v>1743</v>
      </c>
      <c r="N228" s="193"/>
      <c r="O228" s="193"/>
      <c r="P228" s="87"/>
      <c r="Q228" s="235" t="s">
        <v>3543</v>
      </c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/>
      <c r="BJ228" s="95"/>
      <c r="BK228" s="95"/>
      <c r="BL228" s="95"/>
      <c r="BM228" s="95"/>
      <c r="BN228" s="95"/>
      <c r="BO228" s="95"/>
      <c r="BP228" s="95"/>
      <c r="BQ228" s="95"/>
      <c r="BR228" s="95"/>
      <c r="BS228" s="95"/>
      <c r="BT228" s="95"/>
      <c r="BU228" s="95"/>
      <c r="BV228" s="95"/>
      <c r="BW228" s="95"/>
      <c r="BX228" s="95"/>
      <c r="BY228" s="95"/>
      <c r="BZ228" s="95"/>
      <c r="CA228" s="95"/>
      <c r="CB228" s="95"/>
      <c r="CC228" s="95"/>
      <c r="CD228" s="95"/>
      <c r="CE228" s="95"/>
      <c r="CF228" s="95"/>
      <c r="CG228" s="95"/>
      <c r="CH228" s="95"/>
      <c r="CI228" s="95"/>
      <c r="CJ228" s="95"/>
      <c r="CK228" s="95"/>
      <c r="CL228" s="95"/>
      <c r="CM228" s="95"/>
      <c r="CN228" s="95"/>
      <c r="CO228" s="95"/>
      <c r="CP228" s="95"/>
      <c r="CQ228" s="95"/>
      <c r="CR228" s="95"/>
      <c r="CS228" s="95"/>
      <c r="CT228" s="95"/>
      <c r="CU228" s="95"/>
      <c r="CV228" s="95"/>
      <c r="CW228" s="95"/>
      <c r="CX228" s="95"/>
      <c r="CY228" s="95"/>
      <c r="CZ228" s="95"/>
      <c r="DA228" s="95"/>
      <c r="DB228" s="95"/>
      <c r="DC228" s="95"/>
      <c r="DD228" s="95"/>
      <c r="DE228" s="95"/>
      <c r="DF228" s="95"/>
      <c r="DG228" s="95"/>
      <c r="DH228" s="95"/>
      <c r="DI228" s="95"/>
      <c r="DJ228" s="95"/>
      <c r="DK228" s="95"/>
      <c r="DL228" s="95"/>
      <c r="DM228" s="95"/>
      <c r="DN228" s="95"/>
      <c r="DO228" s="95"/>
      <c r="DP228" s="95"/>
      <c r="DQ228" s="95"/>
      <c r="DR228" s="95"/>
      <c r="DS228" s="95"/>
      <c r="DT228" s="95"/>
      <c r="DU228" s="95"/>
      <c r="DV228" s="95"/>
      <c r="DW228" s="95"/>
      <c r="DX228" s="95"/>
      <c r="DY228" s="95"/>
      <c r="DZ228" s="95"/>
      <c r="EA228" s="95"/>
      <c r="EB228" s="95"/>
      <c r="EC228" s="95"/>
      <c r="ED228" s="95"/>
      <c r="EE228" s="95"/>
      <c r="EF228" s="95"/>
      <c r="EG228" s="95"/>
      <c r="EH228" s="95"/>
      <c r="EI228" s="95"/>
      <c r="EJ228" s="95"/>
      <c r="EK228" s="95"/>
      <c r="EL228" s="95"/>
      <c r="EM228" s="95"/>
      <c r="EN228" s="95"/>
      <c r="EO228" s="95"/>
      <c r="EP228" s="95"/>
      <c r="EQ228" s="95"/>
      <c r="ER228" s="95"/>
      <c r="ES228" s="95"/>
      <c r="ET228" s="95"/>
      <c r="EU228" s="95"/>
      <c r="EV228" s="95"/>
      <c r="EW228" s="95"/>
      <c r="EX228" s="95"/>
      <c r="EY228" s="95"/>
      <c r="EZ228" s="95"/>
      <c r="FA228" s="95"/>
      <c r="FB228" s="95"/>
      <c r="FC228" s="95"/>
      <c r="FD228" s="95"/>
      <c r="FE228" s="95"/>
      <c r="FF228" s="95"/>
      <c r="FG228" s="95"/>
      <c r="FH228" s="95"/>
      <c r="FI228" s="95"/>
      <c r="FJ228" s="95"/>
      <c r="FK228" s="95"/>
      <c r="FL228" s="95"/>
      <c r="FM228" s="95"/>
      <c r="FN228" s="95"/>
      <c r="FO228" s="95"/>
      <c r="FP228" s="95"/>
      <c r="FQ228" s="95"/>
      <c r="FR228" s="95"/>
      <c r="FS228" s="95"/>
      <c r="FT228" s="95"/>
      <c r="FU228" s="95"/>
      <c r="FV228" s="95"/>
      <c r="FW228" s="95"/>
      <c r="FX228" s="95"/>
      <c r="FY228" s="95"/>
      <c r="FZ228" s="95"/>
      <c r="GA228" s="95"/>
      <c r="GB228" s="95"/>
      <c r="GC228" s="95"/>
      <c r="GD228" s="95"/>
      <c r="GE228" s="95"/>
      <c r="GF228" s="95"/>
      <c r="GG228" s="95"/>
      <c r="GH228" s="95"/>
      <c r="GI228" s="95"/>
      <c r="GJ228" s="95"/>
      <c r="GK228" s="95"/>
      <c r="GL228" s="95"/>
      <c r="GM228" s="95"/>
      <c r="GN228" s="95"/>
      <c r="GO228" s="95"/>
      <c r="GP228" s="95"/>
      <c r="GQ228" s="95"/>
      <c r="GR228" s="95"/>
      <c r="GS228" s="95"/>
      <c r="GT228" s="95"/>
      <c r="GU228" s="95"/>
      <c r="GV228" s="95"/>
      <c r="GW228" s="95"/>
      <c r="GX228" s="95"/>
      <c r="GY228" s="95"/>
      <c r="GZ228" s="95"/>
      <c r="HA228" s="95"/>
      <c r="HB228" s="95"/>
      <c r="HC228" s="95"/>
      <c r="HD228" s="95"/>
      <c r="HE228" s="95"/>
      <c r="HF228" s="95"/>
      <c r="HG228" s="95"/>
      <c r="HH228" s="95"/>
      <c r="HI228" s="95"/>
      <c r="HJ228" s="95"/>
      <c r="HK228" s="95"/>
      <c r="HL228" s="95"/>
      <c r="HM228" s="95"/>
      <c r="HN228" s="95"/>
      <c r="HO228" s="95"/>
      <c r="HP228" s="95"/>
      <c r="HQ228" s="95"/>
      <c r="HR228" s="95"/>
      <c r="HS228" s="95"/>
      <c r="HT228" s="95"/>
      <c r="HU228" s="95"/>
      <c r="HV228" s="95"/>
      <c r="HW228" s="95"/>
      <c r="HX228" s="95"/>
      <c r="HY228" s="95"/>
      <c r="HZ228" s="95"/>
      <c r="IA228" s="95"/>
      <c r="IB228" s="95"/>
      <c r="IC228" s="95"/>
      <c r="ID228" s="95"/>
      <c r="IE228" s="95"/>
      <c r="IF228" s="95"/>
      <c r="IG228" s="95"/>
      <c r="IH228" s="95"/>
      <c r="II228" s="95"/>
      <c r="IJ228" s="95"/>
      <c r="IK228" s="95"/>
      <c r="IL228" s="95"/>
      <c r="IM228" s="95"/>
      <c r="IN228" s="95"/>
      <c r="IO228" s="95"/>
      <c r="IP228" s="95"/>
      <c r="IQ228" s="95"/>
      <c r="IR228" s="95"/>
      <c r="IS228" s="95"/>
      <c r="IT228" s="95"/>
      <c r="IU228" s="95"/>
      <c r="IV228" s="95"/>
      <c r="IW228" s="95"/>
      <c r="IX228" s="95"/>
      <c r="IY228" s="95"/>
      <c r="IZ228" s="95"/>
      <c r="JA228" s="95"/>
      <c r="JB228" s="95"/>
      <c r="JC228" s="95"/>
      <c r="JD228" s="95"/>
      <c r="JE228" s="95"/>
      <c r="JF228" s="95"/>
      <c r="JG228" s="95"/>
      <c r="JH228" s="95"/>
      <c r="JI228" s="95"/>
      <c r="JJ228" s="95"/>
      <c r="JK228" s="95"/>
      <c r="JL228" s="95"/>
      <c r="JM228" s="95"/>
      <c r="JN228" s="95"/>
      <c r="JO228" s="95"/>
      <c r="JP228" s="95"/>
      <c r="JQ228" s="95"/>
      <c r="JR228" s="95"/>
      <c r="JS228" s="95"/>
      <c r="JT228" s="95"/>
      <c r="JU228" s="95"/>
      <c r="JV228" s="95"/>
      <c r="JW228" s="95"/>
      <c r="JX228" s="95"/>
      <c r="JY228" s="95"/>
      <c r="JZ228" s="95"/>
      <c r="KA228" s="95"/>
      <c r="KB228" s="95"/>
      <c r="KC228" s="95"/>
      <c r="KD228" s="95"/>
      <c r="KE228" s="95"/>
      <c r="KF228" s="95"/>
      <c r="KG228" s="95"/>
      <c r="KH228" s="95"/>
      <c r="KI228" s="95"/>
      <c r="KJ228" s="95"/>
      <c r="KK228" s="95"/>
      <c r="KL228" s="95"/>
      <c r="KM228" s="95"/>
      <c r="KN228" s="95"/>
      <c r="KO228" s="95"/>
      <c r="KP228" s="95"/>
      <c r="KQ228" s="95"/>
      <c r="KR228" s="95"/>
      <c r="KS228" s="95"/>
      <c r="KT228" s="95"/>
      <c r="KU228" s="95"/>
      <c r="KV228" s="95"/>
      <c r="KW228" s="95"/>
      <c r="KX228" s="95"/>
      <c r="KY228" s="95"/>
      <c r="KZ228" s="95"/>
      <c r="LA228" s="95"/>
      <c r="LB228" s="95"/>
      <c r="LC228" s="95"/>
      <c r="LD228" s="95"/>
      <c r="LE228" s="95"/>
      <c r="LF228" s="95"/>
      <c r="LG228" s="95"/>
      <c r="LH228" s="95"/>
      <c r="LI228" s="95"/>
      <c r="LJ228" s="95"/>
      <c r="LK228" s="95"/>
      <c r="LL228" s="95"/>
      <c r="LM228" s="95"/>
      <c r="LN228" s="95"/>
      <c r="LO228" s="95"/>
      <c r="LP228" s="95"/>
      <c r="LQ228" s="95"/>
      <c r="LR228" s="95"/>
      <c r="LS228" s="95"/>
      <c r="LT228" s="95"/>
      <c r="LU228" s="95"/>
      <c r="LV228" s="95"/>
      <c r="LW228" s="95"/>
      <c r="LX228" s="95"/>
      <c r="LY228" s="95"/>
      <c r="LZ228" s="95"/>
      <c r="MA228" s="95"/>
      <c r="MB228" s="95"/>
      <c r="MC228" s="95"/>
      <c r="MD228" s="95"/>
      <c r="ME228" s="95"/>
      <c r="MF228" s="95"/>
      <c r="MG228" s="95"/>
      <c r="MH228" s="95"/>
      <c r="MI228" s="95"/>
      <c r="MJ228" s="95"/>
      <c r="MK228" s="95"/>
      <c r="ML228" s="95"/>
      <c r="MM228" s="95"/>
      <c r="MN228" s="95"/>
      <c r="MO228" s="95"/>
      <c r="MP228" s="95"/>
      <c r="MQ228" s="95"/>
      <c r="MR228" s="95"/>
      <c r="MS228" s="95"/>
      <c r="MT228" s="95"/>
      <c r="MU228" s="95"/>
      <c r="MV228" s="95"/>
      <c r="MW228" s="95"/>
      <c r="MX228" s="95"/>
      <c r="MY228" s="95"/>
      <c r="MZ228" s="95"/>
      <c r="NA228" s="95"/>
      <c r="NB228" s="95"/>
      <c r="NC228" s="95"/>
      <c r="ND228" s="95"/>
      <c r="NE228" s="95"/>
      <c r="NF228" s="95"/>
      <c r="NG228" s="95"/>
      <c r="NH228" s="95"/>
      <c r="NI228" s="95"/>
      <c r="NJ228" s="95"/>
      <c r="NK228" s="95"/>
      <c r="NL228" s="95"/>
      <c r="NM228" s="95"/>
      <c r="NN228" s="95"/>
      <c r="NO228" s="95"/>
      <c r="NP228" s="95"/>
      <c r="NQ228" s="95"/>
      <c r="NR228" s="95"/>
      <c r="NS228" s="95"/>
      <c r="NT228" s="95"/>
      <c r="NU228" s="95"/>
      <c r="NV228" s="95"/>
      <c r="NW228" s="95"/>
      <c r="NX228" s="95"/>
      <c r="NY228" s="95"/>
      <c r="NZ228" s="95"/>
      <c r="OA228" s="95"/>
      <c r="OB228" s="95"/>
      <c r="OC228" s="95"/>
      <c r="OD228" s="95"/>
      <c r="OE228" s="95"/>
      <c r="OF228" s="95"/>
      <c r="OG228" s="95"/>
      <c r="OH228" s="95"/>
      <c r="OI228" s="95"/>
      <c r="OJ228" s="95"/>
      <c r="OK228" s="95"/>
      <c r="OL228" s="95"/>
      <c r="OM228" s="95"/>
      <c r="ON228" s="95"/>
      <c r="OO228" s="95"/>
      <c r="OP228" s="95"/>
      <c r="OQ228" s="95"/>
      <c r="OR228" s="95"/>
      <c r="OS228" s="95"/>
      <c r="OT228" s="95"/>
      <c r="OU228" s="95"/>
      <c r="OV228" s="95"/>
      <c r="OW228" s="95"/>
      <c r="OX228" s="95"/>
      <c r="OY228" s="95"/>
      <c r="OZ228" s="95"/>
      <c r="PA228" s="95"/>
      <c r="PB228" s="95"/>
      <c r="PC228" s="95"/>
      <c r="PD228" s="95"/>
      <c r="PE228" s="95"/>
      <c r="PF228" s="95"/>
      <c r="PG228" s="95"/>
      <c r="PH228" s="95"/>
      <c r="PI228" s="95"/>
      <c r="PJ228" s="95"/>
      <c r="PK228" s="95"/>
      <c r="PL228" s="95"/>
      <c r="PM228" s="95"/>
      <c r="PN228" s="95"/>
      <c r="PO228" s="95"/>
      <c r="PP228" s="95"/>
      <c r="PQ228" s="95"/>
      <c r="PR228" s="95"/>
      <c r="PS228" s="95"/>
      <c r="PT228" s="95"/>
      <c r="PU228" s="95"/>
      <c r="PV228" s="95"/>
      <c r="PW228" s="95"/>
      <c r="PX228" s="95"/>
      <c r="PY228" s="95"/>
      <c r="PZ228" s="95"/>
      <c r="QA228" s="95"/>
      <c r="QB228" s="95"/>
      <c r="QC228" s="95"/>
      <c r="QD228" s="95"/>
      <c r="QE228" s="95"/>
      <c r="QF228" s="95"/>
      <c r="QG228" s="95"/>
      <c r="QH228" s="95"/>
      <c r="QI228" s="95"/>
      <c r="QJ228" s="95"/>
      <c r="QK228" s="95"/>
      <c r="QL228" s="95"/>
      <c r="QM228" s="95"/>
      <c r="QN228" s="95"/>
      <c r="QO228" s="95"/>
      <c r="QP228" s="95"/>
      <c r="QQ228" s="95"/>
      <c r="QR228" s="95"/>
      <c r="QS228" s="95"/>
      <c r="QT228" s="95"/>
      <c r="QU228" s="95"/>
      <c r="QV228" s="95"/>
      <c r="QW228" s="95"/>
      <c r="QX228" s="95"/>
      <c r="QY228" s="95"/>
      <c r="QZ228" s="95"/>
      <c r="RA228" s="95"/>
      <c r="RB228" s="95"/>
      <c r="RC228" s="95"/>
      <c r="RD228" s="95"/>
      <c r="RE228" s="95"/>
      <c r="RF228" s="95"/>
      <c r="RG228" s="95"/>
      <c r="RH228" s="95"/>
      <c r="RI228" s="95"/>
      <c r="RJ228" s="95"/>
      <c r="RK228" s="95"/>
      <c r="RL228" s="95"/>
      <c r="RM228" s="95"/>
      <c r="RN228" s="95"/>
      <c r="RO228" s="95"/>
      <c r="RP228" s="95"/>
      <c r="RQ228" s="95"/>
      <c r="RR228" s="95"/>
      <c r="RS228" s="95"/>
      <c r="RT228" s="95"/>
      <c r="RU228" s="95"/>
      <c r="RV228" s="95"/>
      <c r="RW228" s="95"/>
      <c r="RX228" s="95"/>
      <c r="RY228" s="95"/>
      <c r="RZ228" s="95"/>
      <c r="SA228" s="95"/>
      <c r="SB228" s="95"/>
      <c r="SC228" s="95"/>
      <c r="SD228" s="95"/>
      <c r="SE228" s="95"/>
      <c r="SF228" s="95"/>
      <c r="SG228" s="95"/>
      <c r="SH228" s="95"/>
      <c r="SI228" s="95"/>
      <c r="SJ228" s="95"/>
      <c r="SK228" s="95"/>
      <c r="SL228" s="95"/>
      <c r="SM228" s="95"/>
      <c r="SN228" s="95"/>
      <c r="SO228" s="95"/>
      <c r="SP228" s="95"/>
      <c r="SQ228" s="95"/>
      <c r="SR228" s="95"/>
      <c r="SS228" s="95"/>
      <c r="ST228" s="95"/>
      <c r="SU228" s="95"/>
      <c r="SV228" s="95"/>
      <c r="SW228" s="95"/>
      <c r="SX228" s="95"/>
      <c r="SY228" s="95"/>
      <c r="SZ228" s="95"/>
      <c r="TA228" s="95"/>
      <c r="TB228" s="95"/>
      <c r="TC228" s="95"/>
      <c r="TD228" s="95"/>
      <c r="TE228" s="95"/>
      <c r="TF228" s="95"/>
      <c r="TG228" s="95"/>
      <c r="TH228" s="95"/>
      <c r="TI228" s="95"/>
      <c r="TJ228" s="95"/>
      <c r="TK228" s="95"/>
      <c r="TL228" s="95"/>
      <c r="TM228" s="95"/>
      <c r="TN228" s="95"/>
      <c r="TO228" s="95"/>
      <c r="TP228" s="95"/>
      <c r="TQ228" s="95"/>
      <c r="TR228" s="95"/>
      <c r="TS228" s="95"/>
      <c r="TT228" s="95"/>
      <c r="TU228" s="95"/>
      <c r="TV228" s="95"/>
      <c r="TW228" s="95"/>
      <c r="TX228" s="95"/>
      <c r="TY228" s="95"/>
      <c r="TZ228" s="95"/>
      <c r="UA228" s="95"/>
      <c r="UB228" s="95"/>
      <c r="UC228" s="95"/>
      <c r="UD228" s="95"/>
      <c r="UE228" s="95"/>
      <c r="UF228" s="95"/>
      <c r="UG228" s="95"/>
      <c r="UH228" s="95"/>
      <c r="UI228" s="95"/>
      <c r="UJ228" s="95"/>
      <c r="UK228" s="95"/>
      <c r="UL228" s="95"/>
      <c r="UM228" s="95"/>
      <c r="UN228" s="95"/>
      <c r="UO228" s="95"/>
      <c r="UP228" s="95"/>
      <c r="UQ228" s="95"/>
      <c r="UR228" s="95"/>
      <c r="US228" s="95"/>
      <c r="UT228" s="95"/>
      <c r="UU228" s="95"/>
      <c r="UV228" s="95"/>
      <c r="UW228" s="95"/>
      <c r="UX228" s="95"/>
      <c r="UY228" s="95"/>
      <c r="UZ228" s="95"/>
      <c r="VA228" s="95"/>
      <c r="VB228" s="95"/>
      <c r="VC228" s="95"/>
      <c r="VD228" s="95"/>
      <c r="VE228" s="95"/>
      <c r="VF228" s="95"/>
      <c r="VG228" s="95"/>
      <c r="VH228" s="95"/>
      <c r="VI228" s="95"/>
      <c r="VJ228" s="95"/>
      <c r="VK228" s="95"/>
      <c r="VL228" s="95"/>
      <c r="VM228" s="95"/>
      <c r="VN228" s="95"/>
      <c r="VO228" s="95"/>
      <c r="VP228" s="95"/>
      <c r="VQ228" s="95"/>
      <c r="VR228" s="95"/>
      <c r="VS228" s="95"/>
      <c r="VT228" s="95"/>
      <c r="VU228" s="95"/>
      <c r="VV228" s="95"/>
      <c r="VW228" s="95"/>
      <c r="VX228" s="95"/>
      <c r="VY228" s="95"/>
      <c r="VZ228" s="95"/>
      <c r="WA228" s="95"/>
      <c r="WB228" s="95"/>
      <c r="WC228" s="95"/>
      <c r="WD228" s="95"/>
      <c r="WE228" s="95"/>
      <c r="WF228" s="95"/>
      <c r="WG228" s="95"/>
      <c r="WH228" s="95"/>
      <c r="WI228" s="95"/>
      <c r="WJ228" s="95"/>
      <c r="WK228" s="95"/>
      <c r="WL228" s="95"/>
      <c r="WM228" s="95"/>
      <c r="WN228" s="95"/>
      <c r="WO228" s="95"/>
      <c r="WP228" s="95"/>
      <c r="WQ228" s="95"/>
      <c r="WR228" s="95"/>
      <c r="WS228" s="95"/>
      <c r="WT228" s="95"/>
      <c r="WU228" s="95"/>
      <c r="WV228" s="95"/>
      <c r="WW228" s="95"/>
      <c r="WX228" s="95"/>
      <c r="WY228" s="95"/>
      <c r="WZ228" s="95"/>
      <c r="XA228" s="95"/>
      <c r="XB228" s="95"/>
      <c r="XC228" s="95"/>
      <c r="XD228" s="95"/>
      <c r="XE228" s="95"/>
      <c r="XF228" s="95"/>
      <c r="XG228" s="95"/>
      <c r="XH228" s="95"/>
      <c r="XI228" s="95"/>
      <c r="XJ228" s="95"/>
      <c r="XK228" s="95"/>
      <c r="XL228" s="95"/>
      <c r="XM228" s="95"/>
      <c r="XN228" s="95"/>
      <c r="XO228" s="95"/>
      <c r="XP228" s="95"/>
      <c r="XQ228" s="95"/>
      <c r="XR228" s="95"/>
      <c r="XS228" s="95"/>
      <c r="XT228" s="95"/>
      <c r="XU228" s="95"/>
      <c r="XV228" s="95"/>
      <c r="XW228" s="95"/>
      <c r="XX228" s="95"/>
      <c r="XY228" s="95"/>
      <c r="XZ228" s="95"/>
      <c r="YA228" s="95"/>
      <c r="YB228" s="95"/>
      <c r="YC228" s="95"/>
      <c r="YD228" s="95"/>
      <c r="YE228" s="95"/>
      <c r="YF228" s="95"/>
      <c r="YG228" s="95"/>
      <c r="YH228" s="95"/>
      <c r="YI228" s="95"/>
      <c r="YJ228" s="95"/>
      <c r="YK228" s="95"/>
      <c r="YL228" s="95"/>
      <c r="YM228" s="95"/>
      <c r="YN228" s="95"/>
      <c r="YO228" s="95"/>
      <c r="YP228" s="95"/>
      <c r="YQ228" s="95"/>
      <c r="YR228" s="95"/>
      <c r="YS228" s="95"/>
      <c r="YT228" s="95"/>
      <c r="YU228" s="95"/>
      <c r="YV228" s="95"/>
      <c r="YW228" s="95"/>
      <c r="YX228" s="95"/>
      <c r="YY228" s="95"/>
      <c r="YZ228" s="95"/>
      <c r="ZA228" s="95"/>
      <c r="ZB228" s="95"/>
      <c r="ZC228" s="95"/>
      <c r="ZD228" s="95"/>
      <c r="ZE228" s="95"/>
      <c r="ZF228" s="95"/>
      <c r="ZG228" s="95"/>
      <c r="ZH228" s="95"/>
      <c r="ZI228" s="95"/>
      <c r="ZJ228" s="95"/>
      <c r="ZK228" s="95"/>
      <c r="ZL228" s="95"/>
      <c r="ZM228" s="95"/>
      <c r="ZN228" s="95"/>
      <c r="ZO228" s="95"/>
      <c r="ZP228" s="95"/>
      <c r="ZQ228" s="95"/>
      <c r="ZR228" s="95"/>
      <c r="ZS228" s="95"/>
      <c r="ZT228" s="95"/>
      <c r="ZU228" s="95"/>
      <c r="ZV228" s="95"/>
      <c r="ZW228" s="95"/>
      <c r="ZX228" s="95"/>
      <c r="ZY228" s="95"/>
      <c r="ZZ228" s="95"/>
      <c r="AAA228" s="95"/>
      <c r="AAB228" s="95"/>
      <c r="AAC228" s="95"/>
      <c r="AAD228" s="95"/>
      <c r="AAE228" s="95"/>
      <c r="AAF228" s="95"/>
      <c r="AAG228" s="95"/>
      <c r="AAH228" s="95"/>
      <c r="AAI228" s="95"/>
      <c r="AAJ228" s="95"/>
      <c r="AAK228" s="95"/>
      <c r="AAL228" s="95"/>
      <c r="AAM228" s="95"/>
      <c r="AAN228" s="95"/>
      <c r="AAO228" s="95"/>
      <c r="AAP228" s="95"/>
      <c r="AAQ228" s="95"/>
      <c r="AAR228" s="95"/>
      <c r="AAS228" s="95"/>
      <c r="AAT228" s="95"/>
      <c r="AAU228" s="95"/>
      <c r="AAV228" s="95"/>
      <c r="AAW228" s="95"/>
      <c r="AAX228" s="95"/>
      <c r="AAY228" s="95"/>
      <c r="AAZ228" s="95"/>
      <c r="ABA228" s="95"/>
      <c r="ABB228" s="95"/>
      <c r="ABC228" s="95"/>
      <c r="ABD228" s="95"/>
      <c r="ABE228" s="95"/>
      <c r="ABF228" s="95"/>
      <c r="ABG228" s="95"/>
      <c r="ABH228" s="95"/>
      <c r="ABI228" s="95"/>
      <c r="ABJ228" s="95"/>
      <c r="ABK228" s="95"/>
      <c r="ABL228" s="95"/>
      <c r="ABM228" s="95"/>
      <c r="ABN228" s="95"/>
      <c r="ABO228" s="95"/>
      <c r="ABP228" s="95"/>
      <c r="ABQ228" s="95"/>
      <c r="ABR228" s="95"/>
      <c r="ABS228" s="95"/>
      <c r="ABT228" s="95"/>
      <c r="ABU228" s="95"/>
      <c r="ABV228" s="95"/>
      <c r="ABW228" s="95"/>
      <c r="ABX228" s="95"/>
      <c r="ABY228" s="95"/>
      <c r="ABZ228" s="95"/>
      <c r="ACA228" s="95"/>
      <c r="ACB228" s="95"/>
      <c r="ACC228" s="95"/>
      <c r="ACD228" s="95"/>
      <c r="ACE228" s="95"/>
      <c r="ACF228" s="95"/>
      <c r="ACG228" s="95"/>
      <c r="ACH228" s="95"/>
      <c r="ACI228" s="95"/>
      <c r="ACJ228" s="95"/>
      <c r="ACK228" s="95"/>
      <c r="ACL228" s="95"/>
      <c r="ACM228" s="95"/>
      <c r="ACN228" s="95"/>
      <c r="ACO228" s="95"/>
      <c r="ACP228" s="95"/>
      <c r="ACQ228" s="95"/>
      <c r="ACR228" s="95"/>
      <c r="ACS228" s="95"/>
      <c r="ACT228" s="95"/>
      <c r="ACU228" s="95"/>
      <c r="ACV228" s="95"/>
      <c r="ACW228" s="95"/>
      <c r="ACX228" s="95"/>
      <c r="ACY228" s="95"/>
      <c r="ACZ228" s="95"/>
      <c r="ADA228" s="95"/>
      <c r="ADB228" s="95"/>
      <c r="ADC228" s="95"/>
      <c r="ADD228" s="95"/>
      <c r="ADE228" s="95"/>
      <c r="ADF228" s="95"/>
      <c r="ADG228" s="95"/>
      <c r="ADH228" s="95"/>
      <c r="ADI228" s="95"/>
      <c r="ADJ228" s="95"/>
      <c r="ADK228" s="95"/>
      <c r="ADL228" s="95"/>
      <c r="ADM228" s="95"/>
      <c r="ADN228" s="95"/>
      <c r="ADO228" s="95"/>
      <c r="ADP228" s="95"/>
      <c r="ADQ228" s="95"/>
      <c r="ADR228" s="95"/>
      <c r="ADS228" s="95"/>
      <c r="ADT228" s="95"/>
      <c r="ADU228" s="95"/>
      <c r="ADV228" s="95"/>
      <c r="ADW228" s="95"/>
      <c r="ADX228" s="95"/>
      <c r="ADY228" s="95"/>
      <c r="ADZ228" s="95"/>
      <c r="AEA228" s="95"/>
      <c r="AEB228" s="95"/>
      <c r="AEC228" s="95"/>
      <c r="AED228" s="95"/>
      <c r="AEE228" s="95"/>
      <c r="AEF228" s="95"/>
      <c r="AEG228" s="95"/>
      <c r="AEH228" s="95"/>
      <c r="AEI228" s="95"/>
      <c r="AEJ228" s="95"/>
      <c r="AEK228" s="95"/>
      <c r="AEL228" s="95"/>
      <c r="AEM228" s="95"/>
      <c r="AEN228" s="95"/>
      <c r="AEO228" s="95"/>
      <c r="AEP228" s="95"/>
      <c r="AEQ228" s="95"/>
      <c r="AER228" s="95"/>
      <c r="AES228" s="95"/>
      <c r="AET228" s="95"/>
      <c r="AEU228" s="95"/>
      <c r="AEV228" s="95"/>
      <c r="AEW228" s="95"/>
      <c r="AEX228" s="95"/>
      <c r="AEY228" s="95"/>
      <c r="AEZ228" s="95"/>
      <c r="AFA228" s="95"/>
      <c r="AFB228" s="95"/>
      <c r="AFC228" s="95"/>
      <c r="AFD228" s="95"/>
      <c r="AFE228" s="95"/>
      <c r="AFF228" s="95"/>
      <c r="AFG228" s="95"/>
      <c r="AFH228" s="95"/>
      <c r="AFI228" s="95"/>
      <c r="AFJ228" s="95"/>
      <c r="AFK228" s="95"/>
      <c r="AFL228" s="95"/>
      <c r="AFM228" s="95"/>
      <c r="AFN228" s="95"/>
      <c r="AFO228" s="95"/>
      <c r="AFP228" s="95"/>
      <c r="AFQ228" s="95"/>
      <c r="AFR228" s="95"/>
      <c r="AFS228" s="95"/>
      <c r="AFT228" s="95"/>
      <c r="AFU228" s="95"/>
      <c r="AFV228" s="95"/>
      <c r="AFW228" s="95"/>
      <c r="AFX228" s="95"/>
      <c r="AFY228" s="95"/>
      <c r="AFZ228" s="95"/>
      <c r="AGA228" s="95"/>
      <c r="AGB228" s="95"/>
      <c r="AGC228" s="95"/>
      <c r="AGD228" s="95"/>
      <c r="AGE228" s="95"/>
      <c r="AGF228" s="95"/>
      <c r="AGG228" s="95"/>
      <c r="AGH228" s="95"/>
      <c r="AGI228" s="95"/>
      <c r="AGJ228" s="95"/>
      <c r="AGK228" s="95"/>
      <c r="AGL228" s="95"/>
      <c r="AGM228" s="95"/>
      <c r="AGN228" s="95"/>
      <c r="AGO228" s="95"/>
      <c r="AGP228" s="95"/>
      <c r="AGQ228" s="95"/>
      <c r="AGR228" s="95"/>
      <c r="AGS228" s="95"/>
      <c r="AGT228" s="95"/>
      <c r="AGU228" s="95"/>
      <c r="AGV228" s="95"/>
      <c r="AGW228" s="95"/>
      <c r="AGX228" s="95"/>
      <c r="AGY228" s="95"/>
      <c r="AGZ228" s="95"/>
      <c r="AHA228" s="95"/>
      <c r="AHB228" s="95"/>
      <c r="AHC228" s="95"/>
    </row>
    <row r="229" spans="1:887" ht="20.100000000000001" customHeight="1">
      <c r="A229" s="198" t="str">
        <f>VLOOKUP(C229,'BASE DE DADOS'!A:B,2,FALSE)</f>
        <v>ENSINA MAIS INATIVOS</v>
      </c>
      <c r="B229" s="199" t="s">
        <v>110</v>
      </c>
      <c r="C229" s="198" t="s">
        <v>111</v>
      </c>
      <c r="D229" s="232">
        <v>15487.69</v>
      </c>
      <c r="E229" s="198"/>
      <c r="F229" s="201"/>
      <c r="G229" s="200"/>
      <c r="H229" s="157"/>
      <c r="I229" s="201"/>
      <c r="J229" s="201" t="s">
        <v>1743</v>
      </c>
      <c r="K229" s="201"/>
      <c r="L229" s="201"/>
      <c r="M229" s="201"/>
      <c r="N229" s="201"/>
      <c r="O229" s="201"/>
      <c r="P229" s="157"/>
      <c r="Q229" s="195" t="s">
        <v>3541</v>
      </c>
    </row>
    <row r="230" spans="1:887" ht="20.100000000000001" customHeight="1">
      <c r="A230" s="236" t="str">
        <f>VLOOKUP(C230,'BASE DE DADOS'!A:B,2,FALSE)</f>
        <v>PREPARA INATIVOS</v>
      </c>
      <c r="B230" s="237" t="s">
        <v>340</v>
      </c>
      <c r="C230" s="236" t="s">
        <v>341</v>
      </c>
      <c r="D230" s="238">
        <v>48800.88</v>
      </c>
      <c r="E230" s="236"/>
      <c r="F230" s="241"/>
      <c r="G230" s="127" t="s">
        <v>1743</v>
      </c>
      <c r="H230" s="241"/>
      <c r="I230" s="241"/>
      <c r="J230" s="241"/>
      <c r="K230" s="241"/>
      <c r="L230" s="241"/>
      <c r="M230" s="241"/>
      <c r="N230" s="241"/>
      <c r="O230" s="241"/>
      <c r="P230" s="86"/>
      <c r="Q230" s="203" t="s">
        <v>2704</v>
      </c>
    </row>
    <row r="231" spans="1:887" ht="20.100000000000001" customHeight="1">
      <c r="A231" s="191" t="str">
        <f>VLOOKUP(C231,'BASE DE DADOS'!A:B,2,FALSE)</f>
        <v>PREPARA</v>
      </c>
      <c r="B231" s="90" t="s">
        <v>350</v>
      </c>
      <c r="C231" s="191" t="s">
        <v>351</v>
      </c>
      <c r="D231" s="227">
        <v>4744.5200000000004</v>
      </c>
      <c r="E231" s="191"/>
      <c r="F231" s="193"/>
      <c r="G231" s="126"/>
      <c r="H231" s="193"/>
      <c r="I231" s="193"/>
      <c r="J231" s="193"/>
      <c r="K231" s="193"/>
      <c r="L231" s="193"/>
      <c r="M231" s="193" t="s">
        <v>1743</v>
      </c>
      <c r="N231" s="193"/>
      <c r="O231" s="193"/>
      <c r="P231" s="87"/>
      <c r="Q231" s="203" t="s">
        <v>3533</v>
      </c>
    </row>
    <row r="232" spans="1:887" ht="20.100000000000001" customHeight="1">
      <c r="A232" s="191" t="str">
        <f>VLOOKUP(C232,'BASE DE DADOS'!A:B,2,FALSE)</f>
        <v>PREPARA</v>
      </c>
      <c r="B232" s="90" t="s">
        <v>350</v>
      </c>
      <c r="C232" s="191" t="s">
        <v>351</v>
      </c>
      <c r="D232" s="227">
        <v>111592.84</v>
      </c>
      <c r="E232" s="191"/>
      <c r="F232" s="193"/>
      <c r="G232" s="126"/>
      <c r="H232" s="193"/>
      <c r="I232" s="193"/>
      <c r="J232" s="193"/>
      <c r="K232" s="193"/>
      <c r="L232" s="193"/>
      <c r="M232" s="193" t="s">
        <v>1743</v>
      </c>
      <c r="N232" s="193"/>
      <c r="O232" s="193"/>
      <c r="P232" s="87"/>
      <c r="Q232" s="203" t="s">
        <v>2706</v>
      </c>
    </row>
    <row r="233" spans="1:887" ht="20.100000000000001" customHeight="1">
      <c r="A233" s="191" t="str">
        <f>VLOOKUP(C233,'BASE DE DADOS'!A:B,2,FALSE)</f>
        <v>PREPARA</v>
      </c>
      <c r="B233" s="90" t="s">
        <v>350</v>
      </c>
      <c r="C233" s="191" t="s">
        <v>351</v>
      </c>
      <c r="D233" s="227">
        <v>10426.16</v>
      </c>
      <c r="E233" s="191"/>
      <c r="F233" s="193"/>
      <c r="G233" s="126"/>
      <c r="H233" s="193"/>
      <c r="I233" s="193"/>
      <c r="J233" s="193"/>
      <c r="K233" s="193"/>
      <c r="L233" s="193"/>
      <c r="M233" s="193" t="s">
        <v>1743</v>
      </c>
      <c r="N233" s="193"/>
      <c r="O233" s="193"/>
      <c r="P233" s="87"/>
      <c r="Q233" s="203" t="s">
        <v>2707</v>
      </c>
    </row>
    <row r="234" spans="1:887" ht="20.100000000000001" customHeight="1">
      <c r="A234" s="219" t="str">
        <f>VLOOKUP(C234,'BASE DE DADOS'!A:B,2,FALSE)</f>
        <v>PREPARA INATIVOS</v>
      </c>
      <c r="B234" s="92" t="s">
        <v>1120</v>
      </c>
      <c r="C234" s="219" t="s">
        <v>3105</v>
      </c>
      <c r="D234" s="229">
        <v>20940.75</v>
      </c>
      <c r="E234" s="219"/>
      <c r="F234" s="221"/>
      <c r="G234" s="120"/>
      <c r="H234" s="221"/>
      <c r="I234" s="221"/>
      <c r="J234" s="221"/>
      <c r="K234" s="221"/>
      <c r="L234" s="221"/>
      <c r="M234" s="221"/>
      <c r="N234" s="221"/>
      <c r="O234" s="221"/>
      <c r="P234" s="85"/>
      <c r="Q234" s="235" t="s">
        <v>2708</v>
      </c>
    </row>
    <row r="235" spans="1:887" ht="20.100000000000001" customHeight="1">
      <c r="A235" s="219" t="str">
        <f>VLOOKUP(C235,'BASE DE DADOS'!A:B,2,FALSE)</f>
        <v>PREPARA INATIVOS</v>
      </c>
      <c r="B235" s="92" t="s">
        <v>1120</v>
      </c>
      <c r="C235" s="219" t="s">
        <v>3105</v>
      </c>
      <c r="D235" s="229">
        <v>31110.49</v>
      </c>
      <c r="E235" s="219"/>
      <c r="F235" s="221"/>
      <c r="G235" s="120"/>
      <c r="H235" s="221"/>
      <c r="I235" s="221"/>
      <c r="J235" s="221"/>
      <c r="K235" s="221"/>
      <c r="L235" s="221"/>
      <c r="M235" s="221"/>
      <c r="N235" s="221"/>
      <c r="O235" s="221"/>
      <c r="P235" s="85"/>
      <c r="Q235" s="235" t="s">
        <v>2709</v>
      </c>
    </row>
    <row r="236" spans="1:887" ht="20.100000000000001" customHeight="1">
      <c r="A236" s="191" t="str">
        <f>VLOOKUP(C236,'BASE DE DADOS'!A:B,2,FALSE)</f>
        <v>ENSINA MAIS INATIVOS</v>
      </c>
      <c r="B236" s="90" t="s">
        <v>2337</v>
      </c>
      <c r="C236" s="191" t="s">
        <v>2338</v>
      </c>
      <c r="D236" s="227">
        <v>34162.06</v>
      </c>
      <c r="E236" s="76">
        <v>38593.620000000003</v>
      </c>
      <c r="F236" s="193"/>
      <c r="G236" s="192"/>
      <c r="H236" s="193"/>
      <c r="I236" s="193"/>
      <c r="J236" s="193"/>
      <c r="K236" s="193"/>
      <c r="L236" s="193"/>
      <c r="M236" s="66"/>
      <c r="N236" s="193" t="s">
        <v>1743</v>
      </c>
      <c r="O236" s="202">
        <v>45770</v>
      </c>
      <c r="P236" s="145" t="s">
        <v>2943</v>
      </c>
      <c r="Q236" s="195" t="s">
        <v>2711</v>
      </c>
    </row>
    <row r="237" spans="1:887" ht="20.100000000000001" customHeight="1">
      <c r="A237" s="191" t="str">
        <f>VLOOKUP(C237,'BASE DE DADOS'!A:B,2,FALSE)</f>
        <v>ENSINA MAIS INATIVOS</v>
      </c>
      <c r="B237" s="90" t="s">
        <v>2337</v>
      </c>
      <c r="C237" s="191" t="s">
        <v>2338</v>
      </c>
      <c r="D237" s="227">
        <v>3162.34</v>
      </c>
      <c r="E237" s="74" t="s">
        <v>2945</v>
      </c>
      <c r="F237" s="193"/>
      <c r="G237" s="192"/>
      <c r="H237" s="193"/>
      <c r="I237" s="193"/>
      <c r="J237" s="193"/>
      <c r="K237" s="193"/>
      <c r="L237" s="193"/>
      <c r="M237" s="66"/>
      <c r="N237" s="193" t="s">
        <v>1743</v>
      </c>
      <c r="O237" s="202">
        <v>45755</v>
      </c>
      <c r="P237" s="146" t="s">
        <v>2944</v>
      </c>
      <c r="Q237" s="195" t="s">
        <v>2712</v>
      </c>
    </row>
    <row r="238" spans="1:887" ht="20.100000000000001" customHeight="1">
      <c r="A238" s="219" t="str">
        <f>VLOOKUP(C238,'BASE DE DADOS'!A:B,2,FALSE)</f>
        <v>PREPARA INATIVOS</v>
      </c>
      <c r="B238" s="92" t="s">
        <v>359</v>
      </c>
      <c r="C238" s="219" t="s">
        <v>360</v>
      </c>
      <c r="D238" s="229">
        <v>25411.54</v>
      </c>
      <c r="E238" s="219"/>
      <c r="F238" s="221"/>
      <c r="G238" s="220"/>
      <c r="H238" s="85"/>
      <c r="I238" s="221"/>
      <c r="J238" s="221"/>
      <c r="K238" s="221"/>
      <c r="L238" s="221"/>
      <c r="M238" s="221"/>
      <c r="N238" s="221"/>
      <c r="O238" s="221"/>
      <c r="P238" s="85"/>
      <c r="Q238" s="235" t="s">
        <v>2949</v>
      </c>
    </row>
    <row r="239" spans="1:887" ht="20.100000000000001" customHeight="1">
      <c r="A239" s="219" t="str">
        <f>VLOOKUP(C239,'BASE DE DADOS'!A:B,2,FALSE)</f>
        <v>PREPARA INATIVOS</v>
      </c>
      <c r="B239" s="92" t="s">
        <v>359</v>
      </c>
      <c r="C239" s="219" t="s">
        <v>360</v>
      </c>
      <c r="D239" s="229">
        <v>12798.02</v>
      </c>
      <c r="E239" s="219"/>
      <c r="F239" s="221"/>
      <c r="G239" s="220"/>
      <c r="H239" s="85"/>
      <c r="I239" s="221"/>
      <c r="J239" s="221"/>
      <c r="K239" s="221"/>
      <c r="L239" s="221"/>
      <c r="M239" s="221"/>
      <c r="N239" s="221"/>
      <c r="O239" s="253"/>
      <c r="P239" s="221"/>
      <c r="Q239" s="235" t="s">
        <v>2950</v>
      </c>
    </row>
    <row r="240" spans="1:887" ht="20.100000000000001" customHeight="1">
      <c r="A240" s="254" t="str">
        <f>VLOOKUP(C240,'BASE DE DADOS'!A:B,2,FALSE)</f>
        <v>PREPARA INATIVOS</v>
      </c>
      <c r="B240" s="91" t="s">
        <v>409</v>
      </c>
      <c r="C240" s="254" t="s">
        <v>410</v>
      </c>
      <c r="D240" s="255">
        <v>19912.509999999998</v>
      </c>
      <c r="E240" s="254"/>
      <c r="F240" s="256"/>
      <c r="G240" s="257"/>
      <c r="H240" s="256"/>
      <c r="I240" s="256"/>
      <c r="J240" s="256"/>
      <c r="K240" s="88"/>
      <c r="L240" s="256"/>
      <c r="M240" s="256"/>
      <c r="N240" s="256"/>
      <c r="O240" s="256"/>
      <c r="P240" s="256"/>
      <c r="Q240" s="203" t="s">
        <v>2718</v>
      </c>
    </row>
    <row r="241" spans="1:887" s="72" customFormat="1" ht="20.100000000000001" customHeight="1">
      <c r="A241" s="219" t="str">
        <f>VLOOKUP(C241,'BASE DE DADOS'!A:B,2,FALSE)</f>
        <v>PREPARA INATIVOS</v>
      </c>
      <c r="B241" s="92" t="s">
        <v>504</v>
      </c>
      <c r="C241" s="219" t="s">
        <v>505</v>
      </c>
      <c r="D241" s="229">
        <v>2583.0100000000002</v>
      </c>
      <c r="E241" s="219"/>
      <c r="F241" s="221"/>
      <c r="G241" s="120"/>
      <c r="H241" s="221"/>
      <c r="I241" s="221"/>
      <c r="J241" s="221"/>
      <c r="K241" s="221"/>
      <c r="L241" s="221"/>
      <c r="M241" s="221"/>
      <c r="N241" s="221"/>
      <c r="O241" s="221"/>
      <c r="P241" s="221"/>
      <c r="Q241" s="226" t="s">
        <v>2720</v>
      </c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  <c r="AY241" s="95"/>
      <c r="AZ241" s="95"/>
      <c r="BA241" s="95"/>
      <c r="BB241" s="95"/>
      <c r="BC241" s="95"/>
      <c r="BD241" s="95"/>
      <c r="BE241" s="95"/>
      <c r="BF241" s="95"/>
      <c r="BG241" s="95"/>
      <c r="BH241" s="95"/>
      <c r="BI241" s="95"/>
      <c r="BJ241" s="95"/>
      <c r="BK241" s="95"/>
      <c r="BL241" s="95"/>
      <c r="BM241" s="95"/>
      <c r="BN241" s="95"/>
      <c r="BO241" s="95"/>
      <c r="BP241" s="95"/>
      <c r="BQ241" s="95"/>
      <c r="BR241" s="95"/>
      <c r="BS241" s="95"/>
      <c r="BT241" s="95"/>
      <c r="BU241" s="95"/>
      <c r="BV241" s="95"/>
      <c r="BW241" s="95"/>
      <c r="BX241" s="95"/>
      <c r="BY241" s="95"/>
      <c r="BZ241" s="95"/>
      <c r="CA241" s="95"/>
      <c r="CB241" s="95"/>
      <c r="CC241" s="95"/>
      <c r="CD241" s="95"/>
      <c r="CE241" s="95"/>
      <c r="CF241" s="95"/>
      <c r="CG241" s="95"/>
      <c r="CH241" s="95"/>
      <c r="CI241" s="95"/>
      <c r="CJ241" s="95"/>
      <c r="CK241" s="95"/>
      <c r="CL241" s="95"/>
      <c r="CM241" s="95"/>
      <c r="CN241" s="95"/>
      <c r="CO241" s="95"/>
      <c r="CP241" s="95"/>
      <c r="CQ241" s="95"/>
      <c r="CR241" s="95"/>
      <c r="CS241" s="95"/>
      <c r="CT241" s="95"/>
      <c r="CU241" s="95"/>
      <c r="CV241" s="95"/>
      <c r="CW241" s="95"/>
      <c r="CX241" s="95"/>
      <c r="CY241" s="95"/>
      <c r="CZ241" s="95"/>
      <c r="DA241" s="95"/>
      <c r="DB241" s="95"/>
      <c r="DC241" s="95"/>
      <c r="DD241" s="95"/>
      <c r="DE241" s="95"/>
      <c r="DF241" s="95"/>
      <c r="DG241" s="95"/>
      <c r="DH241" s="95"/>
      <c r="DI241" s="95"/>
      <c r="DJ241" s="95"/>
      <c r="DK241" s="95"/>
      <c r="DL241" s="95"/>
      <c r="DM241" s="95"/>
      <c r="DN241" s="95"/>
      <c r="DO241" s="95"/>
      <c r="DP241" s="95"/>
      <c r="DQ241" s="95"/>
      <c r="DR241" s="95"/>
      <c r="DS241" s="95"/>
      <c r="DT241" s="95"/>
      <c r="DU241" s="95"/>
      <c r="DV241" s="95"/>
      <c r="DW241" s="95"/>
      <c r="DX241" s="95"/>
      <c r="DY241" s="95"/>
      <c r="DZ241" s="95"/>
      <c r="EA241" s="95"/>
      <c r="EB241" s="95"/>
      <c r="EC241" s="95"/>
      <c r="ED241" s="95"/>
      <c r="EE241" s="95"/>
      <c r="EF241" s="95"/>
      <c r="EG241" s="95"/>
      <c r="EH241" s="95"/>
      <c r="EI241" s="95"/>
      <c r="EJ241" s="95"/>
      <c r="EK241" s="95"/>
      <c r="EL241" s="95"/>
      <c r="EM241" s="95"/>
      <c r="EN241" s="95"/>
      <c r="EO241" s="95"/>
      <c r="EP241" s="95"/>
      <c r="EQ241" s="95"/>
      <c r="ER241" s="95"/>
      <c r="ES241" s="95"/>
      <c r="ET241" s="95"/>
      <c r="EU241" s="95"/>
      <c r="EV241" s="95"/>
      <c r="EW241" s="95"/>
      <c r="EX241" s="95"/>
      <c r="EY241" s="95"/>
      <c r="EZ241" s="95"/>
      <c r="FA241" s="95"/>
      <c r="FB241" s="95"/>
      <c r="FC241" s="95"/>
      <c r="FD241" s="95"/>
      <c r="FE241" s="95"/>
      <c r="FF241" s="95"/>
      <c r="FG241" s="95"/>
      <c r="FH241" s="95"/>
      <c r="FI241" s="95"/>
      <c r="FJ241" s="95"/>
      <c r="FK241" s="95"/>
      <c r="FL241" s="95"/>
      <c r="FM241" s="95"/>
      <c r="FN241" s="95"/>
      <c r="FO241" s="95"/>
      <c r="FP241" s="95"/>
      <c r="FQ241" s="95"/>
      <c r="FR241" s="95"/>
      <c r="FS241" s="95"/>
      <c r="FT241" s="95"/>
      <c r="FU241" s="95"/>
      <c r="FV241" s="95"/>
      <c r="FW241" s="95"/>
      <c r="FX241" s="95"/>
      <c r="FY241" s="95"/>
      <c r="FZ241" s="95"/>
      <c r="GA241" s="95"/>
      <c r="GB241" s="95"/>
      <c r="GC241" s="95"/>
      <c r="GD241" s="95"/>
      <c r="GE241" s="95"/>
      <c r="GF241" s="95"/>
      <c r="GG241" s="95"/>
      <c r="GH241" s="95"/>
      <c r="GI241" s="95"/>
      <c r="GJ241" s="95"/>
      <c r="GK241" s="95"/>
      <c r="GL241" s="95"/>
      <c r="GM241" s="95"/>
      <c r="GN241" s="95"/>
      <c r="GO241" s="95"/>
      <c r="GP241" s="95"/>
      <c r="GQ241" s="95"/>
      <c r="GR241" s="95"/>
      <c r="GS241" s="95"/>
      <c r="GT241" s="95"/>
      <c r="GU241" s="95"/>
      <c r="GV241" s="95"/>
      <c r="GW241" s="95"/>
      <c r="GX241" s="95"/>
      <c r="GY241" s="95"/>
      <c r="GZ241" s="95"/>
      <c r="HA241" s="95"/>
      <c r="HB241" s="95"/>
      <c r="HC241" s="95"/>
      <c r="HD241" s="95"/>
      <c r="HE241" s="95"/>
      <c r="HF241" s="95"/>
      <c r="HG241" s="95"/>
      <c r="HH241" s="95"/>
      <c r="HI241" s="95"/>
      <c r="HJ241" s="95"/>
      <c r="HK241" s="95"/>
      <c r="HL241" s="95"/>
      <c r="HM241" s="95"/>
      <c r="HN241" s="95"/>
      <c r="HO241" s="95"/>
      <c r="HP241" s="95"/>
      <c r="HQ241" s="95"/>
      <c r="HR241" s="95"/>
      <c r="HS241" s="95"/>
      <c r="HT241" s="95"/>
      <c r="HU241" s="95"/>
      <c r="HV241" s="95"/>
      <c r="HW241" s="95"/>
      <c r="HX241" s="95"/>
      <c r="HY241" s="95"/>
      <c r="HZ241" s="95"/>
      <c r="IA241" s="95"/>
      <c r="IB241" s="95"/>
      <c r="IC241" s="95"/>
      <c r="ID241" s="95"/>
      <c r="IE241" s="95"/>
      <c r="IF241" s="95"/>
      <c r="IG241" s="95"/>
      <c r="IH241" s="95"/>
      <c r="II241" s="95"/>
      <c r="IJ241" s="95"/>
      <c r="IK241" s="95"/>
      <c r="IL241" s="95"/>
      <c r="IM241" s="95"/>
      <c r="IN241" s="95"/>
      <c r="IO241" s="95"/>
      <c r="IP241" s="95"/>
      <c r="IQ241" s="95"/>
      <c r="IR241" s="95"/>
      <c r="IS241" s="95"/>
      <c r="IT241" s="95"/>
      <c r="IU241" s="95"/>
      <c r="IV241" s="95"/>
      <c r="IW241" s="95"/>
      <c r="IX241" s="95"/>
      <c r="IY241" s="95"/>
      <c r="IZ241" s="95"/>
      <c r="JA241" s="95"/>
      <c r="JB241" s="95"/>
      <c r="JC241" s="95"/>
      <c r="JD241" s="95"/>
      <c r="JE241" s="95"/>
      <c r="JF241" s="95"/>
      <c r="JG241" s="95"/>
      <c r="JH241" s="95"/>
      <c r="JI241" s="95"/>
      <c r="JJ241" s="95"/>
      <c r="JK241" s="95"/>
      <c r="JL241" s="95"/>
      <c r="JM241" s="95"/>
      <c r="JN241" s="95"/>
      <c r="JO241" s="95"/>
      <c r="JP241" s="95"/>
      <c r="JQ241" s="95"/>
      <c r="JR241" s="95"/>
      <c r="JS241" s="95"/>
      <c r="JT241" s="95"/>
      <c r="JU241" s="95"/>
      <c r="JV241" s="95"/>
      <c r="JW241" s="95"/>
      <c r="JX241" s="95"/>
      <c r="JY241" s="95"/>
      <c r="JZ241" s="95"/>
      <c r="KA241" s="95"/>
      <c r="KB241" s="95"/>
      <c r="KC241" s="95"/>
      <c r="KD241" s="95"/>
      <c r="KE241" s="95"/>
      <c r="KF241" s="95"/>
      <c r="KG241" s="95"/>
      <c r="KH241" s="95"/>
      <c r="KI241" s="95"/>
      <c r="KJ241" s="95"/>
      <c r="KK241" s="95"/>
      <c r="KL241" s="95"/>
      <c r="KM241" s="95"/>
      <c r="KN241" s="95"/>
      <c r="KO241" s="95"/>
      <c r="KP241" s="95"/>
      <c r="KQ241" s="95"/>
      <c r="KR241" s="95"/>
      <c r="KS241" s="95"/>
      <c r="KT241" s="95"/>
      <c r="KU241" s="95"/>
      <c r="KV241" s="95"/>
      <c r="KW241" s="95"/>
      <c r="KX241" s="95"/>
      <c r="KY241" s="95"/>
      <c r="KZ241" s="95"/>
      <c r="LA241" s="95"/>
      <c r="LB241" s="95"/>
      <c r="LC241" s="95"/>
      <c r="LD241" s="95"/>
      <c r="LE241" s="95"/>
      <c r="LF241" s="95"/>
      <c r="LG241" s="95"/>
      <c r="LH241" s="95"/>
      <c r="LI241" s="95"/>
      <c r="LJ241" s="95"/>
      <c r="LK241" s="95"/>
      <c r="LL241" s="95"/>
      <c r="LM241" s="95"/>
      <c r="LN241" s="95"/>
      <c r="LO241" s="95"/>
      <c r="LP241" s="95"/>
      <c r="LQ241" s="95"/>
      <c r="LR241" s="95"/>
      <c r="LS241" s="95"/>
      <c r="LT241" s="95"/>
      <c r="LU241" s="95"/>
      <c r="LV241" s="95"/>
      <c r="LW241" s="95"/>
      <c r="LX241" s="95"/>
      <c r="LY241" s="95"/>
      <c r="LZ241" s="95"/>
      <c r="MA241" s="95"/>
      <c r="MB241" s="95"/>
      <c r="MC241" s="95"/>
      <c r="MD241" s="95"/>
      <c r="ME241" s="95"/>
      <c r="MF241" s="95"/>
      <c r="MG241" s="95"/>
      <c r="MH241" s="95"/>
      <c r="MI241" s="95"/>
      <c r="MJ241" s="95"/>
      <c r="MK241" s="95"/>
      <c r="ML241" s="95"/>
      <c r="MM241" s="95"/>
      <c r="MN241" s="95"/>
      <c r="MO241" s="95"/>
      <c r="MP241" s="95"/>
      <c r="MQ241" s="95"/>
      <c r="MR241" s="95"/>
      <c r="MS241" s="95"/>
      <c r="MT241" s="95"/>
      <c r="MU241" s="95"/>
      <c r="MV241" s="95"/>
      <c r="MW241" s="95"/>
      <c r="MX241" s="95"/>
      <c r="MY241" s="95"/>
      <c r="MZ241" s="95"/>
      <c r="NA241" s="95"/>
      <c r="NB241" s="95"/>
      <c r="NC241" s="95"/>
      <c r="ND241" s="95"/>
      <c r="NE241" s="95"/>
      <c r="NF241" s="95"/>
      <c r="NG241" s="95"/>
      <c r="NH241" s="95"/>
      <c r="NI241" s="95"/>
      <c r="NJ241" s="95"/>
      <c r="NK241" s="95"/>
      <c r="NL241" s="95"/>
      <c r="NM241" s="95"/>
      <c r="NN241" s="95"/>
      <c r="NO241" s="95"/>
      <c r="NP241" s="95"/>
      <c r="NQ241" s="95"/>
      <c r="NR241" s="95"/>
      <c r="NS241" s="95"/>
      <c r="NT241" s="95"/>
      <c r="NU241" s="95"/>
      <c r="NV241" s="95"/>
      <c r="NW241" s="95"/>
      <c r="NX241" s="95"/>
      <c r="NY241" s="95"/>
      <c r="NZ241" s="95"/>
      <c r="OA241" s="95"/>
      <c r="OB241" s="95"/>
      <c r="OC241" s="95"/>
      <c r="OD241" s="95"/>
      <c r="OE241" s="95"/>
      <c r="OF241" s="95"/>
      <c r="OG241" s="95"/>
      <c r="OH241" s="95"/>
      <c r="OI241" s="95"/>
      <c r="OJ241" s="95"/>
      <c r="OK241" s="95"/>
      <c r="OL241" s="95"/>
      <c r="OM241" s="95"/>
      <c r="ON241" s="95"/>
      <c r="OO241" s="95"/>
      <c r="OP241" s="95"/>
      <c r="OQ241" s="95"/>
      <c r="OR241" s="95"/>
      <c r="OS241" s="95"/>
      <c r="OT241" s="95"/>
      <c r="OU241" s="95"/>
      <c r="OV241" s="95"/>
      <c r="OW241" s="95"/>
      <c r="OX241" s="95"/>
      <c r="OY241" s="95"/>
      <c r="OZ241" s="95"/>
      <c r="PA241" s="95"/>
      <c r="PB241" s="95"/>
      <c r="PC241" s="95"/>
      <c r="PD241" s="95"/>
      <c r="PE241" s="95"/>
      <c r="PF241" s="95"/>
      <c r="PG241" s="95"/>
      <c r="PH241" s="95"/>
      <c r="PI241" s="95"/>
      <c r="PJ241" s="95"/>
      <c r="PK241" s="95"/>
      <c r="PL241" s="95"/>
      <c r="PM241" s="95"/>
      <c r="PN241" s="95"/>
      <c r="PO241" s="95"/>
      <c r="PP241" s="95"/>
      <c r="PQ241" s="95"/>
      <c r="PR241" s="95"/>
      <c r="PS241" s="95"/>
      <c r="PT241" s="95"/>
      <c r="PU241" s="95"/>
      <c r="PV241" s="95"/>
      <c r="PW241" s="95"/>
      <c r="PX241" s="95"/>
      <c r="PY241" s="95"/>
      <c r="PZ241" s="95"/>
      <c r="QA241" s="95"/>
      <c r="QB241" s="95"/>
      <c r="QC241" s="95"/>
      <c r="QD241" s="95"/>
      <c r="QE241" s="95"/>
      <c r="QF241" s="95"/>
      <c r="QG241" s="95"/>
      <c r="QH241" s="95"/>
      <c r="QI241" s="95"/>
      <c r="QJ241" s="95"/>
      <c r="QK241" s="95"/>
      <c r="QL241" s="95"/>
      <c r="QM241" s="95"/>
      <c r="QN241" s="95"/>
      <c r="QO241" s="95"/>
      <c r="QP241" s="95"/>
      <c r="QQ241" s="95"/>
      <c r="QR241" s="95"/>
      <c r="QS241" s="95"/>
      <c r="QT241" s="95"/>
      <c r="QU241" s="95"/>
      <c r="QV241" s="95"/>
      <c r="QW241" s="95"/>
      <c r="QX241" s="95"/>
      <c r="QY241" s="95"/>
      <c r="QZ241" s="95"/>
      <c r="RA241" s="95"/>
      <c r="RB241" s="95"/>
      <c r="RC241" s="95"/>
      <c r="RD241" s="95"/>
      <c r="RE241" s="95"/>
      <c r="RF241" s="95"/>
      <c r="RG241" s="95"/>
      <c r="RH241" s="95"/>
      <c r="RI241" s="95"/>
      <c r="RJ241" s="95"/>
      <c r="RK241" s="95"/>
      <c r="RL241" s="95"/>
      <c r="RM241" s="95"/>
      <c r="RN241" s="95"/>
      <c r="RO241" s="95"/>
      <c r="RP241" s="95"/>
      <c r="RQ241" s="95"/>
      <c r="RR241" s="95"/>
      <c r="RS241" s="95"/>
      <c r="RT241" s="95"/>
      <c r="RU241" s="95"/>
      <c r="RV241" s="95"/>
      <c r="RW241" s="95"/>
      <c r="RX241" s="95"/>
      <c r="RY241" s="95"/>
      <c r="RZ241" s="95"/>
      <c r="SA241" s="95"/>
      <c r="SB241" s="95"/>
      <c r="SC241" s="95"/>
      <c r="SD241" s="95"/>
      <c r="SE241" s="95"/>
      <c r="SF241" s="95"/>
      <c r="SG241" s="95"/>
      <c r="SH241" s="95"/>
      <c r="SI241" s="95"/>
      <c r="SJ241" s="95"/>
      <c r="SK241" s="95"/>
      <c r="SL241" s="95"/>
      <c r="SM241" s="95"/>
      <c r="SN241" s="95"/>
      <c r="SO241" s="95"/>
      <c r="SP241" s="95"/>
      <c r="SQ241" s="95"/>
      <c r="SR241" s="95"/>
      <c r="SS241" s="95"/>
      <c r="ST241" s="95"/>
      <c r="SU241" s="95"/>
      <c r="SV241" s="95"/>
      <c r="SW241" s="95"/>
      <c r="SX241" s="95"/>
      <c r="SY241" s="95"/>
      <c r="SZ241" s="95"/>
      <c r="TA241" s="95"/>
      <c r="TB241" s="95"/>
      <c r="TC241" s="95"/>
      <c r="TD241" s="95"/>
      <c r="TE241" s="95"/>
      <c r="TF241" s="95"/>
      <c r="TG241" s="95"/>
      <c r="TH241" s="95"/>
      <c r="TI241" s="95"/>
      <c r="TJ241" s="95"/>
      <c r="TK241" s="95"/>
      <c r="TL241" s="95"/>
      <c r="TM241" s="95"/>
      <c r="TN241" s="95"/>
      <c r="TO241" s="95"/>
      <c r="TP241" s="95"/>
      <c r="TQ241" s="95"/>
      <c r="TR241" s="95"/>
      <c r="TS241" s="95"/>
      <c r="TT241" s="95"/>
      <c r="TU241" s="95"/>
      <c r="TV241" s="95"/>
      <c r="TW241" s="95"/>
      <c r="TX241" s="95"/>
      <c r="TY241" s="95"/>
      <c r="TZ241" s="95"/>
      <c r="UA241" s="95"/>
      <c r="UB241" s="95"/>
      <c r="UC241" s="95"/>
      <c r="UD241" s="95"/>
      <c r="UE241" s="95"/>
      <c r="UF241" s="95"/>
      <c r="UG241" s="95"/>
      <c r="UH241" s="95"/>
      <c r="UI241" s="95"/>
      <c r="UJ241" s="95"/>
      <c r="UK241" s="95"/>
      <c r="UL241" s="95"/>
      <c r="UM241" s="95"/>
      <c r="UN241" s="95"/>
      <c r="UO241" s="95"/>
      <c r="UP241" s="95"/>
      <c r="UQ241" s="95"/>
      <c r="UR241" s="95"/>
      <c r="US241" s="95"/>
      <c r="UT241" s="95"/>
      <c r="UU241" s="95"/>
      <c r="UV241" s="95"/>
      <c r="UW241" s="95"/>
      <c r="UX241" s="95"/>
      <c r="UY241" s="95"/>
      <c r="UZ241" s="95"/>
      <c r="VA241" s="95"/>
      <c r="VB241" s="95"/>
      <c r="VC241" s="95"/>
      <c r="VD241" s="95"/>
      <c r="VE241" s="95"/>
      <c r="VF241" s="95"/>
      <c r="VG241" s="95"/>
      <c r="VH241" s="95"/>
      <c r="VI241" s="95"/>
      <c r="VJ241" s="95"/>
      <c r="VK241" s="95"/>
      <c r="VL241" s="95"/>
      <c r="VM241" s="95"/>
      <c r="VN241" s="95"/>
      <c r="VO241" s="95"/>
      <c r="VP241" s="95"/>
      <c r="VQ241" s="95"/>
      <c r="VR241" s="95"/>
      <c r="VS241" s="95"/>
      <c r="VT241" s="95"/>
      <c r="VU241" s="95"/>
      <c r="VV241" s="95"/>
      <c r="VW241" s="95"/>
      <c r="VX241" s="95"/>
      <c r="VY241" s="95"/>
      <c r="VZ241" s="95"/>
      <c r="WA241" s="95"/>
      <c r="WB241" s="95"/>
      <c r="WC241" s="95"/>
      <c r="WD241" s="95"/>
      <c r="WE241" s="95"/>
      <c r="WF241" s="95"/>
      <c r="WG241" s="95"/>
      <c r="WH241" s="95"/>
      <c r="WI241" s="95"/>
      <c r="WJ241" s="95"/>
      <c r="WK241" s="95"/>
      <c r="WL241" s="95"/>
      <c r="WM241" s="95"/>
      <c r="WN241" s="95"/>
      <c r="WO241" s="95"/>
      <c r="WP241" s="95"/>
      <c r="WQ241" s="95"/>
      <c r="WR241" s="95"/>
      <c r="WS241" s="95"/>
      <c r="WT241" s="95"/>
      <c r="WU241" s="95"/>
      <c r="WV241" s="95"/>
      <c r="WW241" s="95"/>
      <c r="WX241" s="95"/>
      <c r="WY241" s="95"/>
      <c r="WZ241" s="95"/>
      <c r="XA241" s="95"/>
      <c r="XB241" s="95"/>
      <c r="XC241" s="95"/>
      <c r="XD241" s="95"/>
      <c r="XE241" s="95"/>
      <c r="XF241" s="95"/>
      <c r="XG241" s="95"/>
      <c r="XH241" s="95"/>
      <c r="XI241" s="95"/>
      <c r="XJ241" s="95"/>
      <c r="XK241" s="95"/>
      <c r="XL241" s="95"/>
      <c r="XM241" s="95"/>
      <c r="XN241" s="95"/>
      <c r="XO241" s="95"/>
      <c r="XP241" s="95"/>
      <c r="XQ241" s="95"/>
      <c r="XR241" s="95"/>
      <c r="XS241" s="95"/>
      <c r="XT241" s="95"/>
      <c r="XU241" s="95"/>
      <c r="XV241" s="95"/>
      <c r="XW241" s="95"/>
      <c r="XX241" s="95"/>
      <c r="XY241" s="95"/>
      <c r="XZ241" s="95"/>
      <c r="YA241" s="95"/>
      <c r="YB241" s="95"/>
      <c r="YC241" s="95"/>
      <c r="YD241" s="95"/>
      <c r="YE241" s="95"/>
      <c r="YF241" s="95"/>
      <c r="YG241" s="95"/>
      <c r="YH241" s="95"/>
      <c r="YI241" s="95"/>
      <c r="YJ241" s="95"/>
      <c r="YK241" s="95"/>
      <c r="YL241" s="95"/>
      <c r="YM241" s="95"/>
      <c r="YN241" s="95"/>
      <c r="YO241" s="95"/>
      <c r="YP241" s="95"/>
      <c r="YQ241" s="95"/>
      <c r="YR241" s="95"/>
      <c r="YS241" s="95"/>
      <c r="YT241" s="95"/>
      <c r="YU241" s="95"/>
      <c r="YV241" s="95"/>
      <c r="YW241" s="95"/>
      <c r="YX241" s="95"/>
      <c r="YY241" s="95"/>
      <c r="YZ241" s="95"/>
      <c r="ZA241" s="95"/>
      <c r="ZB241" s="95"/>
      <c r="ZC241" s="95"/>
      <c r="ZD241" s="95"/>
      <c r="ZE241" s="95"/>
      <c r="ZF241" s="95"/>
      <c r="ZG241" s="95"/>
      <c r="ZH241" s="95"/>
      <c r="ZI241" s="95"/>
      <c r="ZJ241" s="95"/>
      <c r="ZK241" s="95"/>
      <c r="ZL241" s="95"/>
      <c r="ZM241" s="95"/>
      <c r="ZN241" s="95"/>
      <c r="ZO241" s="95"/>
      <c r="ZP241" s="95"/>
      <c r="ZQ241" s="95"/>
      <c r="ZR241" s="95"/>
      <c r="ZS241" s="95"/>
      <c r="ZT241" s="95"/>
      <c r="ZU241" s="95"/>
      <c r="ZV241" s="95"/>
      <c r="ZW241" s="95"/>
      <c r="ZX241" s="95"/>
      <c r="ZY241" s="95"/>
      <c r="ZZ241" s="95"/>
      <c r="AAA241" s="95"/>
      <c r="AAB241" s="95"/>
      <c r="AAC241" s="95"/>
      <c r="AAD241" s="95"/>
      <c r="AAE241" s="95"/>
      <c r="AAF241" s="95"/>
      <c r="AAG241" s="95"/>
      <c r="AAH241" s="95"/>
      <c r="AAI241" s="95"/>
      <c r="AAJ241" s="95"/>
      <c r="AAK241" s="95"/>
      <c r="AAL241" s="95"/>
      <c r="AAM241" s="95"/>
      <c r="AAN241" s="95"/>
      <c r="AAO241" s="95"/>
      <c r="AAP241" s="95"/>
      <c r="AAQ241" s="95"/>
      <c r="AAR241" s="95"/>
      <c r="AAS241" s="95"/>
      <c r="AAT241" s="95"/>
      <c r="AAU241" s="95"/>
      <c r="AAV241" s="95"/>
      <c r="AAW241" s="95"/>
      <c r="AAX241" s="95"/>
      <c r="AAY241" s="95"/>
      <c r="AAZ241" s="95"/>
      <c r="ABA241" s="95"/>
      <c r="ABB241" s="95"/>
      <c r="ABC241" s="95"/>
      <c r="ABD241" s="95"/>
      <c r="ABE241" s="95"/>
      <c r="ABF241" s="95"/>
      <c r="ABG241" s="95"/>
      <c r="ABH241" s="95"/>
      <c r="ABI241" s="95"/>
      <c r="ABJ241" s="95"/>
      <c r="ABK241" s="95"/>
      <c r="ABL241" s="95"/>
      <c r="ABM241" s="95"/>
      <c r="ABN241" s="95"/>
      <c r="ABO241" s="95"/>
      <c r="ABP241" s="95"/>
      <c r="ABQ241" s="95"/>
      <c r="ABR241" s="95"/>
      <c r="ABS241" s="95"/>
      <c r="ABT241" s="95"/>
      <c r="ABU241" s="95"/>
      <c r="ABV241" s="95"/>
      <c r="ABW241" s="95"/>
      <c r="ABX241" s="95"/>
      <c r="ABY241" s="95"/>
      <c r="ABZ241" s="95"/>
      <c r="ACA241" s="95"/>
      <c r="ACB241" s="95"/>
      <c r="ACC241" s="95"/>
      <c r="ACD241" s="95"/>
      <c r="ACE241" s="95"/>
      <c r="ACF241" s="95"/>
      <c r="ACG241" s="95"/>
      <c r="ACH241" s="95"/>
      <c r="ACI241" s="95"/>
      <c r="ACJ241" s="95"/>
      <c r="ACK241" s="95"/>
      <c r="ACL241" s="95"/>
      <c r="ACM241" s="95"/>
      <c r="ACN241" s="95"/>
      <c r="ACO241" s="95"/>
      <c r="ACP241" s="95"/>
      <c r="ACQ241" s="95"/>
      <c r="ACR241" s="95"/>
      <c r="ACS241" s="95"/>
      <c r="ACT241" s="95"/>
      <c r="ACU241" s="95"/>
      <c r="ACV241" s="95"/>
      <c r="ACW241" s="95"/>
      <c r="ACX241" s="95"/>
      <c r="ACY241" s="95"/>
      <c r="ACZ241" s="95"/>
      <c r="ADA241" s="95"/>
      <c r="ADB241" s="95"/>
      <c r="ADC241" s="95"/>
      <c r="ADD241" s="95"/>
      <c r="ADE241" s="95"/>
      <c r="ADF241" s="95"/>
      <c r="ADG241" s="95"/>
      <c r="ADH241" s="95"/>
      <c r="ADI241" s="95"/>
      <c r="ADJ241" s="95"/>
      <c r="ADK241" s="95"/>
      <c r="ADL241" s="95"/>
      <c r="ADM241" s="95"/>
      <c r="ADN241" s="95"/>
      <c r="ADO241" s="95"/>
      <c r="ADP241" s="95"/>
      <c r="ADQ241" s="95"/>
      <c r="ADR241" s="95"/>
      <c r="ADS241" s="95"/>
      <c r="ADT241" s="95"/>
      <c r="ADU241" s="95"/>
      <c r="ADV241" s="95"/>
      <c r="ADW241" s="95"/>
      <c r="ADX241" s="95"/>
      <c r="ADY241" s="95"/>
      <c r="ADZ241" s="95"/>
      <c r="AEA241" s="95"/>
      <c r="AEB241" s="95"/>
      <c r="AEC241" s="95"/>
      <c r="AED241" s="95"/>
      <c r="AEE241" s="95"/>
      <c r="AEF241" s="95"/>
      <c r="AEG241" s="95"/>
      <c r="AEH241" s="95"/>
      <c r="AEI241" s="95"/>
      <c r="AEJ241" s="95"/>
      <c r="AEK241" s="95"/>
      <c r="AEL241" s="95"/>
      <c r="AEM241" s="95"/>
      <c r="AEN241" s="95"/>
      <c r="AEO241" s="95"/>
      <c r="AEP241" s="95"/>
      <c r="AEQ241" s="95"/>
      <c r="AER241" s="95"/>
      <c r="AES241" s="95"/>
      <c r="AET241" s="95"/>
      <c r="AEU241" s="95"/>
      <c r="AEV241" s="95"/>
      <c r="AEW241" s="95"/>
      <c r="AEX241" s="95"/>
      <c r="AEY241" s="95"/>
      <c r="AEZ241" s="95"/>
      <c r="AFA241" s="95"/>
      <c r="AFB241" s="95"/>
      <c r="AFC241" s="95"/>
      <c r="AFD241" s="95"/>
      <c r="AFE241" s="95"/>
      <c r="AFF241" s="95"/>
      <c r="AFG241" s="95"/>
      <c r="AFH241" s="95"/>
      <c r="AFI241" s="95"/>
      <c r="AFJ241" s="95"/>
      <c r="AFK241" s="95"/>
      <c r="AFL241" s="95"/>
      <c r="AFM241" s="95"/>
      <c r="AFN241" s="95"/>
      <c r="AFO241" s="95"/>
      <c r="AFP241" s="95"/>
      <c r="AFQ241" s="95"/>
      <c r="AFR241" s="95"/>
      <c r="AFS241" s="95"/>
      <c r="AFT241" s="95"/>
      <c r="AFU241" s="95"/>
      <c r="AFV241" s="95"/>
      <c r="AFW241" s="95"/>
      <c r="AFX241" s="95"/>
      <c r="AFY241" s="95"/>
      <c r="AFZ241" s="95"/>
      <c r="AGA241" s="95"/>
      <c r="AGB241" s="95"/>
      <c r="AGC241" s="95"/>
      <c r="AGD241" s="95"/>
      <c r="AGE241" s="95"/>
      <c r="AGF241" s="95"/>
      <c r="AGG241" s="95"/>
      <c r="AGH241" s="95"/>
      <c r="AGI241" s="95"/>
      <c r="AGJ241" s="95"/>
      <c r="AGK241" s="95"/>
      <c r="AGL241" s="95"/>
      <c r="AGM241" s="95"/>
      <c r="AGN241" s="95"/>
      <c r="AGO241" s="95"/>
      <c r="AGP241" s="95"/>
      <c r="AGQ241" s="95"/>
      <c r="AGR241" s="95"/>
      <c r="AGS241" s="95"/>
      <c r="AGT241" s="95"/>
      <c r="AGU241" s="95"/>
      <c r="AGV241" s="95"/>
      <c r="AGW241" s="95"/>
      <c r="AGX241" s="95"/>
      <c r="AGY241" s="95"/>
      <c r="AGZ241" s="95"/>
      <c r="AHA241" s="95"/>
      <c r="AHB241" s="95"/>
      <c r="AHC241" s="95"/>
    </row>
    <row r="242" spans="1:887" ht="20.100000000000001" customHeight="1">
      <c r="A242" s="236" t="str">
        <f>VLOOKUP(C242,'BASE DE DADOS'!A:B,2,FALSE)</f>
        <v>PREPARA INATIVOS</v>
      </c>
      <c r="B242" s="237" t="s">
        <v>504</v>
      </c>
      <c r="C242" s="258" t="s">
        <v>505</v>
      </c>
      <c r="D242" s="238">
        <v>51405.49</v>
      </c>
      <c r="E242" s="236"/>
      <c r="F242" s="241"/>
      <c r="G242" s="127" t="s">
        <v>1743</v>
      </c>
      <c r="H242" s="241"/>
      <c r="I242" s="241"/>
      <c r="J242" s="241"/>
      <c r="K242" s="241"/>
      <c r="L242" s="241"/>
      <c r="M242" s="241"/>
      <c r="N242" s="241"/>
      <c r="O242" s="241"/>
      <c r="P242" s="241"/>
      <c r="Q242" s="195" t="s">
        <v>2719</v>
      </c>
    </row>
    <row r="243" spans="1:887" ht="20.100000000000001" customHeight="1">
      <c r="A243" s="236" t="str">
        <f>VLOOKUP(C243,'BASE DE DADOS'!A:B,2,FALSE)</f>
        <v>PREPARA INATIVOS</v>
      </c>
      <c r="B243" s="237" t="s">
        <v>121</v>
      </c>
      <c r="C243" s="236" t="s">
        <v>122</v>
      </c>
      <c r="D243" s="238">
        <v>34438.75</v>
      </c>
      <c r="E243" s="236"/>
      <c r="F243" s="241"/>
      <c r="G243" s="240"/>
      <c r="H243" s="86" t="s">
        <v>1743</v>
      </c>
      <c r="I243" s="241"/>
      <c r="J243" s="241"/>
      <c r="K243" s="241"/>
      <c r="L243" s="241"/>
      <c r="M243" s="241"/>
      <c r="N243" s="241"/>
      <c r="O243" s="241"/>
      <c r="P243" s="241"/>
      <c r="Q243" s="195" t="s">
        <v>2721</v>
      </c>
    </row>
    <row r="244" spans="1:887" ht="20.100000000000001" customHeight="1">
      <c r="A244" s="236" t="str">
        <f>VLOOKUP(C244,'BASE DE DADOS'!A:B,2,FALSE)</f>
        <v>PREPARA INATIVOS</v>
      </c>
      <c r="B244" s="237" t="s">
        <v>121</v>
      </c>
      <c r="C244" s="236" t="s">
        <v>122</v>
      </c>
      <c r="D244" s="238">
        <v>11431.09</v>
      </c>
      <c r="E244" s="236"/>
      <c r="F244" s="241"/>
      <c r="G244" s="240"/>
      <c r="H244" s="86" t="s">
        <v>1743</v>
      </c>
      <c r="I244" s="241"/>
      <c r="J244" s="241"/>
      <c r="K244" s="241"/>
      <c r="L244" s="241"/>
      <c r="M244" s="241"/>
      <c r="N244" s="241"/>
      <c r="O244" s="241"/>
      <c r="P244" s="241"/>
      <c r="Q244" s="195" t="s">
        <v>2722</v>
      </c>
    </row>
    <row r="245" spans="1:887" ht="20.100000000000001" customHeight="1">
      <c r="A245" s="236" t="str">
        <f>VLOOKUP(C245,'BASE DE DADOS'!A:B,2,FALSE)</f>
        <v>PREPARA INATIVOS</v>
      </c>
      <c r="B245" s="237" t="s">
        <v>997</v>
      </c>
      <c r="C245" s="236" t="s">
        <v>998</v>
      </c>
      <c r="D245" s="238">
        <v>66474.3</v>
      </c>
      <c r="E245" s="236"/>
      <c r="F245" s="241"/>
      <c r="G245" s="127" t="s">
        <v>1743</v>
      </c>
      <c r="H245" s="241"/>
      <c r="I245" s="241"/>
      <c r="J245" s="241"/>
      <c r="K245" s="241"/>
      <c r="L245" s="241"/>
      <c r="M245" s="241"/>
      <c r="N245" s="241"/>
      <c r="O245" s="241"/>
      <c r="P245" s="241"/>
      <c r="Q245" s="195" t="s">
        <v>2723</v>
      </c>
    </row>
    <row r="246" spans="1:887" ht="20.100000000000001" customHeight="1">
      <c r="A246" s="219" t="str">
        <f>VLOOKUP(C246,'BASE DE DADOS'!A:B,2,FALSE)</f>
        <v>PREPARA INATIVOS</v>
      </c>
      <c r="B246" s="92" t="s">
        <v>364</v>
      </c>
      <c r="C246" s="219" t="s">
        <v>365</v>
      </c>
      <c r="D246" s="229">
        <v>64439.55</v>
      </c>
      <c r="E246" s="219"/>
      <c r="F246" s="221"/>
      <c r="G246" s="120"/>
      <c r="H246" s="221"/>
      <c r="I246" s="221"/>
      <c r="J246" s="221"/>
      <c r="K246" s="221"/>
      <c r="L246" s="221"/>
      <c r="M246" s="221"/>
      <c r="N246" s="221"/>
      <c r="O246" s="221"/>
      <c r="P246" s="221"/>
      <c r="Q246" s="226" t="s">
        <v>2724</v>
      </c>
    </row>
    <row r="247" spans="1:887" ht="20.100000000000001" customHeight="1">
      <c r="A247" s="219" t="str">
        <f>VLOOKUP(C247,'BASE DE DADOS'!A:B,2,FALSE)</f>
        <v>ENSINA MAIS INATIVOS</v>
      </c>
      <c r="B247" s="92" t="s">
        <v>43</v>
      </c>
      <c r="C247" s="219" t="s">
        <v>44</v>
      </c>
      <c r="D247" s="229">
        <v>10453.18</v>
      </c>
      <c r="E247" s="219"/>
      <c r="F247" s="221"/>
      <c r="G247" s="120"/>
      <c r="H247" s="221"/>
      <c r="I247" s="221"/>
      <c r="J247" s="221"/>
      <c r="K247" s="221"/>
      <c r="L247" s="221"/>
      <c r="M247" s="221"/>
      <c r="N247" s="221"/>
      <c r="O247" s="221"/>
      <c r="P247" s="221"/>
      <c r="Q247" s="235" t="s">
        <v>2955</v>
      </c>
    </row>
    <row r="248" spans="1:887" ht="20.100000000000001" customHeight="1">
      <c r="A248" s="219" t="str">
        <f>VLOOKUP(C248,'BASE DE DADOS'!A:B,2,FALSE)</f>
        <v>PREPARA INATIVOS</v>
      </c>
      <c r="B248" s="92" t="s">
        <v>487</v>
      </c>
      <c r="C248" s="219" t="s">
        <v>488</v>
      </c>
      <c r="D248" s="229">
        <v>14812.58</v>
      </c>
      <c r="E248" s="219"/>
      <c r="F248" s="221"/>
      <c r="G248" s="120"/>
      <c r="H248" s="221"/>
      <c r="I248" s="221"/>
      <c r="J248" s="221"/>
      <c r="K248" s="221"/>
      <c r="L248" s="221"/>
      <c r="M248" s="221"/>
      <c r="N248" s="221"/>
      <c r="O248" s="221"/>
      <c r="P248" s="221"/>
      <c r="Q248" s="235" t="s">
        <v>2956</v>
      </c>
    </row>
    <row r="249" spans="1:887" ht="20.100000000000001" customHeight="1">
      <c r="A249" s="219" t="str">
        <f>VLOOKUP(C249,'BASE DE DADOS'!A:B,2,FALSE)</f>
        <v>PREPARA INATIVOS</v>
      </c>
      <c r="B249" s="92" t="s">
        <v>485</v>
      </c>
      <c r="C249" s="219" t="s">
        <v>486</v>
      </c>
      <c r="D249" s="229">
        <v>11952.46</v>
      </c>
      <c r="E249" s="219"/>
      <c r="F249" s="221"/>
      <c r="G249" s="120"/>
      <c r="H249" s="221"/>
      <c r="I249" s="221"/>
      <c r="J249" s="221"/>
      <c r="K249" s="221"/>
      <c r="L249" s="221"/>
      <c r="M249" s="221"/>
      <c r="N249" s="221"/>
      <c r="O249" s="221"/>
      <c r="P249" s="221"/>
      <c r="Q249" s="235" t="s">
        <v>2957</v>
      </c>
    </row>
    <row r="250" spans="1:887" s="80" customFormat="1" ht="20.100000000000001" customHeight="1">
      <c r="A250" s="191" t="str">
        <f>VLOOKUP(C250,'BASE DE DADOS'!A:B,2,FALSE)</f>
        <v>PREPARA INATIVOS</v>
      </c>
      <c r="B250" s="90" t="s">
        <v>1213</v>
      </c>
      <c r="C250" s="191" t="s">
        <v>1214</v>
      </c>
      <c r="D250" s="227">
        <v>264535.12</v>
      </c>
      <c r="E250" s="98">
        <v>226643.12</v>
      </c>
      <c r="F250" s="193"/>
      <c r="G250" s="125"/>
      <c r="H250" s="193"/>
      <c r="I250" s="193"/>
      <c r="J250" s="193"/>
      <c r="K250" s="193"/>
      <c r="L250" s="193"/>
      <c r="M250" s="193"/>
      <c r="N250" s="193" t="s">
        <v>1743</v>
      </c>
      <c r="O250" s="202">
        <v>45881</v>
      </c>
      <c r="P250" s="145" t="s">
        <v>2958</v>
      </c>
      <c r="Q250" s="235" t="s">
        <v>2732</v>
      </c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  <c r="AY250" s="95"/>
      <c r="AZ250" s="95"/>
      <c r="BA250" s="95"/>
      <c r="BB250" s="95"/>
      <c r="BC250" s="95"/>
      <c r="BD250" s="95"/>
      <c r="BE250" s="95"/>
      <c r="BF250" s="95"/>
      <c r="BG250" s="95"/>
      <c r="BH250" s="95"/>
      <c r="BI250" s="95"/>
      <c r="BJ250" s="95"/>
      <c r="BK250" s="95"/>
      <c r="BL250" s="95"/>
      <c r="BM250" s="95"/>
      <c r="BN250" s="95"/>
      <c r="BO250" s="95"/>
      <c r="BP250" s="95"/>
      <c r="BQ250" s="95"/>
      <c r="BR250" s="95"/>
      <c r="BS250" s="95"/>
      <c r="BT250" s="95"/>
      <c r="BU250" s="95"/>
      <c r="BV250" s="95"/>
      <c r="BW250" s="95"/>
      <c r="BX250" s="95"/>
      <c r="BY250" s="95"/>
      <c r="BZ250" s="95"/>
      <c r="CA250" s="95"/>
      <c r="CB250" s="95"/>
      <c r="CC250" s="95"/>
      <c r="CD250" s="95"/>
      <c r="CE250" s="95"/>
      <c r="CF250" s="95"/>
      <c r="CG250" s="95"/>
      <c r="CH250" s="95"/>
      <c r="CI250" s="95"/>
      <c r="CJ250" s="95"/>
      <c r="CK250" s="95"/>
      <c r="CL250" s="95"/>
      <c r="CM250" s="95"/>
      <c r="CN250" s="95"/>
      <c r="CO250" s="95"/>
      <c r="CP250" s="95"/>
      <c r="CQ250" s="95"/>
      <c r="CR250" s="95"/>
      <c r="CS250" s="95"/>
      <c r="CT250" s="95"/>
      <c r="CU250" s="95"/>
      <c r="CV250" s="95"/>
      <c r="CW250" s="95"/>
      <c r="CX250" s="95"/>
      <c r="CY250" s="95"/>
      <c r="CZ250" s="95"/>
      <c r="DA250" s="95"/>
      <c r="DB250" s="95"/>
      <c r="DC250" s="95"/>
      <c r="DD250" s="95"/>
      <c r="DE250" s="95"/>
      <c r="DF250" s="95"/>
      <c r="DG250" s="95"/>
      <c r="DH250" s="95"/>
      <c r="DI250" s="95"/>
      <c r="DJ250" s="95"/>
      <c r="DK250" s="95"/>
      <c r="DL250" s="95"/>
      <c r="DM250" s="95"/>
      <c r="DN250" s="95"/>
      <c r="DO250" s="95"/>
      <c r="DP250" s="95"/>
      <c r="DQ250" s="95"/>
      <c r="DR250" s="95"/>
      <c r="DS250" s="95"/>
      <c r="DT250" s="95"/>
      <c r="DU250" s="95"/>
      <c r="DV250" s="95"/>
      <c r="DW250" s="95"/>
      <c r="DX250" s="95"/>
      <c r="DY250" s="95"/>
      <c r="DZ250" s="95"/>
      <c r="EA250" s="95"/>
      <c r="EB250" s="95"/>
      <c r="EC250" s="95"/>
      <c r="ED250" s="95"/>
      <c r="EE250" s="95"/>
      <c r="EF250" s="95"/>
      <c r="EG250" s="95"/>
      <c r="EH250" s="95"/>
      <c r="EI250" s="95"/>
      <c r="EJ250" s="95"/>
      <c r="EK250" s="95"/>
      <c r="EL250" s="95"/>
      <c r="EM250" s="95"/>
      <c r="EN250" s="95"/>
      <c r="EO250" s="95"/>
      <c r="EP250" s="95"/>
      <c r="EQ250" s="95"/>
      <c r="ER250" s="95"/>
      <c r="ES250" s="95"/>
      <c r="ET250" s="95"/>
      <c r="EU250" s="95"/>
      <c r="EV250" s="95"/>
      <c r="EW250" s="95"/>
      <c r="EX250" s="95"/>
      <c r="EY250" s="95"/>
      <c r="EZ250" s="95"/>
      <c r="FA250" s="95"/>
      <c r="FB250" s="95"/>
      <c r="FC250" s="95"/>
      <c r="FD250" s="95"/>
      <c r="FE250" s="95"/>
      <c r="FF250" s="95"/>
      <c r="FG250" s="95"/>
      <c r="FH250" s="95"/>
      <c r="FI250" s="95"/>
      <c r="FJ250" s="95"/>
      <c r="FK250" s="95"/>
      <c r="FL250" s="95"/>
      <c r="FM250" s="95"/>
      <c r="FN250" s="95"/>
      <c r="FO250" s="95"/>
      <c r="FP250" s="95"/>
      <c r="FQ250" s="95"/>
      <c r="FR250" s="95"/>
      <c r="FS250" s="95"/>
      <c r="FT250" s="95"/>
      <c r="FU250" s="95"/>
      <c r="FV250" s="95"/>
      <c r="FW250" s="95"/>
      <c r="FX250" s="95"/>
      <c r="FY250" s="95"/>
      <c r="FZ250" s="95"/>
      <c r="GA250" s="95"/>
      <c r="GB250" s="95"/>
      <c r="GC250" s="95"/>
      <c r="GD250" s="95"/>
      <c r="GE250" s="95"/>
      <c r="GF250" s="95"/>
      <c r="GG250" s="95"/>
      <c r="GH250" s="95"/>
      <c r="GI250" s="95"/>
      <c r="GJ250" s="95"/>
      <c r="GK250" s="95"/>
      <c r="GL250" s="95"/>
      <c r="GM250" s="95"/>
      <c r="GN250" s="95"/>
      <c r="GO250" s="95"/>
      <c r="GP250" s="95"/>
      <c r="GQ250" s="95"/>
      <c r="GR250" s="95"/>
      <c r="GS250" s="95"/>
      <c r="GT250" s="95"/>
      <c r="GU250" s="95"/>
      <c r="GV250" s="95"/>
      <c r="GW250" s="95"/>
      <c r="GX250" s="95"/>
      <c r="GY250" s="95"/>
      <c r="GZ250" s="95"/>
      <c r="HA250" s="95"/>
      <c r="HB250" s="95"/>
      <c r="HC250" s="95"/>
      <c r="HD250" s="95"/>
      <c r="HE250" s="95"/>
      <c r="HF250" s="95"/>
      <c r="HG250" s="95"/>
      <c r="HH250" s="95"/>
      <c r="HI250" s="95"/>
      <c r="HJ250" s="95"/>
      <c r="HK250" s="95"/>
      <c r="HL250" s="95"/>
      <c r="HM250" s="95"/>
      <c r="HN250" s="95"/>
      <c r="HO250" s="95"/>
      <c r="HP250" s="95"/>
      <c r="HQ250" s="95"/>
      <c r="HR250" s="95"/>
      <c r="HS250" s="95"/>
      <c r="HT250" s="95"/>
      <c r="HU250" s="95"/>
      <c r="HV250" s="95"/>
      <c r="HW250" s="95"/>
      <c r="HX250" s="95"/>
      <c r="HY250" s="95"/>
      <c r="HZ250" s="95"/>
      <c r="IA250" s="95"/>
      <c r="IB250" s="95"/>
      <c r="IC250" s="95"/>
      <c r="ID250" s="95"/>
      <c r="IE250" s="95"/>
      <c r="IF250" s="95"/>
      <c r="IG250" s="95"/>
      <c r="IH250" s="95"/>
      <c r="II250" s="95"/>
      <c r="IJ250" s="95"/>
      <c r="IK250" s="95"/>
      <c r="IL250" s="95"/>
      <c r="IM250" s="95"/>
      <c r="IN250" s="95"/>
      <c r="IO250" s="95"/>
      <c r="IP250" s="95"/>
      <c r="IQ250" s="95"/>
      <c r="IR250" s="95"/>
      <c r="IS250" s="95"/>
      <c r="IT250" s="95"/>
      <c r="IU250" s="95"/>
      <c r="IV250" s="95"/>
      <c r="IW250" s="95"/>
      <c r="IX250" s="95"/>
      <c r="IY250" s="95"/>
      <c r="IZ250" s="95"/>
      <c r="JA250" s="95"/>
      <c r="JB250" s="95"/>
      <c r="JC250" s="95"/>
      <c r="JD250" s="95"/>
      <c r="JE250" s="95"/>
      <c r="JF250" s="95"/>
      <c r="JG250" s="95"/>
      <c r="JH250" s="95"/>
      <c r="JI250" s="95"/>
      <c r="JJ250" s="95"/>
      <c r="JK250" s="95"/>
      <c r="JL250" s="95"/>
      <c r="JM250" s="95"/>
      <c r="JN250" s="95"/>
      <c r="JO250" s="95"/>
      <c r="JP250" s="95"/>
      <c r="JQ250" s="95"/>
      <c r="JR250" s="95"/>
      <c r="JS250" s="95"/>
      <c r="JT250" s="95"/>
      <c r="JU250" s="95"/>
      <c r="JV250" s="95"/>
      <c r="JW250" s="95"/>
      <c r="JX250" s="95"/>
      <c r="JY250" s="95"/>
      <c r="JZ250" s="95"/>
      <c r="KA250" s="95"/>
      <c r="KB250" s="95"/>
      <c r="KC250" s="95"/>
      <c r="KD250" s="95"/>
      <c r="KE250" s="95"/>
      <c r="KF250" s="95"/>
      <c r="KG250" s="95"/>
      <c r="KH250" s="95"/>
      <c r="KI250" s="95"/>
      <c r="KJ250" s="95"/>
      <c r="KK250" s="95"/>
      <c r="KL250" s="95"/>
      <c r="KM250" s="95"/>
      <c r="KN250" s="95"/>
      <c r="KO250" s="95"/>
      <c r="KP250" s="95"/>
      <c r="KQ250" s="95"/>
      <c r="KR250" s="95"/>
      <c r="KS250" s="95"/>
      <c r="KT250" s="95"/>
      <c r="KU250" s="95"/>
      <c r="KV250" s="95"/>
      <c r="KW250" s="95"/>
      <c r="KX250" s="95"/>
      <c r="KY250" s="95"/>
      <c r="KZ250" s="95"/>
      <c r="LA250" s="95"/>
      <c r="LB250" s="95"/>
      <c r="LC250" s="95"/>
      <c r="LD250" s="95"/>
      <c r="LE250" s="95"/>
      <c r="LF250" s="95"/>
      <c r="LG250" s="95"/>
      <c r="LH250" s="95"/>
      <c r="LI250" s="95"/>
      <c r="LJ250" s="95"/>
      <c r="LK250" s="95"/>
      <c r="LL250" s="95"/>
      <c r="LM250" s="95"/>
      <c r="LN250" s="95"/>
      <c r="LO250" s="95"/>
      <c r="LP250" s="95"/>
      <c r="LQ250" s="95"/>
      <c r="LR250" s="95"/>
      <c r="LS250" s="95"/>
      <c r="LT250" s="95"/>
      <c r="LU250" s="95"/>
      <c r="LV250" s="95"/>
      <c r="LW250" s="95"/>
      <c r="LX250" s="95"/>
      <c r="LY250" s="95"/>
      <c r="LZ250" s="95"/>
      <c r="MA250" s="95"/>
      <c r="MB250" s="95"/>
      <c r="MC250" s="95"/>
      <c r="MD250" s="95"/>
      <c r="ME250" s="95"/>
      <c r="MF250" s="95"/>
      <c r="MG250" s="95"/>
      <c r="MH250" s="95"/>
      <c r="MI250" s="95"/>
      <c r="MJ250" s="95"/>
      <c r="MK250" s="95"/>
      <c r="ML250" s="95"/>
      <c r="MM250" s="95"/>
      <c r="MN250" s="95"/>
      <c r="MO250" s="95"/>
      <c r="MP250" s="95"/>
      <c r="MQ250" s="95"/>
      <c r="MR250" s="95"/>
      <c r="MS250" s="95"/>
      <c r="MT250" s="95"/>
      <c r="MU250" s="95"/>
      <c r="MV250" s="95"/>
      <c r="MW250" s="95"/>
      <c r="MX250" s="95"/>
      <c r="MY250" s="95"/>
      <c r="MZ250" s="95"/>
      <c r="NA250" s="95"/>
      <c r="NB250" s="95"/>
      <c r="NC250" s="95"/>
      <c r="ND250" s="95"/>
      <c r="NE250" s="95"/>
      <c r="NF250" s="95"/>
      <c r="NG250" s="95"/>
      <c r="NH250" s="95"/>
      <c r="NI250" s="95"/>
      <c r="NJ250" s="95"/>
      <c r="NK250" s="95"/>
      <c r="NL250" s="95"/>
      <c r="NM250" s="95"/>
      <c r="NN250" s="95"/>
      <c r="NO250" s="95"/>
      <c r="NP250" s="95"/>
      <c r="NQ250" s="95"/>
      <c r="NR250" s="95"/>
      <c r="NS250" s="95"/>
      <c r="NT250" s="95"/>
      <c r="NU250" s="95"/>
      <c r="NV250" s="95"/>
      <c r="NW250" s="95"/>
      <c r="NX250" s="95"/>
      <c r="NY250" s="95"/>
      <c r="NZ250" s="95"/>
      <c r="OA250" s="95"/>
      <c r="OB250" s="95"/>
      <c r="OC250" s="95"/>
      <c r="OD250" s="95"/>
      <c r="OE250" s="95"/>
      <c r="OF250" s="95"/>
      <c r="OG250" s="95"/>
      <c r="OH250" s="95"/>
      <c r="OI250" s="95"/>
      <c r="OJ250" s="95"/>
      <c r="OK250" s="95"/>
      <c r="OL250" s="95"/>
      <c r="OM250" s="95"/>
      <c r="ON250" s="95"/>
      <c r="OO250" s="95"/>
      <c r="OP250" s="95"/>
      <c r="OQ250" s="95"/>
      <c r="OR250" s="95"/>
      <c r="OS250" s="95"/>
      <c r="OT250" s="95"/>
      <c r="OU250" s="95"/>
      <c r="OV250" s="95"/>
      <c r="OW250" s="95"/>
      <c r="OX250" s="95"/>
      <c r="OY250" s="95"/>
      <c r="OZ250" s="95"/>
      <c r="PA250" s="95"/>
      <c r="PB250" s="95"/>
      <c r="PC250" s="95"/>
      <c r="PD250" s="95"/>
      <c r="PE250" s="95"/>
      <c r="PF250" s="95"/>
      <c r="PG250" s="95"/>
      <c r="PH250" s="95"/>
      <c r="PI250" s="95"/>
      <c r="PJ250" s="95"/>
      <c r="PK250" s="95"/>
      <c r="PL250" s="95"/>
      <c r="PM250" s="95"/>
      <c r="PN250" s="95"/>
      <c r="PO250" s="95"/>
      <c r="PP250" s="95"/>
      <c r="PQ250" s="95"/>
      <c r="PR250" s="95"/>
      <c r="PS250" s="95"/>
      <c r="PT250" s="95"/>
      <c r="PU250" s="95"/>
      <c r="PV250" s="95"/>
      <c r="PW250" s="95"/>
      <c r="PX250" s="95"/>
      <c r="PY250" s="95"/>
      <c r="PZ250" s="95"/>
      <c r="QA250" s="95"/>
      <c r="QB250" s="95"/>
      <c r="QC250" s="95"/>
      <c r="QD250" s="95"/>
      <c r="QE250" s="95"/>
      <c r="QF250" s="95"/>
      <c r="QG250" s="95"/>
      <c r="QH250" s="95"/>
      <c r="QI250" s="95"/>
      <c r="QJ250" s="95"/>
      <c r="QK250" s="95"/>
      <c r="QL250" s="95"/>
      <c r="QM250" s="95"/>
      <c r="QN250" s="95"/>
      <c r="QO250" s="95"/>
      <c r="QP250" s="95"/>
      <c r="QQ250" s="95"/>
      <c r="QR250" s="95"/>
      <c r="QS250" s="95"/>
      <c r="QT250" s="95"/>
      <c r="QU250" s="95"/>
      <c r="QV250" s="95"/>
      <c r="QW250" s="95"/>
      <c r="QX250" s="95"/>
      <c r="QY250" s="95"/>
      <c r="QZ250" s="95"/>
      <c r="RA250" s="95"/>
      <c r="RB250" s="95"/>
      <c r="RC250" s="95"/>
      <c r="RD250" s="95"/>
      <c r="RE250" s="95"/>
      <c r="RF250" s="95"/>
      <c r="RG250" s="95"/>
      <c r="RH250" s="95"/>
      <c r="RI250" s="95"/>
      <c r="RJ250" s="95"/>
      <c r="RK250" s="95"/>
      <c r="RL250" s="95"/>
      <c r="RM250" s="95"/>
      <c r="RN250" s="95"/>
      <c r="RO250" s="95"/>
      <c r="RP250" s="95"/>
      <c r="RQ250" s="95"/>
      <c r="RR250" s="95"/>
      <c r="RS250" s="95"/>
      <c r="RT250" s="95"/>
      <c r="RU250" s="95"/>
      <c r="RV250" s="95"/>
      <c r="RW250" s="95"/>
      <c r="RX250" s="95"/>
      <c r="RY250" s="95"/>
      <c r="RZ250" s="95"/>
      <c r="SA250" s="95"/>
      <c r="SB250" s="95"/>
      <c r="SC250" s="95"/>
      <c r="SD250" s="95"/>
      <c r="SE250" s="95"/>
      <c r="SF250" s="95"/>
      <c r="SG250" s="95"/>
      <c r="SH250" s="95"/>
      <c r="SI250" s="95"/>
      <c r="SJ250" s="95"/>
      <c r="SK250" s="95"/>
      <c r="SL250" s="95"/>
      <c r="SM250" s="95"/>
      <c r="SN250" s="95"/>
      <c r="SO250" s="95"/>
      <c r="SP250" s="95"/>
      <c r="SQ250" s="95"/>
      <c r="SR250" s="95"/>
      <c r="SS250" s="95"/>
      <c r="ST250" s="95"/>
      <c r="SU250" s="95"/>
      <c r="SV250" s="95"/>
      <c r="SW250" s="95"/>
      <c r="SX250" s="95"/>
      <c r="SY250" s="95"/>
      <c r="SZ250" s="95"/>
      <c r="TA250" s="95"/>
      <c r="TB250" s="95"/>
      <c r="TC250" s="95"/>
      <c r="TD250" s="95"/>
      <c r="TE250" s="95"/>
      <c r="TF250" s="95"/>
      <c r="TG250" s="95"/>
      <c r="TH250" s="95"/>
      <c r="TI250" s="95"/>
      <c r="TJ250" s="95"/>
      <c r="TK250" s="95"/>
      <c r="TL250" s="95"/>
      <c r="TM250" s="95"/>
      <c r="TN250" s="95"/>
      <c r="TO250" s="95"/>
      <c r="TP250" s="95"/>
      <c r="TQ250" s="95"/>
      <c r="TR250" s="95"/>
      <c r="TS250" s="95"/>
      <c r="TT250" s="95"/>
      <c r="TU250" s="95"/>
      <c r="TV250" s="95"/>
      <c r="TW250" s="95"/>
      <c r="TX250" s="95"/>
      <c r="TY250" s="95"/>
      <c r="TZ250" s="95"/>
      <c r="UA250" s="95"/>
      <c r="UB250" s="95"/>
      <c r="UC250" s="95"/>
      <c r="UD250" s="95"/>
      <c r="UE250" s="95"/>
      <c r="UF250" s="95"/>
      <c r="UG250" s="95"/>
      <c r="UH250" s="95"/>
      <c r="UI250" s="95"/>
      <c r="UJ250" s="95"/>
      <c r="UK250" s="95"/>
      <c r="UL250" s="95"/>
      <c r="UM250" s="95"/>
      <c r="UN250" s="95"/>
      <c r="UO250" s="95"/>
      <c r="UP250" s="95"/>
      <c r="UQ250" s="95"/>
      <c r="UR250" s="95"/>
      <c r="US250" s="95"/>
      <c r="UT250" s="95"/>
      <c r="UU250" s="95"/>
      <c r="UV250" s="95"/>
      <c r="UW250" s="95"/>
      <c r="UX250" s="95"/>
      <c r="UY250" s="95"/>
      <c r="UZ250" s="95"/>
      <c r="VA250" s="95"/>
      <c r="VB250" s="95"/>
      <c r="VC250" s="95"/>
      <c r="VD250" s="95"/>
      <c r="VE250" s="95"/>
      <c r="VF250" s="95"/>
      <c r="VG250" s="95"/>
      <c r="VH250" s="95"/>
      <c r="VI250" s="95"/>
      <c r="VJ250" s="95"/>
      <c r="VK250" s="95"/>
      <c r="VL250" s="95"/>
      <c r="VM250" s="95"/>
      <c r="VN250" s="95"/>
      <c r="VO250" s="95"/>
      <c r="VP250" s="95"/>
      <c r="VQ250" s="95"/>
      <c r="VR250" s="95"/>
      <c r="VS250" s="95"/>
      <c r="VT250" s="95"/>
      <c r="VU250" s="95"/>
      <c r="VV250" s="95"/>
      <c r="VW250" s="95"/>
      <c r="VX250" s="95"/>
      <c r="VY250" s="95"/>
      <c r="VZ250" s="95"/>
      <c r="WA250" s="95"/>
      <c r="WB250" s="95"/>
      <c r="WC250" s="95"/>
      <c r="WD250" s="95"/>
      <c r="WE250" s="95"/>
      <c r="WF250" s="95"/>
      <c r="WG250" s="95"/>
      <c r="WH250" s="95"/>
      <c r="WI250" s="95"/>
      <c r="WJ250" s="95"/>
      <c r="WK250" s="95"/>
      <c r="WL250" s="95"/>
      <c r="WM250" s="95"/>
      <c r="WN250" s="95"/>
      <c r="WO250" s="95"/>
      <c r="WP250" s="95"/>
      <c r="WQ250" s="95"/>
      <c r="WR250" s="95"/>
      <c r="WS250" s="95"/>
      <c r="WT250" s="95"/>
      <c r="WU250" s="95"/>
      <c r="WV250" s="95"/>
      <c r="WW250" s="95"/>
      <c r="WX250" s="95"/>
      <c r="WY250" s="95"/>
      <c r="WZ250" s="95"/>
      <c r="XA250" s="95"/>
      <c r="XB250" s="95"/>
      <c r="XC250" s="95"/>
      <c r="XD250" s="95"/>
      <c r="XE250" s="95"/>
      <c r="XF250" s="95"/>
      <c r="XG250" s="95"/>
      <c r="XH250" s="95"/>
      <c r="XI250" s="95"/>
      <c r="XJ250" s="95"/>
      <c r="XK250" s="95"/>
      <c r="XL250" s="95"/>
      <c r="XM250" s="95"/>
      <c r="XN250" s="95"/>
      <c r="XO250" s="95"/>
      <c r="XP250" s="95"/>
      <c r="XQ250" s="95"/>
      <c r="XR250" s="95"/>
      <c r="XS250" s="95"/>
      <c r="XT250" s="95"/>
      <c r="XU250" s="95"/>
      <c r="XV250" s="95"/>
      <c r="XW250" s="95"/>
      <c r="XX250" s="95"/>
      <c r="XY250" s="95"/>
      <c r="XZ250" s="95"/>
      <c r="YA250" s="95"/>
      <c r="YB250" s="95"/>
      <c r="YC250" s="95"/>
      <c r="YD250" s="95"/>
      <c r="YE250" s="95"/>
      <c r="YF250" s="95"/>
      <c r="YG250" s="95"/>
      <c r="YH250" s="95"/>
      <c r="YI250" s="95"/>
      <c r="YJ250" s="95"/>
      <c r="YK250" s="95"/>
      <c r="YL250" s="95"/>
      <c r="YM250" s="95"/>
      <c r="YN250" s="95"/>
      <c r="YO250" s="95"/>
      <c r="YP250" s="95"/>
      <c r="YQ250" s="95"/>
      <c r="YR250" s="95"/>
      <c r="YS250" s="95"/>
      <c r="YT250" s="95"/>
      <c r="YU250" s="95"/>
      <c r="YV250" s="95"/>
      <c r="YW250" s="95"/>
      <c r="YX250" s="95"/>
      <c r="YY250" s="95"/>
      <c r="YZ250" s="95"/>
      <c r="ZA250" s="95"/>
      <c r="ZB250" s="95"/>
      <c r="ZC250" s="95"/>
      <c r="ZD250" s="95"/>
      <c r="ZE250" s="95"/>
      <c r="ZF250" s="95"/>
      <c r="ZG250" s="95"/>
      <c r="ZH250" s="95"/>
      <c r="ZI250" s="95"/>
      <c r="ZJ250" s="95"/>
      <c r="ZK250" s="95"/>
      <c r="ZL250" s="95"/>
      <c r="ZM250" s="95"/>
      <c r="ZN250" s="95"/>
      <c r="ZO250" s="95"/>
      <c r="ZP250" s="95"/>
      <c r="ZQ250" s="95"/>
      <c r="ZR250" s="95"/>
      <c r="ZS250" s="95"/>
      <c r="ZT250" s="95"/>
      <c r="ZU250" s="95"/>
      <c r="ZV250" s="95"/>
      <c r="ZW250" s="95"/>
      <c r="ZX250" s="95"/>
      <c r="ZY250" s="95"/>
      <c r="ZZ250" s="95"/>
      <c r="AAA250" s="95"/>
      <c r="AAB250" s="95"/>
      <c r="AAC250" s="95"/>
      <c r="AAD250" s="95"/>
      <c r="AAE250" s="95"/>
      <c r="AAF250" s="95"/>
      <c r="AAG250" s="95"/>
      <c r="AAH250" s="95"/>
      <c r="AAI250" s="95"/>
      <c r="AAJ250" s="95"/>
      <c r="AAK250" s="95"/>
      <c r="AAL250" s="95"/>
      <c r="AAM250" s="95"/>
      <c r="AAN250" s="95"/>
      <c r="AAO250" s="95"/>
      <c r="AAP250" s="95"/>
      <c r="AAQ250" s="95"/>
      <c r="AAR250" s="95"/>
      <c r="AAS250" s="95"/>
      <c r="AAT250" s="95"/>
      <c r="AAU250" s="95"/>
      <c r="AAV250" s="95"/>
      <c r="AAW250" s="95"/>
      <c r="AAX250" s="95"/>
      <c r="AAY250" s="95"/>
      <c r="AAZ250" s="95"/>
      <c r="ABA250" s="95"/>
      <c r="ABB250" s="95"/>
      <c r="ABC250" s="95"/>
      <c r="ABD250" s="95"/>
      <c r="ABE250" s="95"/>
      <c r="ABF250" s="95"/>
      <c r="ABG250" s="95"/>
      <c r="ABH250" s="95"/>
      <c r="ABI250" s="95"/>
      <c r="ABJ250" s="95"/>
      <c r="ABK250" s="95"/>
      <c r="ABL250" s="95"/>
      <c r="ABM250" s="95"/>
      <c r="ABN250" s="95"/>
      <c r="ABO250" s="95"/>
      <c r="ABP250" s="95"/>
      <c r="ABQ250" s="95"/>
      <c r="ABR250" s="95"/>
      <c r="ABS250" s="95"/>
      <c r="ABT250" s="95"/>
      <c r="ABU250" s="95"/>
      <c r="ABV250" s="95"/>
      <c r="ABW250" s="95"/>
      <c r="ABX250" s="95"/>
      <c r="ABY250" s="95"/>
      <c r="ABZ250" s="95"/>
      <c r="ACA250" s="95"/>
      <c r="ACB250" s="95"/>
      <c r="ACC250" s="95"/>
      <c r="ACD250" s="95"/>
      <c r="ACE250" s="95"/>
      <c r="ACF250" s="95"/>
      <c r="ACG250" s="95"/>
      <c r="ACH250" s="95"/>
      <c r="ACI250" s="95"/>
      <c r="ACJ250" s="95"/>
      <c r="ACK250" s="95"/>
      <c r="ACL250" s="95"/>
      <c r="ACM250" s="95"/>
      <c r="ACN250" s="95"/>
      <c r="ACO250" s="95"/>
      <c r="ACP250" s="95"/>
      <c r="ACQ250" s="95"/>
      <c r="ACR250" s="95"/>
      <c r="ACS250" s="95"/>
      <c r="ACT250" s="95"/>
      <c r="ACU250" s="95"/>
      <c r="ACV250" s="95"/>
      <c r="ACW250" s="95"/>
      <c r="ACX250" s="95"/>
      <c r="ACY250" s="95"/>
      <c r="ACZ250" s="95"/>
      <c r="ADA250" s="95"/>
      <c r="ADB250" s="95"/>
      <c r="ADC250" s="95"/>
      <c r="ADD250" s="95"/>
      <c r="ADE250" s="95"/>
      <c r="ADF250" s="95"/>
      <c r="ADG250" s="95"/>
      <c r="ADH250" s="95"/>
      <c r="ADI250" s="95"/>
      <c r="ADJ250" s="95"/>
      <c r="ADK250" s="95"/>
      <c r="ADL250" s="95"/>
      <c r="ADM250" s="95"/>
      <c r="ADN250" s="95"/>
      <c r="ADO250" s="95"/>
      <c r="ADP250" s="95"/>
      <c r="ADQ250" s="95"/>
      <c r="ADR250" s="95"/>
      <c r="ADS250" s="95"/>
      <c r="ADT250" s="95"/>
      <c r="ADU250" s="95"/>
      <c r="ADV250" s="95"/>
      <c r="ADW250" s="95"/>
      <c r="ADX250" s="95"/>
      <c r="ADY250" s="95"/>
      <c r="ADZ250" s="95"/>
      <c r="AEA250" s="95"/>
      <c r="AEB250" s="95"/>
      <c r="AEC250" s="95"/>
      <c r="AED250" s="95"/>
      <c r="AEE250" s="95"/>
      <c r="AEF250" s="95"/>
      <c r="AEG250" s="95"/>
      <c r="AEH250" s="95"/>
      <c r="AEI250" s="95"/>
      <c r="AEJ250" s="95"/>
      <c r="AEK250" s="95"/>
      <c r="AEL250" s="95"/>
      <c r="AEM250" s="95"/>
      <c r="AEN250" s="95"/>
      <c r="AEO250" s="95"/>
      <c r="AEP250" s="95"/>
      <c r="AEQ250" s="95"/>
      <c r="AER250" s="95"/>
      <c r="AES250" s="95"/>
      <c r="AET250" s="95"/>
      <c r="AEU250" s="95"/>
      <c r="AEV250" s="95"/>
      <c r="AEW250" s="95"/>
      <c r="AEX250" s="95"/>
      <c r="AEY250" s="95"/>
      <c r="AEZ250" s="95"/>
      <c r="AFA250" s="95"/>
      <c r="AFB250" s="95"/>
      <c r="AFC250" s="95"/>
      <c r="AFD250" s="95"/>
      <c r="AFE250" s="95"/>
      <c r="AFF250" s="95"/>
      <c r="AFG250" s="95"/>
      <c r="AFH250" s="95"/>
      <c r="AFI250" s="95"/>
      <c r="AFJ250" s="95"/>
      <c r="AFK250" s="95"/>
      <c r="AFL250" s="95"/>
      <c r="AFM250" s="95"/>
      <c r="AFN250" s="95"/>
      <c r="AFO250" s="95"/>
      <c r="AFP250" s="95"/>
      <c r="AFQ250" s="95"/>
      <c r="AFR250" s="95"/>
      <c r="AFS250" s="95"/>
      <c r="AFT250" s="95"/>
      <c r="AFU250" s="95"/>
      <c r="AFV250" s="95"/>
      <c r="AFW250" s="95"/>
      <c r="AFX250" s="95"/>
      <c r="AFY250" s="95"/>
      <c r="AFZ250" s="95"/>
      <c r="AGA250" s="95"/>
      <c r="AGB250" s="95"/>
      <c r="AGC250" s="95"/>
      <c r="AGD250" s="95"/>
      <c r="AGE250" s="95"/>
      <c r="AGF250" s="95"/>
      <c r="AGG250" s="95"/>
      <c r="AGH250" s="95"/>
      <c r="AGI250" s="95"/>
      <c r="AGJ250" s="95"/>
      <c r="AGK250" s="95"/>
      <c r="AGL250" s="95"/>
      <c r="AGM250" s="95"/>
      <c r="AGN250" s="95"/>
      <c r="AGO250" s="95"/>
      <c r="AGP250" s="95"/>
      <c r="AGQ250" s="95"/>
      <c r="AGR250" s="95"/>
      <c r="AGS250" s="95"/>
      <c r="AGT250" s="95"/>
      <c r="AGU250" s="95"/>
      <c r="AGV250" s="95"/>
      <c r="AGW250" s="95"/>
      <c r="AGX250" s="95"/>
      <c r="AGY250" s="95"/>
      <c r="AGZ250" s="95"/>
      <c r="AHA250" s="95"/>
      <c r="AHB250" s="95"/>
      <c r="AHC250" s="95"/>
    </row>
    <row r="251" spans="1:887" s="84" customFormat="1" ht="20.100000000000001" customHeight="1">
      <c r="A251" s="259" t="str">
        <f>VLOOKUP(C251,'BASE DE DADOS'!A:B,2,FALSE)</f>
        <v>PREPARA INATIVOS</v>
      </c>
      <c r="B251" s="260" t="s">
        <v>1213</v>
      </c>
      <c r="C251" s="259" t="s">
        <v>1214</v>
      </c>
      <c r="D251" s="259">
        <v>276.14999999999998</v>
      </c>
      <c r="E251" s="259"/>
      <c r="F251" s="261"/>
      <c r="G251" s="128"/>
      <c r="H251" s="261"/>
      <c r="I251" s="261"/>
      <c r="J251" s="261"/>
      <c r="K251" s="261"/>
      <c r="L251" s="261"/>
      <c r="M251" s="261"/>
      <c r="N251" s="261"/>
      <c r="O251" s="261"/>
      <c r="P251" s="261"/>
      <c r="Q251" s="235" t="s">
        <v>3526</v>
      </c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  <c r="AY251" s="95"/>
      <c r="AZ251" s="95"/>
      <c r="BA251" s="95"/>
      <c r="BB251" s="95"/>
      <c r="BC251" s="95"/>
      <c r="BD251" s="95"/>
      <c r="BE251" s="95"/>
      <c r="BF251" s="95"/>
      <c r="BG251" s="95"/>
      <c r="BH251" s="95"/>
      <c r="BI251" s="95"/>
      <c r="BJ251" s="95"/>
      <c r="BK251" s="95"/>
      <c r="BL251" s="95"/>
      <c r="BM251" s="95"/>
      <c r="BN251" s="95"/>
      <c r="BO251" s="95"/>
      <c r="BP251" s="95"/>
      <c r="BQ251" s="95"/>
      <c r="BR251" s="95"/>
      <c r="BS251" s="95"/>
      <c r="BT251" s="95"/>
      <c r="BU251" s="95"/>
      <c r="BV251" s="95"/>
      <c r="BW251" s="95"/>
      <c r="BX251" s="95"/>
      <c r="BY251" s="95"/>
      <c r="BZ251" s="95"/>
      <c r="CA251" s="95"/>
      <c r="CB251" s="95"/>
      <c r="CC251" s="95"/>
      <c r="CD251" s="95"/>
      <c r="CE251" s="95"/>
      <c r="CF251" s="95"/>
      <c r="CG251" s="95"/>
      <c r="CH251" s="95"/>
      <c r="CI251" s="95"/>
      <c r="CJ251" s="95"/>
      <c r="CK251" s="95"/>
      <c r="CL251" s="95"/>
      <c r="CM251" s="95"/>
      <c r="CN251" s="95"/>
      <c r="CO251" s="95"/>
      <c r="CP251" s="95"/>
      <c r="CQ251" s="95"/>
      <c r="CR251" s="95"/>
      <c r="CS251" s="95"/>
      <c r="CT251" s="95"/>
      <c r="CU251" s="95"/>
      <c r="CV251" s="95"/>
      <c r="CW251" s="95"/>
      <c r="CX251" s="95"/>
      <c r="CY251" s="95"/>
      <c r="CZ251" s="95"/>
      <c r="DA251" s="95"/>
      <c r="DB251" s="95"/>
      <c r="DC251" s="95"/>
      <c r="DD251" s="95"/>
      <c r="DE251" s="95"/>
      <c r="DF251" s="95"/>
      <c r="DG251" s="95"/>
      <c r="DH251" s="95"/>
      <c r="DI251" s="95"/>
      <c r="DJ251" s="95"/>
      <c r="DK251" s="95"/>
      <c r="DL251" s="95"/>
      <c r="DM251" s="95"/>
      <c r="DN251" s="95"/>
      <c r="DO251" s="95"/>
      <c r="DP251" s="95"/>
      <c r="DQ251" s="95"/>
      <c r="DR251" s="95"/>
      <c r="DS251" s="95"/>
      <c r="DT251" s="95"/>
      <c r="DU251" s="95"/>
      <c r="DV251" s="95"/>
      <c r="DW251" s="95"/>
      <c r="DX251" s="95"/>
      <c r="DY251" s="95"/>
      <c r="DZ251" s="95"/>
      <c r="EA251" s="95"/>
      <c r="EB251" s="95"/>
      <c r="EC251" s="95"/>
      <c r="ED251" s="95"/>
      <c r="EE251" s="95"/>
      <c r="EF251" s="95"/>
      <c r="EG251" s="95"/>
      <c r="EH251" s="95"/>
      <c r="EI251" s="95"/>
      <c r="EJ251" s="95"/>
      <c r="EK251" s="95"/>
      <c r="EL251" s="95"/>
      <c r="EM251" s="95"/>
      <c r="EN251" s="95"/>
      <c r="EO251" s="95"/>
      <c r="EP251" s="95"/>
      <c r="EQ251" s="95"/>
      <c r="ER251" s="95"/>
      <c r="ES251" s="95"/>
      <c r="ET251" s="95"/>
      <c r="EU251" s="95"/>
      <c r="EV251" s="95"/>
      <c r="EW251" s="95"/>
      <c r="EX251" s="95"/>
      <c r="EY251" s="95"/>
      <c r="EZ251" s="95"/>
      <c r="FA251" s="95"/>
      <c r="FB251" s="95"/>
      <c r="FC251" s="95"/>
      <c r="FD251" s="95"/>
      <c r="FE251" s="95"/>
      <c r="FF251" s="95"/>
      <c r="FG251" s="95"/>
      <c r="FH251" s="95"/>
      <c r="FI251" s="95"/>
      <c r="FJ251" s="95"/>
      <c r="FK251" s="95"/>
      <c r="FL251" s="95"/>
      <c r="FM251" s="95"/>
      <c r="FN251" s="95"/>
      <c r="FO251" s="95"/>
      <c r="FP251" s="95"/>
      <c r="FQ251" s="95"/>
      <c r="FR251" s="95"/>
      <c r="FS251" s="95"/>
      <c r="FT251" s="95"/>
      <c r="FU251" s="95"/>
      <c r="FV251" s="95"/>
      <c r="FW251" s="95"/>
      <c r="FX251" s="95"/>
      <c r="FY251" s="95"/>
      <c r="FZ251" s="95"/>
      <c r="GA251" s="95"/>
      <c r="GB251" s="95"/>
      <c r="GC251" s="95"/>
      <c r="GD251" s="95"/>
      <c r="GE251" s="95"/>
      <c r="GF251" s="95"/>
      <c r="GG251" s="95"/>
      <c r="GH251" s="95"/>
      <c r="GI251" s="95"/>
      <c r="GJ251" s="95"/>
      <c r="GK251" s="95"/>
      <c r="GL251" s="95"/>
      <c r="GM251" s="95"/>
      <c r="GN251" s="95"/>
      <c r="GO251" s="95"/>
      <c r="GP251" s="95"/>
      <c r="GQ251" s="95"/>
      <c r="GR251" s="95"/>
      <c r="GS251" s="95"/>
      <c r="GT251" s="95"/>
      <c r="GU251" s="95"/>
      <c r="GV251" s="95"/>
      <c r="GW251" s="95"/>
      <c r="GX251" s="95"/>
      <c r="GY251" s="95"/>
      <c r="GZ251" s="95"/>
      <c r="HA251" s="95"/>
      <c r="HB251" s="95"/>
      <c r="HC251" s="95"/>
      <c r="HD251" s="95"/>
      <c r="HE251" s="95"/>
      <c r="HF251" s="95"/>
      <c r="HG251" s="95"/>
      <c r="HH251" s="95"/>
      <c r="HI251" s="95"/>
      <c r="HJ251" s="95"/>
      <c r="HK251" s="95"/>
      <c r="HL251" s="95"/>
      <c r="HM251" s="95"/>
      <c r="HN251" s="95"/>
      <c r="HO251" s="95"/>
      <c r="HP251" s="95"/>
      <c r="HQ251" s="95"/>
      <c r="HR251" s="95"/>
      <c r="HS251" s="95"/>
      <c r="HT251" s="95"/>
      <c r="HU251" s="95"/>
      <c r="HV251" s="95"/>
      <c r="HW251" s="95"/>
      <c r="HX251" s="95"/>
      <c r="HY251" s="95"/>
      <c r="HZ251" s="95"/>
      <c r="IA251" s="95"/>
      <c r="IB251" s="95"/>
      <c r="IC251" s="95"/>
      <c r="ID251" s="95"/>
      <c r="IE251" s="95"/>
      <c r="IF251" s="95"/>
      <c r="IG251" s="95"/>
      <c r="IH251" s="95"/>
      <c r="II251" s="95"/>
      <c r="IJ251" s="95"/>
      <c r="IK251" s="95"/>
      <c r="IL251" s="95"/>
      <c r="IM251" s="95"/>
      <c r="IN251" s="95"/>
      <c r="IO251" s="95"/>
      <c r="IP251" s="95"/>
      <c r="IQ251" s="95"/>
      <c r="IR251" s="95"/>
      <c r="IS251" s="95"/>
      <c r="IT251" s="95"/>
      <c r="IU251" s="95"/>
      <c r="IV251" s="95"/>
      <c r="IW251" s="95"/>
      <c r="IX251" s="95"/>
      <c r="IY251" s="95"/>
      <c r="IZ251" s="95"/>
      <c r="JA251" s="95"/>
      <c r="JB251" s="95"/>
      <c r="JC251" s="95"/>
      <c r="JD251" s="95"/>
      <c r="JE251" s="95"/>
      <c r="JF251" s="95"/>
      <c r="JG251" s="95"/>
      <c r="JH251" s="95"/>
      <c r="JI251" s="95"/>
      <c r="JJ251" s="95"/>
      <c r="JK251" s="95"/>
      <c r="JL251" s="95"/>
      <c r="JM251" s="95"/>
      <c r="JN251" s="95"/>
      <c r="JO251" s="95"/>
      <c r="JP251" s="95"/>
      <c r="JQ251" s="95"/>
      <c r="JR251" s="95"/>
      <c r="JS251" s="95"/>
      <c r="JT251" s="95"/>
      <c r="JU251" s="95"/>
      <c r="JV251" s="95"/>
      <c r="JW251" s="95"/>
      <c r="JX251" s="95"/>
      <c r="JY251" s="95"/>
      <c r="JZ251" s="95"/>
      <c r="KA251" s="95"/>
      <c r="KB251" s="95"/>
      <c r="KC251" s="95"/>
      <c r="KD251" s="95"/>
      <c r="KE251" s="95"/>
      <c r="KF251" s="95"/>
      <c r="KG251" s="95"/>
      <c r="KH251" s="95"/>
      <c r="KI251" s="95"/>
      <c r="KJ251" s="95"/>
      <c r="KK251" s="95"/>
      <c r="KL251" s="95"/>
      <c r="KM251" s="95"/>
      <c r="KN251" s="95"/>
      <c r="KO251" s="95"/>
      <c r="KP251" s="95"/>
      <c r="KQ251" s="95"/>
      <c r="KR251" s="95"/>
      <c r="KS251" s="95"/>
      <c r="KT251" s="95"/>
      <c r="KU251" s="95"/>
      <c r="KV251" s="95"/>
      <c r="KW251" s="95"/>
      <c r="KX251" s="95"/>
      <c r="KY251" s="95"/>
      <c r="KZ251" s="95"/>
      <c r="LA251" s="95"/>
      <c r="LB251" s="95"/>
      <c r="LC251" s="95"/>
      <c r="LD251" s="95"/>
      <c r="LE251" s="95"/>
      <c r="LF251" s="95"/>
      <c r="LG251" s="95"/>
      <c r="LH251" s="95"/>
      <c r="LI251" s="95"/>
      <c r="LJ251" s="95"/>
      <c r="LK251" s="95"/>
      <c r="LL251" s="95"/>
      <c r="LM251" s="95"/>
      <c r="LN251" s="95"/>
      <c r="LO251" s="95"/>
      <c r="LP251" s="95"/>
      <c r="LQ251" s="95"/>
      <c r="LR251" s="95"/>
      <c r="LS251" s="95"/>
      <c r="LT251" s="95"/>
      <c r="LU251" s="95"/>
      <c r="LV251" s="95"/>
      <c r="LW251" s="95"/>
      <c r="LX251" s="95"/>
      <c r="LY251" s="95"/>
      <c r="LZ251" s="95"/>
      <c r="MA251" s="95"/>
      <c r="MB251" s="95"/>
      <c r="MC251" s="95"/>
      <c r="MD251" s="95"/>
      <c r="ME251" s="95"/>
      <c r="MF251" s="95"/>
      <c r="MG251" s="95"/>
      <c r="MH251" s="95"/>
      <c r="MI251" s="95"/>
      <c r="MJ251" s="95"/>
      <c r="MK251" s="95"/>
      <c r="ML251" s="95"/>
      <c r="MM251" s="95"/>
      <c r="MN251" s="95"/>
      <c r="MO251" s="95"/>
      <c r="MP251" s="95"/>
      <c r="MQ251" s="95"/>
      <c r="MR251" s="95"/>
      <c r="MS251" s="95"/>
      <c r="MT251" s="95"/>
      <c r="MU251" s="95"/>
      <c r="MV251" s="95"/>
      <c r="MW251" s="95"/>
      <c r="MX251" s="95"/>
      <c r="MY251" s="95"/>
      <c r="MZ251" s="95"/>
      <c r="NA251" s="95"/>
      <c r="NB251" s="95"/>
      <c r="NC251" s="95"/>
      <c r="ND251" s="95"/>
      <c r="NE251" s="95"/>
      <c r="NF251" s="95"/>
      <c r="NG251" s="95"/>
      <c r="NH251" s="95"/>
      <c r="NI251" s="95"/>
      <c r="NJ251" s="95"/>
      <c r="NK251" s="95"/>
      <c r="NL251" s="95"/>
      <c r="NM251" s="95"/>
      <c r="NN251" s="95"/>
      <c r="NO251" s="95"/>
      <c r="NP251" s="95"/>
      <c r="NQ251" s="95"/>
      <c r="NR251" s="95"/>
      <c r="NS251" s="95"/>
      <c r="NT251" s="95"/>
      <c r="NU251" s="95"/>
      <c r="NV251" s="95"/>
      <c r="NW251" s="95"/>
      <c r="NX251" s="95"/>
      <c r="NY251" s="95"/>
      <c r="NZ251" s="95"/>
      <c r="OA251" s="95"/>
      <c r="OB251" s="95"/>
      <c r="OC251" s="95"/>
      <c r="OD251" s="95"/>
      <c r="OE251" s="95"/>
      <c r="OF251" s="95"/>
      <c r="OG251" s="95"/>
      <c r="OH251" s="95"/>
      <c r="OI251" s="95"/>
      <c r="OJ251" s="95"/>
      <c r="OK251" s="95"/>
      <c r="OL251" s="95"/>
      <c r="OM251" s="95"/>
      <c r="ON251" s="95"/>
      <c r="OO251" s="95"/>
      <c r="OP251" s="95"/>
      <c r="OQ251" s="95"/>
      <c r="OR251" s="95"/>
      <c r="OS251" s="95"/>
      <c r="OT251" s="95"/>
      <c r="OU251" s="95"/>
      <c r="OV251" s="95"/>
      <c r="OW251" s="95"/>
      <c r="OX251" s="95"/>
      <c r="OY251" s="95"/>
      <c r="OZ251" s="95"/>
      <c r="PA251" s="95"/>
      <c r="PB251" s="95"/>
      <c r="PC251" s="95"/>
      <c r="PD251" s="95"/>
      <c r="PE251" s="95"/>
      <c r="PF251" s="95"/>
      <c r="PG251" s="95"/>
      <c r="PH251" s="95"/>
      <c r="PI251" s="95"/>
      <c r="PJ251" s="95"/>
      <c r="PK251" s="95"/>
      <c r="PL251" s="95"/>
      <c r="PM251" s="95"/>
      <c r="PN251" s="95"/>
      <c r="PO251" s="95"/>
      <c r="PP251" s="95"/>
      <c r="PQ251" s="95"/>
      <c r="PR251" s="95"/>
      <c r="PS251" s="95"/>
      <c r="PT251" s="95"/>
      <c r="PU251" s="95"/>
      <c r="PV251" s="95"/>
      <c r="PW251" s="95"/>
      <c r="PX251" s="95"/>
      <c r="PY251" s="95"/>
      <c r="PZ251" s="95"/>
      <c r="QA251" s="95"/>
      <c r="QB251" s="95"/>
      <c r="QC251" s="95"/>
      <c r="QD251" s="95"/>
      <c r="QE251" s="95"/>
      <c r="QF251" s="95"/>
      <c r="QG251" s="95"/>
      <c r="QH251" s="95"/>
      <c r="QI251" s="95"/>
      <c r="QJ251" s="95"/>
      <c r="QK251" s="95"/>
      <c r="QL251" s="95"/>
      <c r="QM251" s="95"/>
      <c r="QN251" s="95"/>
      <c r="QO251" s="95"/>
      <c r="QP251" s="95"/>
      <c r="QQ251" s="95"/>
      <c r="QR251" s="95"/>
      <c r="QS251" s="95"/>
      <c r="QT251" s="95"/>
      <c r="QU251" s="95"/>
      <c r="QV251" s="95"/>
      <c r="QW251" s="95"/>
      <c r="QX251" s="95"/>
      <c r="QY251" s="95"/>
      <c r="QZ251" s="95"/>
      <c r="RA251" s="95"/>
      <c r="RB251" s="95"/>
      <c r="RC251" s="95"/>
      <c r="RD251" s="95"/>
      <c r="RE251" s="95"/>
      <c r="RF251" s="95"/>
      <c r="RG251" s="95"/>
      <c r="RH251" s="95"/>
      <c r="RI251" s="95"/>
      <c r="RJ251" s="95"/>
      <c r="RK251" s="95"/>
      <c r="RL251" s="95"/>
      <c r="RM251" s="95"/>
      <c r="RN251" s="95"/>
      <c r="RO251" s="95"/>
      <c r="RP251" s="95"/>
      <c r="RQ251" s="95"/>
      <c r="RR251" s="95"/>
      <c r="RS251" s="95"/>
      <c r="RT251" s="95"/>
      <c r="RU251" s="95"/>
      <c r="RV251" s="95"/>
      <c r="RW251" s="95"/>
      <c r="RX251" s="95"/>
      <c r="RY251" s="95"/>
      <c r="RZ251" s="95"/>
      <c r="SA251" s="95"/>
      <c r="SB251" s="95"/>
      <c r="SC251" s="95"/>
      <c r="SD251" s="95"/>
      <c r="SE251" s="95"/>
      <c r="SF251" s="95"/>
      <c r="SG251" s="95"/>
      <c r="SH251" s="95"/>
      <c r="SI251" s="95"/>
      <c r="SJ251" s="95"/>
      <c r="SK251" s="95"/>
      <c r="SL251" s="95"/>
      <c r="SM251" s="95"/>
      <c r="SN251" s="95"/>
      <c r="SO251" s="95"/>
      <c r="SP251" s="95"/>
      <c r="SQ251" s="95"/>
      <c r="SR251" s="95"/>
      <c r="SS251" s="95"/>
      <c r="ST251" s="95"/>
      <c r="SU251" s="95"/>
      <c r="SV251" s="95"/>
      <c r="SW251" s="95"/>
      <c r="SX251" s="95"/>
      <c r="SY251" s="95"/>
      <c r="SZ251" s="95"/>
      <c r="TA251" s="95"/>
      <c r="TB251" s="95"/>
      <c r="TC251" s="95"/>
      <c r="TD251" s="95"/>
      <c r="TE251" s="95"/>
      <c r="TF251" s="95"/>
      <c r="TG251" s="95"/>
      <c r="TH251" s="95"/>
      <c r="TI251" s="95"/>
      <c r="TJ251" s="95"/>
      <c r="TK251" s="95"/>
      <c r="TL251" s="95"/>
      <c r="TM251" s="95"/>
      <c r="TN251" s="95"/>
      <c r="TO251" s="95"/>
      <c r="TP251" s="95"/>
      <c r="TQ251" s="95"/>
      <c r="TR251" s="95"/>
      <c r="TS251" s="95"/>
      <c r="TT251" s="95"/>
      <c r="TU251" s="95"/>
      <c r="TV251" s="95"/>
      <c r="TW251" s="95"/>
      <c r="TX251" s="95"/>
      <c r="TY251" s="95"/>
      <c r="TZ251" s="95"/>
      <c r="UA251" s="95"/>
      <c r="UB251" s="95"/>
      <c r="UC251" s="95"/>
      <c r="UD251" s="95"/>
      <c r="UE251" s="95"/>
      <c r="UF251" s="95"/>
      <c r="UG251" s="95"/>
      <c r="UH251" s="95"/>
      <c r="UI251" s="95"/>
      <c r="UJ251" s="95"/>
      <c r="UK251" s="95"/>
      <c r="UL251" s="95"/>
      <c r="UM251" s="95"/>
      <c r="UN251" s="95"/>
      <c r="UO251" s="95"/>
      <c r="UP251" s="95"/>
      <c r="UQ251" s="95"/>
      <c r="UR251" s="95"/>
      <c r="US251" s="95"/>
      <c r="UT251" s="95"/>
      <c r="UU251" s="95"/>
      <c r="UV251" s="95"/>
      <c r="UW251" s="95"/>
      <c r="UX251" s="95"/>
      <c r="UY251" s="95"/>
      <c r="UZ251" s="95"/>
      <c r="VA251" s="95"/>
      <c r="VB251" s="95"/>
      <c r="VC251" s="95"/>
      <c r="VD251" s="95"/>
      <c r="VE251" s="95"/>
      <c r="VF251" s="95"/>
      <c r="VG251" s="95"/>
      <c r="VH251" s="95"/>
      <c r="VI251" s="95"/>
      <c r="VJ251" s="95"/>
      <c r="VK251" s="95"/>
      <c r="VL251" s="95"/>
      <c r="VM251" s="95"/>
      <c r="VN251" s="95"/>
      <c r="VO251" s="95"/>
      <c r="VP251" s="95"/>
      <c r="VQ251" s="95"/>
      <c r="VR251" s="95"/>
      <c r="VS251" s="95"/>
      <c r="VT251" s="95"/>
      <c r="VU251" s="95"/>
      <c r="VV251" s="95"/>
      <c r="VW251" s="95"/>
      <c r="VX251" s="95"/>
      <c r="VY251" s="95"/>
      <c r="VZ251" s="95"/>
      <c r="WA251" s="95"/>
      <c r="WB251" s="95"/>
      <c r="WC251" s="95"/>
      <c r="WD251" s="95"/>
      <c r="WE251" s="95"/>
      <c r="WF251" s="95"/>
      <c r="WG251" s="95"/>
      <c r="WH251" s="95"/>
      <c r="WI251" s="95"/>
      <c r="WJ251" s="95"/>
      <c r="WK251" s="95"/>
      <c r="WL251" s="95"/>
      <c r="WM251" s="95"/>
      <c r="WN251" s="95"/>
      <c r="WO251" s="95"/>
      <c r="WP251" s="95"/>
      <c r="WQ251" s="95"/>
      <c r="WR251" s="95"/>
      <c r="WS251" s="95"/>
      <c r="WT251" s="95"/>
      <c r="WU251" s="95"/>
      <c r="WV251" s="95"/>
      <c r="WW251" s="95"/>
      <c r="WX251" s="95"/>
      <c r="WY251" s="95"/>
      <c r="WZ251" s="95"/>
      <c r="XA251" s="95"/>
      <c r="XB251" s="95"/>
      <c r="XC251" s="95"/>
      <c r="XD251" s="95"/>
      <c r="XE251" s="95"/>
      <c r="XF251" s="95"/>
      <c r="XG251" s="95"/>
      <c r="XH251" s="95"/>
      <c r="XI251" s="95"/>
      <c r="XJ251" s="95"/>
      <c r="XK251" s="95"/>
      <c r="XL251" s="95"/>
      <c r="XM251" s="95"/>
      <c r="XN251" s="95"/>
      <c r="XO251" s="95"/>
      <c r="XP251" s="95"/>
      <c r="XQ251" s="95"/>
      <c r="XR251" s="95"/>
      <c r="XS251" s="95"/>
      <c r="XT251" s="95"/>
      <c r="XU251" s="95"/>
      <c r="XV251" s="95"/>
      <c r="XW251" s="95"/>
      <c r="XX251" s="95"/>
      <c r="XY251" s="95"/>
      <c r="XZ251" s="95"/>
      <c r="YA251" s="95"/>
      <c r="YB251" s="95"/>
      <c r="YC251" s="95"/>
      <c r="YD251" s="95"/>
      <c r="YE251" s="95"/>
      <c r="YF251" s="95"/>
      <c r="YG251" s="95"/>
      <c r="YH251" s="95"/>
      <c r="YI251" s="95"/>
      <c r="YJ251" s="95"/>
      <c r="YK251" s="95"/>
      <c r="YL251" s="95"/>
      <c r="YM251" s="95"/>
      <c r="YN251" s="95"/>
      <c r="YO251" s="95"/>
      <c r="YP251" s="95"/>
      <c r="YQ251" s="95"/>
      <c r="YR251" s="95"/>
      <c r="YS251" s="95"/>
      <c r="YT251" s="95"/>
      <c r="YU251" s="95"/>
      <c r="YV251" s="95"/>
      <c r="YW251" s="95"/>
      <c r="YX251" s="95"/>
      <c r="YY251" s="95"/>
      <c r="YZ251" s="95"/>
      <c r="ZA251" s="95"/>
      <c r="ZB251" s="95"/>
      <c r="ZC251" s="95"/>
      <c r="ZD251" s="95"/>
      <c r="ZE251" s="95"/>
      <c r="ZF251" s="95"/>
      <c r="ZG251" s="95"/>
      <c r="ZH251" s="95"/>
      <c r="ZI251" s="95"/>
      <c r="ZJ251" s="95"/>
      <c r="ZK251" s="95"/>
      <c r="ZL251" s="95"/>
      <c r="ZM251" s="95"/>
      <c r="ZN251" s="95"/>
      <c r="ZO251" s="95"/>
      <c r="ZP251" s="95"/>
      <c r="ZQ251" s="95"/>
      <c r="ZR251" s="95"/>
      <c r="ZS251" s="95"/>
      <c r="ZT251" s="95"/>
      <c r="ZU251" s="95"/>
      <c r="ZV251" s="95"/>
      <c r="ZW251" s="95"/>
      <c r="ZX251" s="95"/>
      <c r="ZY251" s="95"/>
      <c r="ZZ251" s="95"/>
      <c r="AAA251" s="95"/>
      <c r="AAB251" s="95"/>
      <c r="AAC251" s="95"/>
      <c r="AAD251" s="95"/>
      <c r="AAE251" s="95"/>
      <c r="AAF251" s="95"/>
      <c r="AAG251" s="95"/>
      <c r="AAH251" s="95"/>
      <c r="AAI251" s="95"/>
      <c r="AAJ251" s="95"/>
      <c r="AAK251" s="95"/>
      <c r="AAL251" s="95"/>
      <c r="AAM251" s="95"/>
      <c r="AAN251" s="95"/>
      <c r="AAO251" s="95"/>
      <c r="AAP251" s="95"/>
      <c r="AAQ251" s="95"/>
      <c r="AAR251" s="95"/>
      <c r="AAS251" s="95"/>
      <c r="AAT251" s="95"/>
      <c r="AAU251" s="95"/>
      <c r="AAV251" s="95"/>
      <c r="AAW251" s="95"/>
      <c r="AAX251" s="95"/>
      <c r="AAY251" s="95"/>
      <c r="AAZ251" s="95"/>
      <c r="ABA251" s="95"/>
      <c r="ABB251" s="95"/>
      <c r="ABC251" s="95"/>
      <c r="ABD251" s="95"/>
      <c r="ABE251" s="95"/>
      <c r="ABF251" s="95"/>
      <c r="ABG251" s="95"/>
      <c r="ABH251" s="95"/>
      <c r="ABI251" s="95"/>
      <c r="ABJ251" s="95"/>
      <c r="ABK251" s="95"/>
      <c r="ABL251" s="95"/>
      <c r="ABM251" s="95"/>
      <c r="ABN251" s="95"/>
      <c r="ABO251" s="95"/>
      <c r="ABP251" s="95"/>
      <c r="ABQ251" s="95"/>
      <c r="ABR251" s="95"/>
      <c r="ABS251" s="95"/>
      <c r="ABT251" s="95"/>
      <c r="ABU251" s="95"/>
      <c r="ABV251" s="95"/>
      <c r="ABW251" s="95"/>
      <c r="ABX251" s="95"/>
      <c r="ABY251" s="95"/>
      <c r="ABZ251" s="95"/>
      <c r="ACA251" s="95"/>
      <c r="ACB251" s="95"/>
      <c r="ACC251" s="95"/>
      <c r="ACD251" s="95"/>
      <c r="ACE251" s="95"/>
      <c r="ACF251" s="95"/>
      <c r="ACG251" s="95"/>
      <c r="ACH251" s="95"/>
      <c r="ACI251" s="95"/>
      <c r="ACJ251" s="95"/>
      <c r="ACK251" s="95"/>
      <c r="ACL251" s="95"/>
      <c r="ACM251" s="95"/>
      <c r="ACN251" s="95"/>
      <c r="ACO251" s="95"/>
      <c r="ACP251" s="95"/>
      <c r="ACQ251" s="95"/>
      <c r="ACR251" s="95"/>
      <c r="ACS251" s="95"/>
      <c r="ACT251" s="95"/>
      <c r="ACU251" s="95"/>
      <c r="ACV251" s="95"/>
      <c r="ACW251" s="95"/>
      <c r="ACX251" s="95"/>
      <c r="ACY251" s="95"/>
      <c r="ACZ251" s="95"/>
      <c r="ADA251" s="95"/>
      <c r="ADB251" s="95"/>
      <c r="ADC251" s="95"/>
      <c r="ADD251" s="95"/>
      <c r="ADE251" s="95"/>
      <c r="ADF251" s="95"/>
      <c r="ADG251" s="95"/>
      <c r="ADH251" s="95"/>
      <c r="ADI251" s="95"/>
      <c r="ADJ251" s="95"/>
      <c r="ADK251" s="95"/>
      <c r="ADL251" s="95"/>
      <c r="ADM251" s="95"/>
      <c r="ADN251" s="95"/>
      <c r="ADO251" s="95"/>
      <c r="ADP251" s="95"/>
      <c r="ADQ251" s="95"/>
      <c r="ADR251" s="95"/>
      <c r="ADS251" s="95"/>
      <c r="ADT251" s="95"/>
      <c r="ADU251" s="95"/>
      <c r="ADV251" s="95"/>
      <c r="ADW251" s="95"/>
      <c r="ADX251" s="95"/>
      <c r="ADY251" s="95"/>
      <c r="ADZ251" s="95"/>
      <c r="AEA251" s="95"/>
      <c r="AEB251" s="95"/>
      <c r="AEC251" s="95"/>
      <c r="AED251" s="95"/>
      <c r="AEE251" s="95"/>
      <c r="AEF251" s="95"/>
      <c r="AEG251" s="95"/>
      <c r="AEH251" s="95"/>
      <c r="AEI251" s="95"/>
      <c r="AEJ251" s="95"/>
      <c r="AEK251" s="95"/>
      <c r="AEL251" s="95"/>
      <c r="AEM251" s="95"/>
      <c r="AEN251" s="95"/>
      <c r="AEO251" s="95"/>
      <c r="AEP251" s="95"/>
      <c r="AEQ251" s="95"/>
      <c r="AER251" s="95"/>
      <c r="AES251" s="95"/>
      <c r="AET251" s="95"/>
      <c r="AEU251" s="95"/>
      <c r="AEV251" s="95"/>
      <c r="AEW251" s="95"/>
      <c r="AEX251" s="95"/>
      <c r="AEY251" s="95"/>
      <c r="AEZ251" s="95"/>
      <c r="AFA251" s="95"/>
      <c r="AFB251" s="95"/>
      <c r="AFC251" s="95"/>
      <c r="AFD251" s="95"/>
      <c r="AFE251" s="95"/>
      <c r="AFF251" s="95"/>
      <c r="AFG251" s="95"/>
      <c r="AFH251" s="95"/>
      <c r="AFI251" s="95"/>
      <c r="AFJ251" s="95"/>
      <c r="AFK251" s="95"/>
      <c r="AFL251" s="95"/>
      <c r="AFM251" s="95"/>
      <c r="AFN251" s="95"/>
      <c r="AFO251" s="95"/>
      <c r="AFP251" s="95"/>
      <c r="AFQ251" s="95"/>
      <c r="AFR251" s="95"/>
      <c r="AFS251" s="95"/>
      <c r="AFT251" s="95"/>
      <c r="AFU251" s="95"/>
      <c r="AFV251" s="95"/>
      <c r="AFW251" s="95"/>
      <c r="AFX251" s="95"/>
      <c r="AFY251" s="95"/>
      <c r="AFZ251" s="95"/>
      <c r="AGA251" s="95"/>
      <c r="AGB251" s="95"/>
      <c r="AGC251" s="95"/>
      <c r="AGD251" s="95"/>
      <c r="AGE251" s="95"/>
      <c r="AGF251" s="95"/>
      <c r="AGG251" s="95"/>
      <c r="AGH251" s="95"/>
      <c r="AGI251" s="95"/>
      <c r="AGJ251" s="95"/>
      <c r="AGK251" s="95"/>
      <c r="AGL251" s="95"/>
      <c r="AGM251" s="95"/>
      <c r="AGN251" s="95"/>
      <c r="AGO251" s="95"/>
      <c r="AGP251" s="95"/>
      <c r="AGQ251" s="95"/>
      <c r="AGR251" s="95"/>
      <c r="AGS251" s="95"/>
      <c r="AGT251" s="95"/>
      <c r="AGU251" s="95"/>
      <c r="AGV251" s="95"/>
      <c r="AGW251" s="95"/>
      <c r="AGX251" s="95"/>
      <c r="AGY251" s="95"/>
      <c r="AGZ251" s="95"/>
      <c r="AHA251" s="95"/>
      <c r="AHB251" s="95"/>
      <c r="AHC251" s="95"/>
    </row>
    <row r="252" spans="1:887" ht="20.100000000000001" customHeight="1">
      <c r="A252" s="198" t="str">
        <f>VLOOKUP(C252,'BASE DE DADOS'!A:B,2,FALSE)</f>
        <v>PREPARA INATIVOS</v>
      </c>
      <c r="B252" s="199" t="s">
        <v>471</v>
      </c>
      <c r="C252" s="198" t="s">
        <v>472</v>
      </c>
      <c r="D252" s="232">
        <v>99863.15</v>
      </c>
      <c r="E252" s="198"/>
      <c r="F252" s="201"/>
      <c r="G252" s="158"/>
      <c r="H252" s="201"/>
      <c r="I252" s="201"/>
      <c r="J252" s="201" t="s">
        <v>1743</v>
      </c>
      <c r="K252" s="201"/>
      <c r="L252" s="201"/>
      <c r="M252" s="201"/>
      <c r="N252" s="201"/>
      <c r="O252" s="201"/>
      <c r="P252" s="201"/>
      <c r="Q252" s="235" t="s">
        <v>3000</v>
      </c>
    </row>
    <row r="253" spans="1:887" ht="20.100000000000001" customHeight="1">
      <c r="A253" s="191" t="str">
        <f>VLOOKUP(C253,'BASE DE DADOS'!A:B,2,FALSE)</f>
        <v>PREPARA INATIVOS</v>
      </c>
      <c r="B253" s="90" t="s">
        <v>392</v>
      </c>
      <c r="C253" s="191" t="s">
        <v>393</v>
      </c>
      <c r="D253" s="262">
        <v>220857.01</v>
      </c>
      <c r="E253" s="99">
        <v>155552.85</v>
      </c>
      <c r="F253" s="193"/>
      <c r="G253" s="192"/>
      <c r="H253" s="193"/>
      <c r="I253" s="193"/>
      <c r="J253" s="193"/>
      <c r="K253" s="193"/>
      <c r="L253" s="193"/>
      <c r="M253" s="193"/>
      <c r="N253" s="193" t="s">
        <v>1743</v>
      </c>
      <c r="O253" s="202">
        <v>46155</v>
      </c>
      <c r="P253" s="145" t="s">
        <v>3539</v>
      </c>
      <c r="Q253" s="203" t="s">
        <v>3540</v>
      </c>
    </row>
    <row r="254" spans="1:887" ht="20.100000000000001" customHeight="1">
      <c r="A254" s="198" t="str">
        <f>VLOOKUP(C254,'BASE DE DADOS'!A:B,2,FALSE)</f>
        <v>MICROLINS INATIVOS</v>
      </c>
      <c r="B254" s="263" t="s">
        <v>1230</v>
      </c>
      <c r="C254" s="264" t="s">
        <v>1231</v>
      </c>
      <c r="D254" s="159"/>
      <c r="E254" s="159"/>
      <c r="F254" s="160"/>
      <c r="G254" s="161"/>
      <c r="H254" s="160"/>
      <c r="I254" s="265"/>
      <c r="J254" s="201" t="s">
        <v>1743</v>
      </c>
      <c r="K254" s="160"/>
      <c r="L254" s="160"/>
      <c r="M254" s="160"/>
      <c r="N254" s="160"/>
      <c r="O254" s="160"/>
      <c r="P254" s="160"/>
      <c r="Q254" s="266" t="s">
        <v>2991</v>
      </c>
    </row>
    <row r="255" spans="1:887" ht="20.100000000000001" customHeight="1">
      <c r="A255" s="198" t="str">
        <f>VLOOKUP(C255,'BASE DE DADOS'!A:B,2,FALSE)</f>
        <v>MICROLINS INATIVOS</v>
      </c>
      <c r="B255" s="199" t="s">
        <v>1238</v>
      </c>
      <c r="C255" s="198" t="s">
        <v>1239</v>
      </c>
      <c r="D255" s="232">
        <v>13342.33</v>
      </c>
      <c r="E255" s="198"/>
      <c r="F255" s="201"/>
      <c r="G255" s="200"/>
      <c r="H255" s="201"/>
      <c r="I255" s="201"/>
      <c r="J255" s="201" t="s">
        <v>1743</v>
      </c>
      <c r="K255" s="201"/>
      <c r="L255" s="201"/>
      <c r="M255" s="201"/>
      <c r="N255" s="201"/>
      <c r="O255" s="201"/>
      <c r="P255" s="201"/>
      <c r="Q255" s="203" t="s">
        <v>2993</v>
      </c>
    </row>
    <row r="256" spans="1:887" ht="20.100000000000001" customHeight="1">
      <c r="A256" s="191" t="str">
        <f>VLOOKUP(C256,'BASE DE DADOS'!A:B,2,FALSE)</f>
        <v>PREPARA</v>
      </c>
      <c r="B256" s="90" t="s">
        <v>1106</v>
      </c>
      <c r="C256" s="191" t="s">
        <v>1107</v>
      </c>
      <c r="D256" s="227">
        <v>33909.25</v>
      </c>
      <c r="E256" s="99">
        <v>67202.77</v>
      </c>
      <c r="F256" s="193"/>
      <c r="G256" s="192"/>
      <c r="H256" s="193"/>
      <c r="I256" s="193"/>
      <c r="J256" s="193"/>
      <c r="K256" s="193"/>
      <c r="L256" s="193"/>
      <c r="M256" s="193"/>
      <c r="N256" s="193" t="s">
        <v>1743</v>
      </c>
      <c r="O256" s="202">
        <v>46108</v>
      </c>
      <c r="P256" s="267" t="s">
        <v>2994</v>
      </c>
      <c r="Q256" s="195" t="s">
        <v>2995</v>
      </c>
    </row>
    <row r="257" spans="1:17" ht="20.100000000000001" customHeight="1">
      <c r="A257" s="191" t="str">
        <f>VLOOKUP(C257,'BASE DE DADOS'!A:B,2,FALSE)</f>
        <v>ENSINA MAIS</v>
      </c>
      <c r="B257" s="90" t="s">
        <v>2262</v>
      </c>
      <c r="C257" s="191" t="s">
        <v>2263</v>
      </c>
      <c r="D257" s="227">
        <v>42689</v>
      </c>
      <c r="E257" s="79">
        <v>45709.94</v>
      </c>
      <c r="F257" s="202">
        <v>46132</v>
      </c>
      <c r="G257" s="192"/>
      <c r="H257" s="193"/>
      <c r="I257" s="193"/>
      <c r="J257" s="193"/>
      <c r="K257" s="193"/>
      <c r="L257" s="193"/>
      <c r="M257" s="193"/>
      <c r="N257" s="193" t="s">
        <v>1743</v>
      </c>
      <c r="O257" s="202">
        <v>46155</v>
      </c>
      <c r="P257" s="145" t="s">
        <v>3535</v>
      </c>
      <c r="Q257" s="195" t="s">
        <v>3001</v>
      </c>
    </row>
    <row r="258" spans="1:17" ht="20.100000000000001" customHeight="1">
      <c r="A258" s="191" t="str">
        <f>VLOOKUP(C258,'BASE DE DADOS'!A:B,2,FALSE)</f>
        <v>PREPARA</v>
      </c>
      <c r="B258" s="90" t="s">
        <v>2392</v>
      </c>
      <c r="C258" s="191" t="s">
        <v>3369</v>
      </c>
      <c r="D258" s="227">
        <v>95997.39</v>
      </c>
      <c r="E258" s="99">
        <v>104479.15</v>
      </c>
      <c r="F258" s="202">
        <v>46125</v>
      </c>
      <c r="G258" s="192"/>
      <c r="H258" s="193"/>
      <c r="I258" s="193"/>
      <c r="J258" s="193"/>
      <c r="K258" s="193"/>
      <c r="L258" s="193"/>
      <c r="M258" s="193"/>
      <c r="N258" s="193" t="s">
        <v>1743</v>
      </c>
      <c r="O258" s="202">
        <v>46155</v>
      </c>
      <c r="P258" s="268" t="s">
        <v>3536</v>
      </c>
      <c r="Q258" s="203" t="s">
        <v>3001</v>
      </c>
    </row>
    <row r="259" spans="1:17" ht="20.100000000000001" customHeight="1">
      <c r="A259" s="191" t="str">
        <f>VLOOKUP(C259,'BASE DE DADOS'!A:B,2,FALSE)</f>
        <v>PREPARA INATIVOS</v>
      </c>
      <c r="B259" s="90" t="s">
        <v>474</v>
      </c>
      <c r="C259" s="191" t="s">
        <v>475</v>
      </c>
      <c r="D259" s="227">
        <v>15871.12</v>
      </c>
      <c r="E259" s="191"/>
      <c r="F259" s="202">
        <v>46135</v>
      </c>
      <c r="G259" s="192"/>
      <c r="H259" s="193"/>
      <c r="I259" s="193"/>
      <c r="J259" s="193"/>
      <c r="K259" s="193"/>
      <c r="L259" s="193"/>
      <c r="M259" s="193"/>
      <c r="N259" s="193" t="s">
        <v>1743</v>
      </c>
      <c r="O259" s="202">
        <v>46220</v>
      </c>
      <c r="P259" s="271" t="s">
        <v>3554</v>
      </c>
      <c r="Q259" s="235" t="s">
        <v>3555</v>
      </c>
    </row>
    <row r="260" spans="1:17" s="95" customFormat="1" ht="20.100000000000001" customHeight="1">
      <c r="A260" s="191" t="str">
        <f>VLOOKUP(C260,'BASE DE DADOS'!A:B,2,FALSE)</f>
        <v>ENSINA MAIS INATIVOS</v>
      </c>
      <c r="B260" s="90" t="s">
        <v>3545</v>
      </c>
      <c r="C260" s="191" t="s">
        <v>3507</v>
      </c>
      <c r="D260" s="75">
        <v>12844.5</v>
      </c>
      <c r="E260" s="76"/>
      <c r="F260" s="202">
        <v>46164</v>
      </c>
      <c r="G260" s="192"/>
      <c r="H260" s="193"/>
      <c r="I260" s="193"/>
      <c r="J260" s="193"/>
      <c r="K260" s="193"/>
      <c r="L260" s="193"/>
      <c r="M260" s="193" t="s">
        <v>1743</v>
      </c>
      <c r="N260" s="193"/>
      <c r="O260" s="202"/>
      <c r="P260" s="146"/>
      <c r="Q260" s="269" t="s">
        <v>3550</v>
      </c>
    </row>
    <row r="261" spans="1:17" s="95" customFormat="1" ht="20.100000000000001" customHeight="1">
      <c r="A261" s="236" t="str">
        <f>VLOOKUP(C261,'BASE DE DADOS'!A:B,2,FALSE)</f>
        <v>PREPARA</v>
      </c>
      <c r="B261" s="237" t="s">
        <v>3546</v>
      </c>
      <c r="C261" s="236" t="s">
        <v>3087</v>
      </c>
      <c r="D261" s="180">
        <v>152071.57999999999</v>
      </c>
      <c r="E261" s="189"/>
      <c r="F261" s="270">
        <v>46167</v>
      </c>
      <c r="G261" s="240"/>
      <c r="H261" s="241"/>
      <c r="I261" s="241"/>
      <c r="J261" s="241"/>
      <c r="K261" s="241"/>
      <c r="L261" s="241"/>
      <c r="M261" s="241"/>
      <c r="N261" s="241"/>
      <c r="O261" s="270"/>
      <c r="P261" s="179"/>
      <c r="Q261" s="269"/>
    </row>
    <row r="262" spans="1:17" s="95" customFormat="1" ht="20.100000000000001" customHeight="1">
      <c r="A262" s="236" t="str">
        <f>VLOOKUP(C262,'BASE DE DADOS'!A:B,2,FALSE)</f>
        <v>PREPARA INATIVOS</v>
      </c>
      <c r="B262" s="237" t="s">
        <v>805</v>
      </c>
      <c r="C262" s="236" t="s">
        <v>806</v>
      </c>
      <c r="D262" s="188">
        <v>6513.92</v>
      </c>
      <c r="E262" s="189"/>
      <c r="F262" s="270">
        <v>46167</v>
      </c>
      <c r="G262" s="240"/>
      <c r="H262" s="241"/>
      <c r="I262" s="241"/>
      <c r="J262" s="241"/>
      <c r="K262" s="241"/>
      <c r="L262" s="241"/>
      <c r="M262" s="241"/>
      <c r="N262" s="241"/>
      <c r="O262" s="270"/>
      <c r="P262" s="179"/>
      <c r="Q262" s="269"/>
    </row>
    <row r="263" spans="1:17" s="95" customFormat="1" ht="20.100000000000001" customHeight="1">
      <c r="A263" s="236" t="str">
        <f>VLOOKUP(C263,'BASE DE DADOS'!A:B,2,FALSE)</f>
        <v>ENSINA MAIS INATIVOS</v>
      </c>
      <c r="B263" s="237" t="s">
        <v>3548</v>
      </c>
      <c r="C263" s="236" t="s">
        <v>2456</v>
      </c>
      <c r="D263" s="238">
        <v>30719.08</v>
      </c>
      <c r="E263" s="236"/>
      <c r="F263" s="270">
        <v>46176</v>
      </c>
      <c r="G263" s="240"/>
      <c r="H263" s="241"/>
      <c r="I263" s="241"/>
      <c r="J263" s="241"/>
      <c r="K263" s="241"/>
      <c r="L263" s="241"/>
      <c r="M263" s="241"/>
      <c r="N263" s="241"/>
      <c r="O263" s="270"/>
      <c r="P263" s="179"/>
      <c r="Q263" s="269" t="s">
        <v>3549</v>
      </c>
    </row>
    <row r="264" spans="1:17" s="95" customFormat="1" ht="20.100000000000001" customHeight="1">
      <c r="A264" s="236" t="str">
        <f>VLOOKUP(C264,'BASE DE DADOS'!A:B,2,FALSE)</f>
        <v>PREPARA</v>
      </c>
      <c r="B264" s="237" t="s">
        <v>3551</v>
      </c>
      <c r="C264" s="236" t="s">
        <v>2383</v>
      </c>
      <c r="D264" s="190">
        <v>398269.46</v>
      </c>
      <c r="E264" s="189"/>
      <c r="F264" s="270">
        <v>46182</v>
      </c>
      <c r="G264" s="240"/>
      <c r="H264" s="241"/>
      <c r="I264" s="241"/>
      <c r="J264" s="241"/>
      <c r="K264" s="241"/>
      <c r="L264" s="241"/>
      <c r="M264" s="241"/>
      <c r="N264" s="241"/>
      <c r="O264" s="270"/>
      <c r="P264" s="179"/>
      <c r="Q264" s="269" t="s">
        <v>3549</v>
      </c>
    </row>
    <row r="265" spans="1:17" ht="20.100000000000001" customHeight="1">
      <c r="A265" s="236" t="str">
        <f>VLOOKUP(C265,'BASE DE DADOS'!A:B,2,FALSE)</f>
        <v>ENSINA MAIS INATIVOS</v>
      </c>
      <c r="B265" s="237" t="s">
        <v>3552</v>
      </c>
      <c r="C265" s="236" t="s">
        <v>3336</v>
      </c>
      <c r="D265" s="180">
        <v>7427.83</v>
      </c>
      <c r="E265" s="189"/>
      <c r="F265" s="270">
        <v>46184</v>
      </c>
      <c r="G265" s="240"/>
      <c r="H265" s="241"/>
      <c r="I265" s="241"/>
      <c r="J265" s="241"/>
      <c r="K265" s="241"/>
      <c r="L265" s="241"/>
      <c r="M265" s="241"/>
      <c r="N265" s="241"/>
      <c r="O265" s="270"/>
      <c r="P265" s="179"/>
      <c r="Q265" s="269" t="s">
        <v>3553</v>
      </c>
    </row>
    <row r="266" spans="1:17" ht="20.100000000000001" customHeight="1">
      <c r="A266" s="198" t="str">
        <f>VLOOKUP(C266,'BASE DE DADOS'!A:B,2,FALSE)</f>
        <v>PREPARA</v>
      </c>
      <c r="B266" s="199" t="s">
        <v>1150</v>
      </c>
      <c r="C266" s="272" t="s">
        <v>2419</v>
      </c>
      <c r="D266" s="162">
        <v>10132.629999999999</v>
      </c>
      <c r="E266" s="273"/>
      <c r="F266" s="274">
        <v>46230</v>
      </c>
      <c r="G266" s="200"/>
      <c r="H266" s="201"/>
      <c r="I266" s="201"/>
      <c r="J266" s="201" t="s">
        <v>1743</v>
      </c>
      <c r="K266" s="201"/>
      <c r="L266" s="201"/>
      <c r="M266" s="201"/>
      <c r="N266" s="201"/>
      <c r="O266" s="274"/>
      <c r="P266" s="275"/>
      <c r="Q266" s="276" t="s">
        <v>3556</v>
      </c>
    </row>
    <row r="267" spans="1:17" ht="20.100000000000001" customHeight="1">
      <c r="A267" s="191" t="str">
        <f>VLOOKUP(C267,'BASE DE DADOS'!A:B,2,FALSE)</f>
        <v>MICROLINS</v>
      </c>
      <c r="B267" s="90" t="s">
        <v>1330</v>
      </c>
      <c r="C267" s="191" t="s">
        <v>1331</v>
      </c>
      <c r="D267" s="75">
        <v>149271.79</v>
      </c>
      <c r="E267" s="76"/>
      <c r="F267" s="202">
        <v>46269</v>
      </c>
      <c r="G267" s="192"/>
      <c r="H267" s="193"/>
      <c r="I267" s="193"/>
      <c r="J267" s="193"/>
      <c r="K267" s="193"/>
      <c r="L267" s="193"/>
      <c r="M267" s="193"/>
      <c r="N267" s="193"/>
      <c r="O267" s="202">
        <v>46274</v>
      </c>
      <c r="P267" s="146" t="s">
        <v>3561</v>
      </c>
      <c r="Q267" s="278" t="s">
        <v>3560</v>
      </c>
    </row>
    <row r="268" spans="1:17" ht="20.100000000000001" customHeight="1">
      <c r="A268" s="191" t="str">
        <f>VLOOKUP(C268,'BASE DE DADOS'!A:B,2,FALSE)</f>
        <v>MICROLINS</v>
      </c>
      <c r="B268" s="90" t="s">
        <v>3557</v>
      </c>
      <c r="C268" s="191" t="s">
        <v>3157</v>
      </c>
      <c r="D268" s="75">
        <v>182673.17</v>
      </c>
      <c r="E268" s="76"/>
      <c r="F268" s="202">
        <v>46269</v>
      </c>
      <c r="G268" s="192"/>
      <c r="H268" s="193"/>
      <c r="I268" s="193"/>
      <c r="J268" s="193"/>
      <c r="K268" s="193"/>
      <c r="L268" s="193"/>
      <c r="M268" s="193" t="s">
        <v>1743</v>
      </c>
      <c r="N268" s="193"/>
      <c r="O268" s="202"/>
      <c r="P268" s="146"/>
      <c r="Q268" s="279" t="s">
        <v>3562</v>
      </c>
    </row>
    <row r="269" spans="1:17" ht="20.100000000000001" customHeight="1">
      <c r="A269" s="191" t="str">
        <f>VLOOKUP(C269,'BASE DE DADOS'!A:B,2,FALSE)</f>
        <v>MICROLINS INATIVOS</v>
      </c>
      <c r="B269" s="90" t="s">
        <v>3558</v>
      </c>
      <c r="C269" s="191" t="s">
        <v>3442</v>
      </c>
      <c r="D269" s="75">
        <v>12084.79</v>
      </c>
      <c r="E269" s="76"/>
      <c r="F269" s="202">
        <v>46269</v>
      </c>
      <c r="G269" s="192"/>
      <c r="H269" s="193"/>
      <c r="I269" s="193"/>
      <c r="J269" s="193"/>
      <c r="K269" s="193"/>
      <c r="L269" s="193"/>
      <c r="M269" s="193" t="s">
        <v>1743</v>
      </c>
      <c r="N269" s="193"/>
      <c r="O269" s="202" t="s">
        <v>3563</v>
      </c>
      <c r="P269" s="146"/>
      <c r="Q269" s="279" t="s">
        <v>3562</v>
      </c>
    </row>
    <row r="270" spans="1:17" s="95" customFormat="1" ht="20.100000000000001" customHeight="1">
      <c r="A270" s="24" t="str">
        <f>VLOOKUP(C269,'BASE DE DADOS'!A:B,2,FALSE)</f>
        <v>MICROLINS INATIVOS</v>
      </c>
      <c r="B270" s="175" t="s">
        <v>3559</v>
      </c>
      <c r="C270" s="24" t="s">
        <v>2038</v>
      </c>
      <c r="D270" s="182"/>
      <c r="E270" s="183"/>
      <c r="F270" s="181"/>
      <c r="G270" s="185"/>
      <c r="H270" s="176"/>
      <c r="I270" s="176"/>
      <c r="J270" s="176"/>
      <c r="K270" s="176"/>
      <c r="L270" s="176"/>
      <c r="M270" s="176"/>
      <c r="N270" s="176"/>
      <c r="O270" s="181"/>
      <c r="P270" s="186"/>
      <c r="Q270" s="277"/>
    </row>
    <row r="271" spans="1:17" ht="20.100000000000001" customHeight="1">
      <c r="A271" s="24" t="e">
        <f>VLOOKUP(C271,'BASE DE DADOS'!A:B,2,FALSE)</f>
        <v>#N/A</v>
      </c>
      <c r="B271" s="175"/>
      <c r="C271" s="24"/>
      <c r="D271" s="182"/>
      <c r="E271" s="183"/>
      <c r="F271" s="184"/>
      <c r="G271" s="185"/>
      <c r="H271" s="176"/>
      <c r="I271" s="176"/>
      <c r="J271" s="176"/>
      <c r="K271" s="176"/>
      <c r="L271" s="176"/>
      <c r="M271" s="176"/>
      <c r="N271" s="176"/>
      <c r="O271" s="181"/>
      <c r="P271" s="186"/>
      <c r="Q271" s="187"/>
    </row>
    <row r="272" spans="1:17" ht="20.100000000000001" customHeight="1">
      <c r="A272" s="24" t="e">
        <f>VLOOKUP(C272,'BASE DE DADOS'!A:B,2,FALSE)</f>
        <v>#N/A</v>
      </c>
      <c r="B272" s="175"/>
      <c r="C272" s="24"/>
      <c r="D272" s="182"/>
      <c r="E272" s="183"/>
      <c r="F272" s="184"/>
      <c r="G272" s="185"/>
      <c r="H272" s="176"/>
      <c r="I272" s="176"/>
      <c r="J272" s="176"/>
      <c r="K272" s="176"/>
      <c r="L272" s="176"/>
      <c r="M272" s="176"/>
      <c r="N272" s="176"/>
      <c r="O272" s="181"/>
      <c r="P272" s="186"/>
      <c r="Q272" s="187"/>
    </row>
    <row r="273" spans="1:17" ht="20.100000000000001" customHeight="1">
      <c r="A273" s="24" t="e">
        <f>VLOOKUP(C273,'BASE DE DADOS'!A:B,2,FALSE)</f>
        <v>#N/A</v>
      </c>
      <c r="B273" s="175"/>
      <c r="C273" s="24"/>
      <c r="D273" s="182"/>
      <c r="E273" s="183"/>
      <c r="F273" s="184"/>
      <c r="G273" s="185"/>
      <c r="H273" s="176"/>
      <c r="I273" s="176"/>
      <c r="J273" s="176"/>
      <c r="K273" s="176"/>
      <c r="L273" s="176"/>
      <c r="M273" s="176"/>
      <c r="N273" s="176"/>
      <c r="O273" s="181"/>
      <c r="P273" s="186"/>
      <c r="Q273" s="187"/>
    </row>
    <row r="274" spans="1:17" ht="20.100000000000001" customHeight="1">
      <c r="A274" s="24" t="e">
        <f>VLOOKUP(C274,'BASE DE DADOS'!A:B,2,FALSE)</f>
        <v>#N/A</v>
      </c>
      <c r="B274" s="175"/>
      <c r="C274" s="24"/>
      <c r="D274" s="182"/>
      <c r="E274" s="183"/>
      <c r="F274" s="184"/>
      <c r="G274" s="185"/>
      <c r="H274" s="176"/>
      <c r="I274" s="176"/>
      <c r="J274" s="176"/>
      <c r="K274" s="176"/>
      <c r="L274" s="176"/>
      <c r="M274" s="176"/>
      <c r="N274" s="176"/>
      <c r="O274" s="181"/>
      <c r="P274" s="186"/>
      <c r="Q274" s="187"/>
    </row>
    <row r="275" spans="1:17">
      <c r="A275" s="24" t="e">
        <f>VLOOKUP(C275,'BASE DE DADOS'!A:B,2,FALSE)</f>
        <v>#N/A</v>
      </c>
      <c r="B275" s="175"/>
      <c r="C275" s="24"/>
      <c r="D275" s="182"/>
      <c r="E275" s="183"/>
      <c r="F275" s="184"/>
      <c r="G275" s="185"/>
      <c r="H275" s="176"/>
      <c r="I275" s="176"/>
      <c r="J275" s="176"/>
      <c r="K275" s="176"/>
      <c r="L275" s="176"/>
      <c r="M275" s="176"/>
      <c r="N275" s="176"/>
      <c r="O275" s="181"/>
      <c r="P275" s="186"/>
      <c r="Q275" s="187"/>
    </row>
    <row r="276" spans="1:17">
      <c r="A276" s="24" t="e">
        <f>VLOOKUP(C276,'BASE DE DADOS'!A:B,2,FALSE)</f>
        <v>#N/A</v>
      </c>
      <c r="B276" s="175"/>
      <c r="C276" s="24"/>
      <c r="D276" s="182"/>
      <c r="E276" s="183"/>
      <c r="F276" s="184"/>
      <c r="G276" s="185"/>
      <c r="H276" s="176"/>
      <c r="I276" s="176"/>
      <c r="J276" s="176"/>
      <c r="K276" s="176"/>
      <c r="L276" s="176"/>
      <c r="M276" s="176"/>
      <c r="N276" s="176"/>
      <c r="O276" s="181"/>
      <c r="P276" s="186"/>
      <c r="Q276" s="187"/>
    </row>
    <row r="277" spans="1:17">
      <c r="A277" s="24" t="e">
        <f>VLOOKUP(C277,'BASE DE DADOS'!A:B,2,FALSE)</f>
        <v>#N/A</v>
      </c>
      <c r="B277" s="175"/>
      <c r="C277" s="24"/>
      <c r="D277" s="182"/>
      <c r="E277" s="183"/>
      <c r="F277" s="184"/>
      <c r="G277" s="185"/>
      <c r="H277" s="176"/>
      <c r="I277" s="176"/>
      <c r="J277" s="176"/>
      <c r="K277" s="176"/>
      <c r="L277" s="176"/>
      <c r="M277" s="176"/>
      <c r="N277" s="176"/>
      <c r="O277" s="181"/>
      <c r="P277" s="186"/>
      <c r="Q277" s="187"/>
    </row>
    <row r="278" spans="1:17">
      <c r="A278" s="24" t="e">
        <f>VLOOKUP(C278,'BASE DE DADOS'!A:B,2,FALSE)</f>
        <v>#N/A</v>
      </c>
      <c r="B278" s="175"/>
      <c r="C278" s="24"/>
      <c r="D278" s="182"/>
      <c r="E278" s="183"/>
      <c r="F278" s="184"/>
      <c r="G278" s="185"/>
      <c r="H278" s="176"/>
      <c r="I278" s="176"/>
      <c r="J278" s="176"/>
      <c r="K278" s="176"/>
      <c r="L278" s="176"/>
      <c r="M278" s="176"/>
      <c r="N278" s="176"/>
      <c r="O278" s="181"/>
      <c r="P278" s="186"/>
      <c r="Q278" s="187"/>
    </row>
    <row r="279" spans="1:17">
      <c r="A279" s="24" t="e">
        <f>VLOOKUP(C279,'BASE DE DADOS'!A:B,2,FALSE)</f>
        <v>#N/A</v>
      </c>
      <c r="B279" s="175"/>
      <c r="C279" s="24"/>
      <c r="D279" s="182"/>
      <c r="E279" s="183"/>
      <c r="F279" s="184"/>
      <c r="G279" s="185"/>
      <c r="H279" s="176"/>
      <c r="I279" s="176"/>
      <c r="J279" s="176"/>
      <c r="K279" s="176"/>
      <c r="L279" s="176"/>
      <c r="M279" s="176"/>
      <c r="N279" s="176"/>
      <c r="O279" s="181"/>
      <c r="P279" s="186"/>
      <c r="Q279" s="187"/>
    </row>
    <row r="280" spans="1:17">
      <c r="A280" s="24" t="e">
        <f>VLOOKUP(C280,'BASE DE DADOS'!A:B,2,FALSE)</f>
        <v>#N/A</v>
      </c>
      <c r="B280" s="175"/>
      <c r="C280" s="24"/>
      <c r="D280" s="182"/>
      <c r="E280" s="183"/>
      <c r="F280" s="184"/>
      <c r="G280" s="185"/>
      <c r="H280" s="176"/>
      <c r="I280" s="176"/>
      <c r="J280" s="176"/>
      <c r="K280" s="176"/>
      <c r="L280" s="176"/>
      <c r="M280" s="176"/>
      <c r="N280" s="176"/>
      <c r="O280" s="181"/>
      <c r="P280" s="186"/>
      <c r="Q280" s="187"/>
    </row>
    <row r="281" spans="1:17">
      <c r="A281" s="24" t="e">
        <f>VLOOKUP(C281,'BASE DE DADOS'!A:B,2,FALSE)</f>
        <v>#N/A</v>
      </c>
      <c r="B281" s="175"/>
      <c r="C281" s="24"/>
      <c r="D281" s="182"/>
      <c r="E281" s="183"/>
      <c r="F281" s="184"/>
      <c r="G281" s="185"/>
      <c r="H281" s="176"/>
      <c r="I281" s="176"/>
      <c r="J281" s="176"/>
      <c r="K281" s="176"/>
      <c r="L281" s="176"/>
      <c r="M281" s="176"/>
      <c r="N281" s="176"/>
      <c r="O281" s="181"/>
      <c r="P281" s="186"/>
      <c r="Q281" s="187"/>
    </row>
    <row r="282" spans="1:17">
      <c r="A282" s="24" t="e">
        <f>VLOOKUP(C282,'BASE DE DADOS'!A:B,2,FALSE)</f>
        <v>#N/A</v>
      </c>
      <c r="B282" s="175"/>
      <c r="C282" s="24"/>
      <c r="D282" s="182"/>
      <c r="E282" s="183"/>
      <c r="F282" s="184"/>
      <c r="G282" s="185"/>
      <c r="H282" s="176"/>
      <c r="I282" s="176"/>
      <c r="J282" s="176"/>
      <c r="K282" s="176"/>
      <c r="L282" s="176"/>
      <c r="M282" s="176"/>
      <c r="N282" s="176"/>
      <c r="O282" s="181"/>
      <c r="P282" s="186"/>
      <c r="Q282" s="187"/>
    </row>
    <row r="283" spans="1:17">
      <c r="A283" s="24" t="e">
        <f>VLOOKUP(C283,'BASE DE DADOS'!A:B,2,FALSE)</f>
        <v>#N/A</v>
      </c>
      <c r="B283" s="175"/>
      <c r="C283" s="24"/>
      <c r="D283" s="182"/>
      <c r="E283" s="183"/>
      <c r="F283" s="184"/>
      <c r="G283" s="185"/>
      <c r="H283" s="176"/>
      <c r="I283" s="176"/>
      <c r="J283" s="176"/>
      <c r="K283" s="176"/>
      <c r="L283" s="176"/>
      <c r="M283" s="176"/>
      <c r="N283" s="176"/>
      <c r="O283" s="181"/>
      <c r="P283" s="186"/>
      <c r="Q283" s="187"/>
    </row>
    <row r="284" spans="1:17">
      <c r="A284" s="24" t="e">
        <f>VLOOKUP(C284,'BASE DE DADOS'!A:B,2,FALSE)</f>
        <v>#N/A</v>
      </c>
      <c r="B284" s="175"/>
      <c r="C284" s="24"/>
      <c r="D284" s="182"/>
      <c r="E284" s="183"/>
      <c r="F284" s="184"/>
      <c r="G284" s="185"/>
      <c r="H284" s="176"/>
      <c r="I284" s="176"/>
      <c r="J284" s="176"/>
      <c r="K284" s="176"/>
      <c r="L284" s="176"/>
      <c r="M284" s="176"/>
      <c r="N284" s="176"/>
      <c r="O284" s="181"/>
      <c r="P284" s="186"/>
      <c r="Q284" s="187"/>
    </row>
    <row r="285" spans="1:17">
      <c r="A285" s="24" t="e">
        <f>VLOOKUP(C285,'BASE DE DADOS'!A:B,2,FALSE)</f>
        <v>#N/A</v>
      </c>
      <c r="B285" s="175"/>
      <c r="C285" s="24"/>
      <c r="D285" s="182"/>
      <c r="E285" s="183"/>
      <c r="F285" s="184"/>
      <c r="G285" s="185"/>
      <c r="H285" s="176"/>
      <c r="I285" s="176"/>
      <c r="J285" s="176"/>
      <c r="K285" s="176"/>
      <c r="L285" s="176"/>
      <c r="M285" s="176"/>
      <c r="N285" s="176"/>
      <c r="O285" s="181"/>
      <c r="P285" s="186"/>
      <c r="Q285" s="187"/>
    </row>
    <row r="286" spans="1:17">
      <c r="A286" s="24" t="e">
        <f>VLOOKUP(C286,'BASE DE DADOS'!A:B,2,FALSE)</f>
        <v>#N/A</v>
      </c>
      <c r="B286" s="175"/>
      <c r="C286" s="24"/>
      <c r="D286" s="182"/>
      <c r="E286" s="183"/>
      <c r="F286" s="184"/>
      <c r="G286" s="185"/>
      <c r="H286" s="176"/>
      <c r="I286" s="176"/>
      <c r="J286" s="176"/>
      <c r="K286" s="176"/>
      <c r="L286" s="176"/>
      <c r="M286" s="176"/>
      <c r="N286" s="176"/>
      <c r="O286" s="181"/>
      <c r="P286" s="186"/>
      <c r="Q286" s="187"/>
    </row>
    <row r="287" spans="1:17">
      <c r="A287" s="24" t="e">
        <f>VLOOKUP(C287,'BASE DE DADOS'!A:B,2,FALSE)</f>
        <v>#N/A</v>
      </c>
      <c r="B287" s="175"/>
      <c r="C287" s="24"/>
      <c r="D287" s="182"/>
      <c r="E287" s="183"/>
      <c r="F287" s="184"/>
      <c r="G287" s="185"/>
      <c r="H287" s="176"/>
      <c r="I287" s="176"/>
      <c r="J287" s="176"/>
      <c r="K287" s="176"/>
      <c r="L287" s="176"/>
      <c r="M287" s="176"/>
      <c r="N287" s="176"/>
      <c r="O287" s="181"/>
      <c r="P287" s="186"/>
      <c r="Q287" s="187"/>
    </row>
    <row r="288" spans="1:17">
      <c r="A288" s="24" t="e">
        <f>VLOOKUP(C288,'BASE DE DADOS'!A:B,2,FALSE)</f>
        <v>#N/A</v>
      </c>
      <c r="B288" s="175"/>
      <c r="C288" s="24"/>
      <c r="D288" s="182"/>
      <c r="E288" s="183"/>
      <c r="F288" s="184"/>
      <c r="G288" s="185"/>
      <c r="H288" s="176"/>
      <c r="I288" s="176"/>
      <c r="J288" s="176"/>
      <c r="K288" s="176"/>
      <c r="L288" s="176"/>
      <c r="M288" s="176"/>
      <c r="N288" s="176"/>
      <c r="O288" s="181"/>
      <c r="P288" s="186"/>
      <c r="Q288" s="187"/>
    </row>
    <row r="289" spans="1:17">
      <c r="A289" s="24" t="e">
        <f>VLOOKUP(C289,'BASE DE DADOS'!A:B,2,FALSE)</f>
        <v>#N/A</v>
      </c>
      <c r="B289" s="175"/>
      <c r="C289" s="24"/>
      <c r="D289" s="182"/>
      <c r="E289" s="183"/>
      <c r="F289" s="184"/>
      <c r="G289" s="185"/>
      <c r="H289" s="176"/>
      <c r="I289" s="176"/>
      <c r="J289" s="176"/>
      <c r="K289" s="176"/>
      <c r="L289" s="176"/>
      <c r="M289" s="176"/>
      <c r="N289" s="176"/>
      <c r="O289" s="181"/>
      <c r="P289" s="186"/>
      <c r="Q289" s="187"/>
    </row>
    <row r="290" spans="1:17">
      <c r="A290" s="24" t="e">
        <f>VLOOKUP(C290,'BASE DE DADOS'!A:B,2,FALSE)</f>
        <v>#N/A</v>
      </c>
      <c r="B290" s="175"/>
      <c r="C290" s="24"/>
      <c r="D290" s="182"/>
      <c r="E290" s="183"/>
      <c r="F290" s="184"/>
      <c r="G290" s="185"/>
      <c r="H290" s="176"/>
      <c r="I290" s="176"/>
      <c r="J290" s="176"/>
      <c r="K290" s="176"/>
      <c r="L290" s="176"/>
      <c r="M290" s="176"/>
      <c r="N290" s="176"/>
      <c r="O290" s="181"/>
      <c r="P290" s="186"/>
      <c r="Q290" s="187"/>
    </row>
    <row r="291" spans="1:17">
      <c r="A291" s="24" t="e">
        <f>VLOOKUP(C291,'BASE DE DADOS'!A:B,2,FALSE)</f>
        <v>#N/A</v>
      </c>
      <c r="B291" s="175"/>
      <c r="C291" s="24"/>
      <c r="D291" s="182"/>
      <c r="E291" s="183"/>
      <c r="F291" s="184"/>
      <c r="G291" s="185"/>
      <c r="H291" s="176"/>
      <c r="I291" s="176"/>
      <c r="J291" s="176"/>
      <c r="K291" s="176"/>
      <c r="L291" s="176"/>
      <c r="M291" s="176"/>
      <c r="N291" s="176"/>
      <c r="O291" s="181"/>
      <c r="P291" s="186"/>
      <c r="Q291" s="187"/>
    </row>
    <row r="292" spans="1:17">
      <c r="A292" s="24" t="e">
        <f>VLOOKUP(C292,'BASE DE DADOS'!A:B,2,FALSE)</f>
        <v>#N/A</v>
      </c>
      <c r="B292" s="175"/>
      <c r="C292" s="24"/>
      <c r="D292" s="182"/>
      <c r="E292" s="183"/>
      <c r="F292" s="184"/>
      <c r="G292" s="185"/>
      <c r="H292" s="176"/>
      <c r="I292" s="176"/>
      <c r="J292" s="176"/>
      <c r="K292" s="176"/>
      <c r="L292" s="176"/>
      <c r="M292" s="176"/>
      <c r="N292" s="176"/>
      <c r="O292" s="181"/>
      <c r="P292" s="186"/>
      <c r="Q292" s="187"/>
    </row>
    <row r="293" spans="1:17">
      <c r="A293" s="24" t="e">
        <f>VLOOKUP(C293,'BASE DE DADOS'!A:B,2,FALSE)</f>
        <v>#N/A</v>
      </c>
      <c r="B293" s="175"/>
      <c r="C293" s="24"/>
      <c r="D293" s="182"/>
      <c r="E293" s="183"/>
      <c r="F293" s="184"/>
      <c r="G293" s="185"/>
      <c r="H293" s="176"/>
      <c r="I293" s="176"/>
      <c r="J293" s="176"/>
      <c r="K293" s="176"/>
      <c r="L293" s="176"/>
      <c r="M293" s="176"/>
      <c r="N293" s="176"/>
      <c r="O293" s="181"/>
      <c r="P293" s="186"/>
      <c r="Q293" s="187"/>
    </row>
    <row r="294" spans="1:17">
      <c r="A294" s="24" t="e">
        <f>VLOOKUP(C294,'BASE DE DADOS'!A:B,2,FALSE)</f>
        <v>#N/A</v>
      </c>
      <c r="B294" s="175"/>
      <c r="C294" s="24"/>
      <c r="D294" s="182"/>
      <c r="E294" s="183"/>
      <c r="F294" s="184"/>
      <c r="G294" s="185"/>
      <c r="H294" s="176"/>
      <c r="I294" s="176"/>
      <c r="J294" s="176"/>
      <c r="K294" s="176"/>
      <c r="L294" s="176"/>
      <c r="M294" s="176"/>
      <c r="N294" s="176"/>
      <c r="O294" s="181"/>
      <c r="P294" s="186"/>
      <c r="Q294" s="187"/>
    </row>
    <row r="295" spans="1:17">
      <c r="A295" s="24" t="e">
        <f>VLOOKUP(C295,'BASE DE DADOS'!A:B,2,FALSE)</f>
        <v>#N/A</v>
      </c>
      <c r="B295" s="175"/>
      <c r="C295" s="24"/>
      <c r="D295" s="182"/>
      <c r="E295" s="183"/>
      <c r="F295" s="184"/>
      <c r="G295" s="185"/>
      <c r="H295" s="176"/>
      <c r="I295" s="176"/>
      <c r="J295" s="176"/>
      <c r="K295" s="176"/>
      <c r="L295" s="176"/>
      <c r="M295" s="176"/>
      <c r="N295" s="176"/>
      <c r="O295" s="181"/>
      <c r="P295" s="186"/>
      <c r="Q295" s="187"/>
    </row>
  </sheetData>
  <autoFilter ref="A1:Q259" xr:uid="{00000000-0009-0000-0000-000009000000}"/>
  <sortState xmlns:xlrd2="http://schemas.microsoft.com/office/spreadsheetml/2017/richdata2" ref="A2:O116">
    <sortCondition ref="C2:C116"/>
  </sortState>
  <phoneticPr fontId="39" type="noConversion"/>
  <pageMargins left="0.31496062992125984" right="0.31496062992125984" top="0.74803149606299213" bottom="0.74803149606299213" header="0.31496062992125984" footer="0.31496062992125984"/>
  <pageSetup paperSize="9" scale="60" orientation="landscape" r:id="rId1"/>
  <headerFooter>
    <oddFooter>&amp;CPágina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224A-03CD-42AC-AF62-7E32EE6085DA}">
  <dimension ref="A1:A8"/>
  <sheetViews>
    <sheetView workbookViewId="0">
      <selection activeCell="H12" sqref="H12"/>
    </sheetView>
  </sheetViews>
  <sheetFormatPr defaultRowHeight="15"/>
  <cols>
    <col min="1" max="1" width="40.140625" customWidth="1"/>
  </cols>
  <sheetData>
    <row r="1" spans="1:1" ht="20.100000000000001" customHeight="1">
      <c r="A1" s="89" t="s">
        <v>2165</v>
      </c>
    </row>
    <row r="2" spans="1:1" ht="20.100000000000001" customHeight="1">
      <c r="A2" s="90" t="s">
        <v>2983</v>
      </c>
    </row>
    <row r="3" spans="1:1" ht="20.100000000000001" customHeight="1">
      <c r="A3" s="91" t="s">
        <v>2754</v>
      </c>
    </row>
    <row r="4" spans="1:1" ht="20.100000000000001" customHeight="1">
      <c r="A4" s="96" t="s">
        <v>2996</v>
      </c>
    </row>
    <row r="5" spans="1:1" ht="20.100000000000001" customHeight="1">
      <c r="A5" s="92" t="s">
        <v>2951</v>
      </c>
    </row>
    <row r="6" spans="1:1" ht="20.100000000000001" customHeight="1">
      <c r="A6" s="93" t="s">
        <v>2972</v>
      </c>
    </row>
    <row r="7" spans="1:1" ht="20.100000000000001" customHeight="1">
      <c r="A7" s="94" t="s">
        <v>2980</v>
      </c>
    </row>
    <row r="8" spans="1:1" ht="20.100000000000001" customHeight="1">
      <c r="A8" s="117" t="s">
        <v>2998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25D5-DBC7-4224-8FE2-AA76A93A3355}">
  <dimension ref="A1:B2739"/>
  <sheetViews>
    <sheetView workbookViewId="0">
      <selection activeCell="F26" sqref="F26"/>
    </sheetView>
  </sheetViews>
  <sheetFormatPr defaultRowHeight="15"/>
  <cols>
    <col min="1" max="1" width="68.7109375" bestFit="1" customWidth="1"/>
    <col min="2" max="2" width="25.7109375" bestFit="1" customWidth="1"/>
  </cols>
  <sheetData>
    <row r="1" spans="1:2">
      <c r="A1" s="130" t="s">
        <v>3003</v>
      </c>
      <c r="B1" s="130" t="s">
        <v>3004</v>
      </c>
    </row>
    <row r="2" spans="1:2">
      <c r="A2" s="129" t="s">
        <v>1803</v>
      </c>
      <c r="B2" s="129" t="s">
        <v>2159</v>
      </c>
    </row>
    <row r="3" spans="1:2">
      <c r="A3" s="129" t="s">
        <v>256</v>
      </c>
      <c r="B3" s="129" t="s">
        <v>3005</v>
      </c>
    </row>
    <row r="4" spans="1:2">
      <c r="A4" s="129" t="s">
        <v>341</v>
      </c>
      <c r="B4" s="129" t="s">
        <v>3005</v>
      </c>
    </row>
    <row r="5" spans="1:2">
      <c r="A5" s="129" t="s">
        <v>483</v>
      </c>
      <c r="B5" s="129" t="s">
        <v>2153</v>
      </c>
    </row>
    <row r="6" spans="1:2">
      <c r="A6" s="129" t="s">
        <v>483</v>
      </c>
      <c r="B6" s="129" t="s">
        <v>3005</v>
      </c>
    </row>
    <row r="7" spans="1:2">
      <c r="A7" s="129" t="s">
        <v>489</v>
      </c>
      <c r="B7" s="129" t="s">
        <v>3005</v>
      </c>
    </row>
    <row r="8" spans="1:2">
      <c r="A8" s="129" t="s">
        <v>1280</v>
      </c>
      <c r="B8" s="129" t="s">
        <v>2410</v>
      </c>
    </row>
    <row r="9" spans="1:2">
      <c r="A9" s="129" t="s">
        <v>482</v>
      </c>
      <c r="B9" s="129" t="s">
        <v>3005</v>
      </c>
    </row>
    <row r="10" spans="1:2">
      <c r="A10" s="129" t="s">
        <v>2177</v>
      </c>
      <c r="B10" s="129" t="s">
        <v>2159</v>
      </c>
    </row>
    <row r="11" spans="1:2">
      <c r="A11" s="129" t="s">
        <v>2002</v>
      </c>
      <c r="B11" s="129" t="s">
        <v>2159</v>
      </c>
    </row>
    <row r="12" spans="1:2">
      <c r="A12" s="129" t="s">
        <v>444</v>
      </c>
      <c r="B12" s="129" t="s">
        <v>3005</v>
      </c>
    </row>
    <row r="13" spans="1:2">
      <c r="A13" s="129" t="s">
        <v>2373</v>
      </c>
      <c r="B13" s="129" t="s">
        <v>3005</v>
      </c>
    </row>
    <row r="14" spans="1:2">
      <c r="A14" s="129" t="s">
        <v>2373</v>
      </c>
      <c r="B14" s="129" t="s">
        <v>2153</v>
      </c>
    </row>
    <row r="15" spans="1:2">
      <c r="A15" s="129" t="s">
        <v>1531</v>
      </c>
      <c r="B15" s="129" t="s">
        <v>2159</v>
      </c>
    </row>
    <row r="16" spans="1:2">
      <c r="A16" s="129" t="s">
        <v>1531</v>
      </c>
      <c r="B16" s="129" t="s">
        <v>2410</v>
      </c>
    </row>
    <row r="17" spans="1:2">
      <c r="A17" s="129" t="s">
        <v>1107</v>
      </c>
      <c r="B17" s="129" t="s">
        <v>2153</v>
      </c>
    </row>
    <row r="18" spans="1:2">
      <c r="A18" s="129" t="s">
        <v>1107</v>
      </c>
      <c r="B18" s="129" t="s">
        <v>3005</v>
      </c>
    </row>
    <row r="19" spans="1:2">
      <c r="A19" s="129" t="s">
        <v>235</v>
      </c>
      <c r="B19" s="129" t="s">
        <v>3005</v>
      </c>
    </row>
    <row r="20" spans="1:2">
      <c r="A20" s="129" t="s">
        <v>224</v>
      </c>
      <c r="B20" s="129" t="s">
        <v>3005</v>
      </c>
    </row>
    <row r="21" spans="1:2">
      <c r="A21" s="129" t="s">
        <v>2411</v>
      </c>
      <c r="B21" s="129" t="s">
        <v>2159</v>
      </c>
    </row>
    <row r="22" spans="1:2">
      <c r="A22" s="129" t="s">
        <v>1974</v>
      </c>
      <c r="B22" s="129" t="s">
        <v>3005</v>
      </c>
    </row>
    <row r="23" spans="1:2">
      <c r="A23" s="129" t="s">
        <v>1974</v>
      </c>
      <c r="B23" s="129" t="s">
        <v>2153</v>
      </c>
    </row>
    <row r="24" spans="1:2">
      <c r="A24" s="129" t="s">
        <v>212</v>
      </c>
      <c r="B24" s="129" t="s">
        <v>3005</v>
      </c>
    </row>
    <row r="25" spans="1:2">
      <c r="A25" s="129" t="s">
        <v>212</v>
      </c>
      <c r="B25" s="129" t="s">
        <v>2153</v>
      </c>
    </row>
    <row r="26" spans="1:2">
      <c r="A26" s="129" t="s">
        <v>2323</v>
      </c>
      <c r="B26" s="129" t="s">
        <v>3005</v>
      </c>
    </row>
    <row r="27" spans="1:2">
      <c r="A27" s="129" t="s">
        <v>2323</v>
      </c>
      <c r="B27" s="129" t="s">
        <v>2153</v>
      </c>
    </row>
    <row r="28" spans="1:2">
      <c r="A28" s="129" t="s">
        <v>1549</v>
      </c>
      <c r="B28" s="129" t="s">
        <v>2410</v>
      </c>
    </row>
    <row r="29" spans="1:2">
      <c r="A29" s="129" t="s">
        <v>1277</v>
      </c>
      <c r="B29" s="129" t="s">
        <v>2410</v>
      </c>
    </row>
    <row r="30" spans="1:2">
      <c r="A30" s="129" t="s">
        <v>802</v>
      </c>
      <c r="B30" s="129" t="s">
        <v>3005</v>
      </c>
    </row>
    <row r="31" spans="1:2">
      <c r="A31" s="129" t="s">
        <v>3006</v>
      </c>
      <c r="B31" s="129" t="s">
        <v>2153</v>
      </c>
    </row>
    <row r="32" spans="1:2">
      <c r="A32" s="129" t="s">
        <v>595</v>
      </c>
      <c r="B32" s="129" t="s">
        <v>3005</v>
      </c>
    </row>
    <row r="33" spans="1:2">
      <c r="A33" s="129" t="s">
        <v>125</v>
      </c>
      <c r="B33" s="129" t="s">
        <v>2153</v>
      </c>
    </row>
    <row r="34" spans="1:2">
      <c r="A34" s="129" t="s">
        <v>125</v>
      </c>
      <c r="B34" s="129" t="s">
        <v>3007</v>
      </c>
    </row>
    <row r="35" spans="1:2">
      <c r="A35" s="129" t="s">
        <v>2095</v>
      </c>
      <c r="B35" s="129" t="s">
        <v>3008</v>
      </c>
    </row>
    <row r="36" spans="1:2">
      <c r="A36" s="129" t="s">
        <v>943</v>
      </c>
      <c r="B36" s="129" t="s">
        <v>3005</v>
      </c>
    </row>
    <row r="37" spans="1:2">
      <c r="A37" s="129" t="s">
        <v>1917</v>
      </c>
      <c r="B37" s="129" t="s">
        <v>2417</v>
      </c>
    </row>
    <row r="38" spans="1:2">
      <c r="A38" s="129" t="s">
        <v>1231</v>
      </c>
      <c r="B38" s="129" t="s">
        <v>2410</v>
      </c>
    </row>
    <row r="39" spans="1:2">
      <c r="A39" s="129" t="s">
        <v>1231</v>
      </c>
      <c r="B39" s="129" t="s">
        <v>2159</v>
      </c>
    </row>
    <row r="40" spans="1:2">
      <c r="A40" s="129" t="s">
        <v>1976</v>
      </c>
      <c r="B40" s="129" t="s">
        <v>2410</v>
      </c>
    </row>
    <row r="41" spans="1:2">
      <c r="A41" s="129" t="s">
        <v>625</v>
      </c>
      <c r="B41" s="129" t="s">
        <v>2153</v>
      </c>
    </row>
    <row r="42" spans="1:2">
      <c r="A42" s="129" t="s">
        <v>625</v>
      </c>
      <c r="B42" s="129" t="s">
        <v>3005</v>
      </c>
    </row>
    <row r="43" spans="1:2">
      <c r="A43" s="129" t="s">
        <v>3009</v>
      </c>
      <c r="B43" s="129" t="s">
        <v>3007</v>
      </c>
    </row>
    <row r="44" spans="1:2">
      <c r="A44" s="129" t="s">
        <v>3009</v>
      </c>
      <c r="B44" s="129" t="s">
        <v>2155</v>
      </c>
    </row>
    <row r="45" spans="1:2">
      <c r="A45" s="129" t="s">
        <v>1093</v>
      </c>
      <c r="B45" s="129" t="s">
        <v>2410</v>
      </c>
    </row>
    <row r="46" spans="1:2">
      <c r="A46" s="129" t="s">
        <v>1775</v>
      </c>
      <c r="B46" s="129" t="s">
        <v>2417</v>
      </c>
    </row>
    <row r="47" spans="1:2">
      <c r="A47" s="129" t="s">
        <v>1365</v>
      </c>
      <c r="B47" s="129" t="s">
        <v>2159</v>
      </c>
    </row>
    <row r="48" spans="1:2">
      <c r="A48" s="129" t="s">
        <v>3010</v>
      </c>
      <c r="B48" s="129" t="s">
        <v>2159</v>
      </c>
    </row>
    <row r="49" spans="1:2">
      <c r="A49" s="129" t="s">
        <v>70</v>
      </c>
      <c r="B49" s="129" t="s">
        <v>3007</v>
      </c>
    </row>
    <row r="50" spans="1:2">
      <c r="A50" s="129" t="s">
        <v>1919</v>
      </c>
      <c r="B50" s="129" t="s">
        <v>2153</v>
      </c>
    </row>
    <row r="51" spans="1:2">
      <c r="A51" s="129" t="s">
        <v>3011</v>
      </c>
      <c r="B51" s="129" t="s">
        <v>2153</v>
      </c>
    </row>
    <row r="52" spans="1:2">
      <c r="A52" s="129" t="s">
        <v>3011</v>
      </c>
      <c r="B52" s="129" t="s">
        <v>3005</v>
      </c>
    </row>
    <row r="53" spans="1:2">
      <c r="A53" s="129" t="s">
        <v>1005</v>
      </c>
      <c r="B53" s="129" t="s">
        <v>2410</v>
      </c>
    </row>
    <row r="54" spans="1:2">
      <c r="A54" s="129" t="s">
        <v>1044</v>
      </c>
      <c r="B54" s="129" t="s">
        <v>2410</v>
      </c>
    </row>
    <row r="55" spans="1:2">
      <c r="A55" s="129" t="s">
        <v>2446</v>
      </c>
      <c r="B55" s="129" t="s">
        <v>2159</v>
      </c>
    </row>
    <row r="56" spans="1:2">
      <c r="A56" s="129" t="s">
        <v>2446</v>
      </c>
      <c r="B56" s="129" t="s">
        <v>2410</v>
      </c>
    </row>
    <row r="57" spans="1:2">
      <c r="A57" s="129" t="s">
        <v>3012</v>
      </c>
      <c r="B57" s="129" t="s">
        <v>2155</v>
      </c>
    </row>
    <row r="58" spans="1:2">
      <c r="A58" s="129" t="s">
        <v>1189</v>
      </c>
      <c r="B58" s="129" t="s">
        <v>3005</v>
      </c>
    </row>
    <row r="59" spans="1:2">
      <c r="A59" s="129" t="s">
        <v>3013</v>
      </c>
      <c r="B59" s="129" t="s">
        <v>2153</v>
      </c>
    </row>
    <row r="60" spans="1:2">
      <c r="A60" s="129" t="s">
        <v>3013</v>
      </c>
      <c r="B60" s="129" t="s">
        <v>3005</v>
      </c>
    </row>
    <row r="61" spans="1:2">
      <c r="A61" s="129" t="s">
        <v>2498</v>
      </c>
      <c r="B61" s="129" t="s">
        <v>2155</v>
      </c>
    </row>
    <row r="62" spans="1:2">
      <c r="A62" s="129" t="s">
        <v>2498</v>
      </c>
      <c r="B62" s="129" t="s">
        <v>3007</v>
      </c>
    </row>
    <row r="63" spans="1:2">
      <c r="A63" s="129" t="s">
        <v>1800</v>
      </c>
      <c r="B63" s="129" t="s">
        <v>2159</v>
      </c>
    </row>
    <row r="64" spans="1:2">
      <c r="A64" s="129" t="s">
        <v>1606</v>
      </c>
      <c r="B64" s="129" t="s">
        <v>2159</v>
      </c>
    </row>
    <row r="65" spans="1:2">
      <c r="A65" s="129" t="s">
        <v>3014</v>
      </c>
      <c r="B65" s="129" t="s">
        <v>2410</v>
      </c>
    </row>
    <row r="66" spans="1:2">
      <c r="A66" s="129" t="s">
        <v>3014</v>
      </c>
      <c r="B66" s="129" t="s">
        <v>2159</v>
      </c>
    </row>
    <row r="67" spans="1:2">
      <c r="A67" s="129" t="s">
        <v>2228</v>
      </c>
      <c r="B67" s="129" t="s">
        <v>2159</v>
      </c>
    </row>
    <row r="68" spans="1:2">
      <c r="A68" s="129" t="s">
        <v>44</v>
      </c>
      <c r="B68" s="129" t="s">
        <v>3007</v>
      </c>
    </row>
    <row r="69" spans="1:2">
      <c r="A69" s="129" t="s">
        <v>3015</v>
      </c>
      <c r="B69" s="129" t="s">
        <v>2153</v>
      </c>
    </row>
    <row r="70" spans="1:2">
      <c r="A70" s="129" t="s">
        <v>499</v>
      </c>
      <c r="B70" s="129" t="s">
        <v>3005</v>
      </c>
    </row>
    <row r="71" spans="1:2">
      <c r="A71" s="129" t="s">
        <v>2016</v>
      </c>
      <c r="B71" s="129" t="s">
        <v>2159</v>
      </c>
    </row>
    <row r="72" spans="1:2">
      <c r="A72" s="129" t="s">
        <v>1627</v>
      </c>
      <c r="B72" s="129" t="s">
        <v>2159</v>
      </c>
    </row>
    <row r="73" spans="1:2">
      <c r="A73" s="129" t="s">
        <v>1627</v>
      </c>
      <c r="B73" s="129" t="s">
        <v>2410</v>
      </c>
    </row>
    <row r="74" spans="1:2">
      <c r="A74" s="129" t="s">
        <v>12</v>
      </c>
      <c r="B74" s="129" t="s">
        <v>3005</v>
      </c>
    </row>
    <row r="75" spans="1:2">
      <c r="A75" s="129" t="s">
        <v>398</v>
      </c>
      <c r="B75" s="129" t="s">
        <v>3005</v>
      </c>
    </row>
    <row r="76" spans="1:2">
      <c r="A76" s="129" t="s">
        <v>2552</v>
      </c>
      <c r="B76" s="129" t="s">
        <v>3007</v>
      </c>
    </row>
    <row r="77" spans="1:2">
      <c r="A77" s="129" t="s">
        <v>210</v>
      </c>
      <c r="B77" s="129" t="s">
        <v>3005</v>
      </c>
    </row>
    <row r="78" spans="1:2">
      <c r="A78" s="129" t="s">
        <v>1777</v>
      </c>
      <c r="B78" s="129" t="s">
        <v>2153</v>
      </c>
    </row>
    <row r="79" spans="1:2">
      <c r="A79" s="129" t="s">
        <v>1777</v>
      </c>
      <c r="B79" s="129" t="s">
        <v>3005</v>
      </c>
    </row>
    <row r="80" spans="1:2">
      <c r="A80" s="129" t="s">
        <v>2208</v>
      </c>
      <c r="B80" s="129" t="s">
        <v>2155</v>
      </c>
    </row>
    <row r="81" spans="1:2">
      <c r="A81" s="129" t="s">
        <v>619</v>
      </c>
      <c r="B81" s="129" t="s">
        <v>3005</v>
      </c>
    </row>
    <row r="82" spans="1:2">
      <c r="A82" s="129" t="s">
        <v>2298</v>
      </c>
      <c r="B82" s="129" t="s">
        <v>2159</v>
      </c>
    </row>
    <row r="83" spans="1:2">
      <c r="A83" s="129" t="s">
        <v>2298</v>
      </c>
      <c r="B83" s="129" t="s">
        <v>2410</v>
      </c>
    </row>
    <row r="84" spans="1:2">
      <c r="A84" s="129" t="s">
        <v>1396</v>
      </c>
      <c r="B84" s="129" t="s">
        <v>2410</v>
      </c>
    </row>
    <row r="85" spans="1:2">
      <c r="A85" s="129" t="s">
        <v>1396</v>
      </c>
      <c r="B85" s="129" t="s">
        <v>2159</v>
      </c>
    </row>
    <row r="86" spans="1:2">
      <c r="A86" s="129" t="s">
        <v>2304</v>
      </c>
      <c r="B86" s="129" t="s">
        <v>2159</v>
      </c>
    </row>
    <row r="87" spans="1:2">
      <c r="A87" s="129" t="s">
        <v>2304</v>
      </c>
      <c r="B87" s="129" t="s">
        <v>2410</v>
      </c>
    </row>
    <row r="88" spans="1:2">
      <c r="A88" s="129" t="s">
        <v>2240</v>
      </c>
      <c r="B88" s="129" t="s">
        <v>3007</v>
      </c>
    </row>
    <row r="89" spans="1:2">
      <c r="A89" s="129" t="s">
        <v>3016</v>
      </c>
      <c r="B89" s="129" t="s">
        <v>2410</v>
      </c>
    </row>
    <row r="90" spans="1:2">
      <c r="A90" s="129" t="s">
        <v>3016</v>
      </c>
      <c r="B90" s="129" t="s">
        <v>2159</v>
      </c>
    </row>
    <row r="91" spans="1:2">
      <c r="A91" s="129" t="s">
        <v>2183</v>
      </c>
      <c r="B91" s="129" t="s">
        <v>3008</v>
      </c>
    </row>
    <row r="92" spans="1:2">
      <c r="A92" s="129" t="s">
        <v>3017</v>
      </c>
      <c r="B92" s="129" t="s">
        <v>2155</v>
      </c>
    </row>
    <row r="93" spans="1:2">
      <c r="A93" s="129" t="s">
        <v>2227</v>
      </c>
      <c r="B93" s="129" t="s">
        <v>2159</v>
      </c>
    </row>
    <row r="94" spans="1:2">
      <c r="A94" s="129" t="s">
        <v>563</v>
      </c>
      <c r="B94" s="129" t="s">
        <v>3005</v>
      </c>
    </row>
    <row r="95" spans="1:2">
      <c r="A95" s="129" t="s">
        <v>2544</v>
      </c>
      <c r="B95" s="129" t="s">
        <v>2159</v>
      </c>
    </row>
    <row r="96" spans="1:2">
      <c r="A96" s="129" t="s">
        <v>1677</v>
      </c>
      <c r="B96" s="129" t="s">
        <v>2410</v>
      </c>
    </row>
    <row r="97" spans="1:2">
      <c r="A97" s="129" t="s">
        <v>1253</v>
      </c>
      <c r="B97" s="129" t="s">
        <v>2159</v>
      </c>
    </row>
    <row r="98" spans="1:2">
      <c r="A98" s="129" t="s">
        <v>1253</v>
      </c>
      <c r="B98" s="129" t="s">
        <v>2410</v>
      </c>
    </row>
    <row r="99" spans="1:2">
      <c r="A99" s="129" t="s">
        <v>3018</v>
      </c>
      <c r="B99" s="129" t="s">
        <v>2159</v>
      </c>
    </row>
    <row r="100" spans="1:2">
      <c r="A100" s="129" t="s">
        <v>292</v>
      </c>
      <c r="B100" s="129" t="s">
        <v>3005</v>
      </c>
    </row>
    <row r="101" spans="1:2">
      <c r="A101" s="129" t="s">
        <v>3019</v>
      </c>
      <c r="B101" s="129" t="s">
        <v>2155</v>
      </c>
    </row>
    <row r="102" spans="1:2">
      <c r="A102" s="129" t="s">
        <v>715</v>
      </c>
      <c r="B102" s="129" t="s">
        <v>3005</v>
      </c>
    </row>
    <row r="103" spans="1:2">
      <c r="A103" s="129" t="s">
        <v>14</v>
      </c>
      <c r="B103" s="129" t="s">
        <v>3007</v>
      </c>
    </row>
    <row r="104" spans="1:2">
      <c r="A104" s="129" t="s">
        <v>14</v>
      </c>
      <c r="B104" s="129" t="s">
        <v>3005</v>
      </c>
    </row>
    <row r="105" spans="1:2">
      <c r="A105" s="129" t="s">
        <v>998</v>
      </c>
      <c r="B105" s="129" t="s">
        <v>3005</v>
      </c>
    </row>
    <row r="106" spans="1:2">
      <c r="A106" s="129" t="s">
        <v>15</v>
      </c>
      <c r="B106" s="129" t="s">
        <v>3007</v>
      </c>
    </row>
    <row r="107" spans="1:2">
      <c r="A107" s="129" t="s">
        <v>15</v>
      </c>
      <c r="B107" s="129" t="s">
        <v>2155</v>
      </c>
    </row>
    <row r="108" spans="1:2">
      <c r="A108" s="129" t="s">
        <v>1135</v>
      </c>
      <c r="B108" s="129" t="s">
        <v>3005</v>
      </c>
    </row>
    <row r="109" spans="1:2">
      <c r="A109" s="129" t="s">
        <v>3020</v>
      </c>
      <c r="B109" s="129" t="s">
        <v>3007</v>
      </c>
    </row>
    <row r="110" spans="1:2">
      <c r="A110" s="129" t="s">
        <v>3020</v>
      </c>
      <c r="B110" s="129" t="s">
        <v>2155</v>
      </c>
    </row>
    <row r="111" spans="1:2">
      <c r="A111" s="129" t="s">
        <v>2396</v>
      </c>
      <c r="B111" s="129" t="s">
        <v>2155</v>
      </c>
    </row>
    <row r="112" spans="1:2">
      <c r="A112" s="129" t="s">
        <v>3021</v>
      </c>
      <c r="B112" s="129" t="s">
        <v>3007</v>
      </c>
    </row>
    <row r="113" spans="1:2">
      <c r="A113" s="129" t="s">
        <v>3022</v>
      </c>
      <c r="B113" s="129" t="s">
        <v>2155</v>
      </c>
    </row>
    <row r="114" spans="1:2">
      <c r="A114" s="129" t="s">
        <v>3022</v>
      </c>
      <c r="B114" s="129" t="s">
        <v>3007</v>
      </c>
    </row>
    <row r="115" spans="1:2">
      <c r="A115" s="129" t="s">
        <v>2580</v>
      </c>
      <c r="B115" s="129" t="s">
        <v>2155</v>
      </c>
    </row>
    <row r="116" spans="1:2">
      <c r="A116" s="129" t="s">
        <v>2580</v>
      </c>
      <c r="B116" s="129" t="s">
        <v>3007</v>
      </c>
    </row>
    <row r="117" spans="1:2">
      <c r="A117" s="129" t="s">
        <v>2211</v>
      </c>
      <c r="B117" s="129" t="s">
        <v>3005</v>
      </c>
    </row>
    <row r="118" spans="1:2">
      <c r="A118" s="129" t="s">
        <v>2266</v>
      </c>
      <c r="B118" s="129" t="s">
        <v>3005</v>
      </c>
    </row>
    <row r="119" spans="1:2">
      <c r="A119" s="129" t="s">
        <v>2266</v>
      </c>
      <c r="B119" s="129" t="s">
        <v>2153</v>
      </c>
    </row>
    <row r="120" spans="1:2">
      <c r="A120" s="129" t="s">
        <v>401</v>
      </c>
      <c r="B120" s="129" t="s">
        <v>3005</v>
      </c>
    </row>
    <row r="121" spans="1:2">
      <c r="A121" s="129" t="s">
        <v>401</v>
      </c>
      <c r="B121" s="129" t="s">
        <v>2153</v>
      </c>
    </row>
    <row r="122" spans="1:2">
      <c r="A122" s="129" t="s">
        <v>2582</v>
      </c>
      <c r="B122" s="129" t="s">
        <v>2155</v>
      </c>
    </row>
    <row r="123" spans="1:2">
      <c r="A123" s="129" t="s">
        <v>431</v>
      </c>
      <c r="B123" s="129" t="s">
        <v>2153</v>
      </c>
    </row>
    <row r="124" spans="1:2">
      <c r="A124" s="129" t="s">
        <v>431</v>
      </c>
      <c r="B124" s="129" t="s">
        <v>3005</v>
      </c>
    </row>
    <row r="125" spans="1:2">
      <c r="A125" s="129" t="s">
        <v>200</v>
      </c>
      <c r="B125" s="129" t="s">
        <v>2153</v>
      </c>
    </row>
    <row r="126" spans="1:2">
      <c r="A126" s="129" t="s">
        <v>200</v>
      </c>
      <c r="B126" s="129" t="s">
        <v>3005</v>
      </c>
    </row>
    <row r="127" spans="1:2">
      <c r="A127" s="129" t="s">
        <v>368</v>
      </c>
      <c r="B127" s="129" t="s">
        <v>2153</v>
      </c>
    </row>
    <row r="128" spans="1:2">
      <c r="A128" s="129" t="s">
        <v>368</v>
      </c>
      <c r="B128" s="129" t="s">
        <v>3005</v>
      </c>
    </row>
    <row r="129" spans="1:2">
      <c r="A129" s="129" t="s">
        <v>3023</v>
      </c>
      <c r="B129" s="129" t="s">
        <v>2155</v>
      </c>
    </row>
    <row r="130" spans="1:2">
      <c r="A130" s="129" t="s">
        <v>2547</v>
      </c>
      <c r="B130" s="129" t="s">
        <v>2153</v>
      </c>
    </row>
    <row r="131" spans="1:2">
      <c r="A131" s="129" t="s">
        <v>1398</v>
      </c>
      <c r="B131" s="129" t="s">
        <v>2410</v>
      </c>
    </row>
    <row r="132" spans="1:2">
      <c r="A132" s="129" t="s">
        <v>1398</v>
      </c>
      <c r="B132" s="129" t="s">
        <v>2159</v>
      </c>
    </row>
    <row r="133" spans="1:2">
      <c r="A133" s="129" t="s">
        <v>1918</v>
      </c>
      <c r="B133" s="129" t="s">
        <v>2153</v>
      </c>
    </row>
    <row r="134" spans="1:2">
      <c r="A134" s="129" t="s">
        <v>460</v>
      </c>
      <c r="B134" s="129" t="s">
        <v>3005</v>
      </c>
    </row>
    <row r="135" spans="1:2">
      <c r="A135" s="129" t="s">
        <v>3024</v>
      </c>
      <c r="B135" s="129" t="s">
        <v>2155</v>
      </c>
    </row>
    <row r="136" spans="1:2">
      <c r="A136" s="129" t="s">
        <v>2556</v>
      </c>
      <c r="B136" s="129" t="s">
        <v>2159</v>
      </c>
    </row>
    <row r="137" spans="1:2">
      <c r="A137" s="129" t="s">
        <v>1052</v>
      </c>
      <c r="B137" s="129" t="s">
        <v>2410</v>
      </c>
    </row>
    <row r="138" spans="1:2">
      <c r="A138" s="129" t="s">
        <v>3025</v>
      </c>
      <c r="B138" s="129" t="s">
        <v>2157</v>
      </c>
    </row>
    <row r="139" spans="1:2">
      <c r="A139" s="129" t="s">
        <v>3025</v>
      </c>
      <c r="B139" s="129" t="s">
        <v>3005</v>
      </c>
    </row>
    <row r="140" spans="1:2">
      <c r="A140" s="129" t="s">
        <v>3025</v>
      </c>
      <c r="B140" s="129" t="s">
        <v>2153</v>
      </c>
    </row>
    <row r="141" spans="1:2">
      <c r="A141" s="129" t="s">
        <v>1011</v>
      </c>
      <c r="B141" s="129" t="s">
        <v>2410</v>
      </c>
    </row>
    <row r="142" spans="1:2">
      <c r="A142" s="129" t="s">
        <v>983</v>
      </c>
      <c r="B142" s="129" t="s">
        <v>2410</v>
      </c>
    </row>
    <row r="143" spans="1:2">
      <c r="A143" s="129" t="s">
        <v>1212</v>
      </c>
      <c r="B143" s="129" t="s">
        <v>3005</v>
      </c>
    </row>
    <row r="144" spans="1:2">
      <c r="A144" s="129" t="s">
        <v>1446</v>
      </c>
      <c r="B144" s="129" t="s">
        <v>2159</v>
      </c>
    </row>
    <row r="145" spans="1:2">
      <c r="A145" s="129" t="s">
        <v>896</v>
      </c>
      <c r="B145" s="129" t="s">
        <v>3007</v>
      </c>
    </row>
    <row r="146" spans="1:2">
      <c r="A146" s="129" t="s">
        <v>3026</v>
      </c>
      <c r="B146" s="129" t="s">
        <v>2155</v>
      </c>
    </row>
    <row r="147" spans="1:2">
      <c r="A147" s="129" t="s">
        <v>3027</v>
      </c>
      <c r="B147" s="129" t="s">
        <v>2410</v>
      </c>
    </row>
    <row r="148" spans="1:2">
      <c r="A148" s="129" t="s">
        <v>3027</v>
      </c>
      <c r="B148" s="129" t="s">
        <v>2159</v>
      </c>
    </row>
    <row r="149" spans="1:2">
      <c r="A149" s="129" t="s">
        <v>1301</v>
      </c>
      <c r="B149" s="129" t="s">
        <v>2159</v>
      </c>
    </row>
    <row r="150" spans="1:2">
      <c r="A150" s="129" t="s">
        <v>1301</v>
      </c>
      <c r="B150" s="129" t="s">
        <v>2410</v>
      </c>
    </row>
    <row r="151" spans="1:2">
      <c r="A151" s="129" t="s">
        <v>3028</v>
      </c>
      <c r="B151" s="129" t="s">
        <v>2155</v>
      </c>
    </row>
    <row r="152" spans="1:2">
      <c r="A152" s="129" t="s">
        <v>3028</v>
      </c>
      <c r="B152" s="129" t="s">
        <v>3007</v>
      </c>
    </row>
    <row r="153" spans="1:2">
      <c r="A153" s="129" t="s">
        <v>1571</v>
      </c>
      <c r="B153" s="129" t="s">
        <v>2410</v>
      </c>
    </row>
    <row r="154" spans="1:2">
      <c r="A154" s="129" t="s">
        <v>3029</v>
      </c>
      <c r="B154" s="129" t="s">
        <v>2155</v>
      </c>
    </row>
    <row r="155" spans="1:2">
      <c r="A155" s="129" t="s">
        <v>126</v>
      </c>
      <c r="B155" s="129" t="s">
        <v>3007</v>
      </c>
    </row>
    <row r="156" spans="1:2">
      <c r="A156" s="129" t="s">
        <v>126</v>
      </c>
      <c r="B156" s="129" t="s">
        <v>2155</v>
      </c>
    </row>
    <row r="157" spans="1:2">
      <c r="A157" s="129" t="s">
        <v>3030</v>
      </c>
      <c r="B157" s="129" t="s">
        <v>2155</v>
      </c>
    </row>
    <row r="158" spans="1:2">
      <c r="A158" s="129" t="s">
        <v>3031</v>
      </c>
      <c r="B158" s="129" t="s">
        <v>2159</v>
      </c>
    </row>
    <row r="159" spans="1:2">
      <c r="A159" s="129" t="s">
        <v>3031</v>
      </c>
      <c r="B159" s="129" t="s">
        <v>2410</v>
      </c>
    </row>
    <row r="160" spans="1:2">
      <c r="A160" s="129" t="s">
        <v>18</v>
      </c>
      <c r="B160" s="129" t="s">
        <v>3007</v>
      </c>
    </row>
    <row r="161" spans="1:2">
      <c r="A161" s="129" t="s">
        <v>2449</v>
      </c>
      <c r="B161" s="129" t="s">
        <v>2159</v>
      </c>
    </row>
    <row r="162" spans="1:2">
      <c r="A162" s="129" t="s">
        <v>1279</v>
      </c>
      <c r="B162" s="129" t="s">
        <v>2159</v>
      </c>
    </row>
    <row r="163" spans="1:2">
      <c r="A163" s="129" t="s">
        <v>439</v>
      </c>
      <c r="B163" s="129" t="s">
        <v>2153</v>
      </c>
    </row>
    <row r="164" spans="1:2">
      <c r="A164" s="129" t="s">
        <v>456</v>
      </c>
      <c r="B164" s="129" t="s">
        <v>3005</v>
      </c>
    </row>
    <row r="165" spans="1:2">
      <c r="A165" s="129" t="s">
        <v>705</v>
      </c>
      <c r="B165" s="129" t="s">
        <v>3005</v>
      </c>
    </row>
    <row r="166" spans="1:2">
      <c r="A166" s="129" t="s">
        <v>19</v>
      </c>
      <c r="B166" s="129" t="s">
        <v>2153</v>
      </c>
    </row>
    <row r="167" spans="1:2">
      <c r="A167" s="129" t="s">
        <v>3032</v>
      </c>
      <c r="B167" s="129" t="s">
        <v>3005</v>
      </c>
    </row>
    <row r="168" spans="1:2">
      <c r="A168" s="129" t="s">
        <v>1931</v>
      </c>
      <c r="B168" s="129" t="s">
        <v>2159</v>
      </c>
    </row>
    <row r="169" spans="1:2">
      <c r="A169" s="129" t="s">
        <v>3033</v>
      </c>
      <c r="B169" s="129" t="s">
        <v>2410</v>
      </c>
    </row>
    <row r="170" spans="1:2">
      <c r="A170" s="129" t="s">
        <v>1679</v>
      </c>
      <c r="B170" s="129" t="s">
        <v>2159</v>
      </c>
    </row>
    <row r="171" spans="1:2">
      <c r="A171" s="129" t="s">
        <v>1679</v>
      </c>
      <c r="B171" s="129" t="s">
        <v>2410</v>
      </c>
    </row>
    <row r="172" spans="1:2">
      <c r="A172" s="129" t="s">
        <v>3034</v>
      </c>
      <c r="B172" s="129" t="s">
        <v>2153</v>
      </c>
    </row>
    <row r="173" spans="1:2">
      <c r="A173" s="129" t="s">
        <v>3034</v>
      </c>
      <c r="B173" s="129" t="s">
        <v>3005</v>
      </c>
    </row>
    <row r="174" spans="1:2">
      <c r="A174" s="129" t="s">
        <v>2617</v>
      </c>
      <c r="B174" s="129" t="s">
        <v>3007</v>
      </c>
    </row>
    <row r="175" spans="1:2">
      <c r="A175" s="129" t="s">
        <v>2617</v>
      </c>
      <c r="B175" s="129" t="s">
        <v>2155</v>
      </c>
    </row>
    <row r="176" spans="1:2">
      <c r="A176" s="129" t="s">
        <v>2415</v>
      </c>
      <c r="B176" s="129" t="s">
        <v>2159</v>
      </c>
    </row>
    <row r="177" spans="1:2">
      <c r="A177" s="129" t="s">
        <v>2268</v>
      </c>
      <c r="B177" s="129" t="s">
        <v>3007</v>
      </c>
    </row>
    <row r="178" spans="1:2">
      <c r="A178" s="129" t="s">
        <v>860</v>
      </c>
      <c r="B178" s="129" t="s">
        <v>3008</v>
      </c>
    </row>
    <row r="179" spans="1:2">
      <c r="A179" s="129" t="s">
        <v>3035</v>
      </c>
      <c r="B179" s="129" t="s">
        <v>2155</v>
      </c>
    </row>
    <row r="180" spans="1:2">
      <c r="A180" s="129" t="s">
        <v>921</v>
      </c>
      <c r="B180" s="129" t="s">
        <v>3008</v>
      </c>
    </row>
    <row r="181" spans="1:2">
      <c r="A181" s="129" t="s">
        <v>1491</v>
      </c>
      <c r="B181" s="129" t="s">
        <v>2410</v>
      </c>
    </row>
    <row r="182" spans="1:2">
      <c r="A182" s="129" t="s">
        <v>1491</v>
      </c>
      <c r="B182" s="129" t="s">
        <v>2159</v>
      </c>
    </row>
    <row r="183" spans="1:2">
      <c r="A183" s="129" t="s">
        <v>703</v>
      </c>
      <c r="B183" s="129" t="s">
        <v>3005</v>
      </c>
    </row>
    <row r="184" spans="1:2">
      <c r="A184" s="129" t="s">
        <v>554</v>
      </c>
      <c r="B184" s="129" t="s">
        <v>3005</v>
      </c>
    </row>
    <row r="185" spans="1:2">
      <c r="A185" s="129" t="s">
        <v>1347</v>
      </c>
      <c r="B185" s="129" t="s">
        <v>2410</v>
      </c>
    </row>
    <row r="186" spans="1:2">
      <c r="A186" s="129" t="s">
        <v>2429</v>
      </c>
      <c r="B186" s="129" t="s">
        <v>2155</v>
      </c>
    </row>
    <row r="187" spans="1:2">
      <c r="A187" s="129" t="s">
        <v>2429</v>
      </c>
      <c r="B187" s="129" t="s">
        <v>3007</v>
      </c>
    </row>
    <row r="188" spans="1:2">
      <c r="A188" s="129" t="s">
        <v>2429</v>
      </c>
      <c r="B188" s="129" t="s">
        <v>3005</v>
      </c>
    </row>
    <row r="189" spans="1:2">
      <c r="A189" s="129" t="s">
        <v>2429</v>
      </c>
      <c r="B189" s="129" t="s">
        <v>2153</v>
      </c>
    </row>
    <row r="190" spans="1:2">
      <c r="A190" s="129" t="s">
        <v>549</v>
      </c>
      <c r="B190" s="129" t="s">
        <v>2153</v>
      </c>
    </row>
    <row r="191" spans="1:2">
      <c r="A191" s="129" t="s">
        <v>3036</v>
      </c>
      <c r="B191" s="129" t="s">
        <v>2159</v>
      </c>
    </row>
    <row r="192" spans="1:2">
      <c r="A192" s="129" t="s">
        <v>3037</v>
      </c>
      <c r="B192" s="129" t="s">
        <v>2155</v>
      </c>
    </row>
    <row r="193" spans="1:2">
      <c r="A193" s="129" t="s">
        <v>560</v>
      </c>
      <c r="B193" s="129" t="s">
        <v>3007</v>
      </c>
    </row>
    <row r="194" spans="1:2">
      <c r="A194" s="129" t="s">
        <v>21</v>
      </c>
      <c r="B194" s="129" t="s">
        <v>3007</v>
      </c>
    </row>
    <row r="195" spans="1:2">
      <c r="A195" s="129" t="s">
        <v>144</v>
      </c>
      <c r="B195" s="129" t="s">
        <v>2155</v>
      </c>
    </row>
    <row r="196" spans="1:2">
      <c r="A196" s="129" t="s">
        <v>144</v>
      </c>
      <c r="B196" s="129" t="s">
        <v>3007</v>
      </c>
    </row>
    <row r="197" spans="1:2">
      <c r="A197" s="129" t="s">
        <v>837</v>
      </c>
      <c r="B197" s="129" t="s">
        <v>3005</v>
      </c>
    </row>
    <row r="198" spans="1:2">
      <c r="A198" s="129" t="s">
        <v>3038</v>
      </c>
      <c r="B198" s="129" t="s">
        <v>2155</v>
      </c>
    </row>
    <row r="199" spans="1:2">
      <c r="A199" s="129" t="s">
        <v>22</v>
      </c>
      <c r="B199" s="129" t="s">
        <v>2155</v>
      </c>
    </row>
    <row r="200" spans="1:2">
      <c r="A200" s="129" t="s">
        <v>593</v>
      </c>
      <c r="B200" s="129" t="s">
        <v>3005</v>
      </c>
    </row>
    <row r="201" spans="1:2">
      <c r="A201" s="129" t="s">
        <v>3039</v>
      </c>
      <c r="B201" s="129" t="s">
        <v>2155</v>
      </c>
    </row>
    <row r="202" spans="1:2">
      <c r="A202" s="129" t="s">
        <v>579</v>
      </c>
      <c r="B202" s="129" t="s">
        <v>3005</v>
      </c>
    </row>
    <row r="203" spans="1:2">
      <c r="A203" s="129" t="s">
        <v>2060</v>
      </c>
      <c r="B203" s="129" t="s">
        <v>3008</v>
      </c>
    </row>
    <row r="204" spans="1:2">
      <c r="A204" s="129" t="s">
        <v>1706</v>
      </c>
      <c r="B204" s="129" t="s">
        <v>2159</v>
      </c>
    </row>
    <row r="205" spans="1:2">
      <c r="A205" s="129" t="s">
        <v>343</v>
      </c>
      <c r="B205" s="129" t="s">
        <v>3005</v>
      </c>
    </row>
    <row r="206" spans="1:2">
      <c r="A206" s="129" t="s">
        <v>2409</v>
      </c>
      <c r="B206" s="129" t="s">
        <v>2159</v>
      </c>
    </row>
    <row r="207" spans="1:2">
      <c r="A207" s="129" t="s">
        <v>1243</v>
      </c>
      <c r="B207" s="129" t="s">
        <v>2159</v>
      </c>
    </row>
    <row r="208" spans="1:2">
      <c r="A208" s="129" t="s">
        <v>1349</v>
      </c>
      <c r="B208" s="129" t="s">
        <v>2417</v>
      </c>
    </row>
    <row r="209" spans="1:2">
      <c r="A209" s="129" t="s">
        <v>881</v>
      </c>
      <c r="B209" s="129" t="s">
        <v>3005</v>
      </c>
    </row>
    <row r="210" spans="1:2">
      <c r="A210" s="129" t="s">
        <v>719</v>
      </c>
      <c r="B210" s="129" t="s">
        <v>3005</v>
      </c>
    </row>
    <row r="211" spans="1:2">
      <c r="A211" s="129" t="s">
        <v>2310</v>
      </c>
      <c r="B211" s="129" t="s">
        <v>2159</v>
      </c>
    </row>
    <row r="212" spans="1:2">
      <c r="A212" s="129" t="s">
        <v>2310</v>
      </c>
      <c r="B212" s="129" t="s">
        <v>2410</v>
      </c>
    </row>
    <row r="213" spans="1:2">
      <c r="A213" s="129" t="s">
        <v>3040</v>
      </c>
      <c r="B213" s="129" t="s">
        <v>2159</v>
      </c>
    </row>
    <row r="214" spans="1:2">
      <c r="A214" s="129" t="s">
        <v>3041</v>
      </c>
      <c r="B214" s="129" t="s">
        <v>2159</v>
      </c>
    </row>
    <row r="215" spans="1:2">
      <c r="A215" s="129" t="s">
        <v>3042</v>
      </c>
      <c r="B215" s="129" t="s">
        <v>2155</v>
      </c>
    </row>
    <row r="216" spans="1:2">
      <c r="A216" s="129" t="s">
        <v>2223</v>
      </c>
      <c r="B216" s="129" t="s">
        <v>2159</v>
      </c>
    </row>
    <row r="217" spans="1:2">
      <c r="A217" s="129" t="s">
        <v>2505</v>
      </c>
      <c r="B217" s="129" t="s">
        <v>2410</v>
      </c>
    </row>
    <row r="218" spans="1:2">
      <c r="A218" s="129" t="s">
        <v>2505</v>
      </c>
      <c r="B218" s="129" t="s">
        <v>2159</v>
      </c>
    </row>
    <row r="219" spans="1:2">
      <c r="A219" s="129" t="s">
        <v>3043</v>
      </c>
      <c r="B219" s="129" t="s">
        <v>2155</v>
      </c>
    </row>
    <row r="220" spans="1:2">
      <c r="A220" s="129" t="s">
        <v>1887</v>
      </c>
      <c r="B220" s="129" t="s">
        <v>2159</v>
      </c>
    </row>
    <row r="221" spans="1:2">
      <c r="A221" s="129" t="s">
        <v>277</v>
      </c>
      <c r="B221" s="129" t="s">
        <v>3005</v>
      </c>
    </row>
    <row r="222" spans="1:2">
      <c r="A222" s="129" t="s">
        <v>1390</v>
      </c>
      <c r="B222" s="129" t="s">
        <v>2417</v>
      </c>
    </row>
    <row r="223" spans="1:2">
      <c r="A223" s="129" t="s">
        <v>1267</v>
      </c>
      <c r="B223" s="129" t="s">
        <v>2410</v>
      </c>
    </row>
    <row r="224" spans="1:2">
      <c r="A224" s="129" t="s">
        <v>1267</v>
      </c>
      <c r="B224" s="129" t="s">
        <v>2159</v>
      </c>
    </row>
    <row r="225" spans="1:2">
      <c r="A225" s="129" t="s">
        <v>899</v>
      </c>
      <c r="B225" s="129" t="s">
        <v>2153</v>
      </c>
    </row>
    <row r="226" spans="1:2">
      <c r="A226" s="129" t="s">
        <v>899</v>
      </c>
      <c r="B226" s="129" t="s">
        <v>3005</v>
      </c>
    </row>
    <row r="227" spans="1:2">
      <c r="A227" s="129" t="s">
        <v>3044</v>
      </c>
      <c r="B227" s="129" t="s">
        <v>2155</v>
      </c>
    </row>
    <row r="228" spans="1:2">
      <c r="A228" s="129" t="s">
        <v>965</v>
      </c>
      <c r="B228" s="129" t="s">
        <v>3005</v>
      </c>
    </row>
    <row r="229" spans="1:2">
      <c r="A229" s="129" t="s">
        <v>458</v>
      </c>
      <c r="B229" s="129" t="s">
        <v>3005</v>
      </c>
    </row>
    <row r="230" spans="1:2">
      <c r="A230" s="129" t="s">
        <v>458</v>
      </c>
      <c r="B230" s="129" t="s">
        <v>2153</v>
      </c>
    </row>
    <row r="231" spans="1:2">
      <c r="A231" s="129" t="s">
        <v>3045</v>
      </c>
      <c r="B231" s="129" t="s">
        <v>2153</v>
      </c>
    </row>
    <row r="232" spans="1:2">
      <c r="A232" s="129" t="s">
        <v>735</v>
      </c>
      <c r="B232" s="129" t="s">
        <v>3005</v>
      </c>
    </row>
    <row r="233" spans="1:2">
      <c r="A233" s="129" t="s">
        <v>1450</v>
      </c>
      <c r="B233" s="129" t="s">
        <v>2157</v>
      </c>
    </row>
    <row r="234" spans="1:2">
      <c r="A234" s="129" t="s">
        <v>1450</v>
      </c>
      <c r="B234" s="129" t="s">
        <v>2153</v>
      </c>
    </row>
    <row r="235" spans="1:2">
      <c r="A235" s="129" t="s">
        <v>3046</v>
      </c>
      <c r="B235" s="129" t="s">
        <v>2159</v>
      </c>
    </row>
    <row r="236" spans="1:2">
      <c r="A236" s="129" t="s">
        <v>2288</v>
      </c>
      <c r="B236" s="129" t="s">
        <v>3005</v>
      </c>
    </row>
    <row r="237" spans="1:2">
      <c r="A237" s="129" t="s">
        <v>2288</v>
      </c>
      <c r="B237" s="129" t="s">
        <v>2153</v>
      </c>
    </row>
    <row r="238" spans="1:2">
      <c r="A238" s="129" t="s">
        <v>1949</v>
      </c>
      <c r="B238" s="129" t="s">
        <v>2410</v>
      </c>
    </row>
    <row r="239" spans="1:2">
      <c r="A239" s="129" t="s">
        <v>2612</v>
      </c>
      <c r="B239" s="129" t="s">
        <v>2159</v>
      </c>
    </row>
    <row r="240" spans="1:2">
      <c r="A240" s="129" t="s">
        <v>3047</v>
      </c>
      <c r="B240" s="129" t="s">
        <v>2159</v>
      </c>
    </row>
    <row r="241" spans="1:2">
      <c r="A241" s="129" t="s">
        <v>3047</v>
      </c>
      <c r="B241" s="129" t="s">
        <v>2410</v>
      </c>
    </row>
    <row r="242" spans="1:2">
      <c r="A242" s="129" t="s">
        <v>387</v>
      </c>
      <c r="B242" s="129" t="s">
        <v>2153</v>
      </c>
    </row>
    <row r="243" spans="1:2">
      <c r="A243" s="129" t="s">
        <v>2023</v>
      </c>
      <c r="B243" s="129" t="s">
        <v>3007</v>
      </c>
    </row>
    <row r="244" spans="1:2">
      <c r="A244" s="129" t="s">
        <v>1792</v>
      </c>
      <c r="B244" s="129" t="s">
        <v>3008</v>
      </c>
    </row>
    <row r="245" spans="1:2">
      <c r="A245" s="129" t="s">
        <v>3048</v>
      </c>
      <c r="B245" s="129" t="s">
        <v>2159</v>
      </c>
    </row>
    <row r="246" spans="1:2">
      <c r="A246" s="129" t="s">
        <v>1626</v>
      </c>
      <c r="B246" s="129" t="s">
        <v>2159</v>
      </c>
    </row>
    <row r="247" spans="1:2">
      <c r="A247" s="129" t="s">
        <v>1373</v>
      </c>
      <c r="B247" s="129" t="s">
        <v>2159</v>
      </c>
    </row>
    <row r="248" spans="1:2">
      <c r="A248" s="129" t="s">
        <v>1864</v>
      </c>
      <c r="B248" s="129" t="s">
        <v>2159</v>
      </c>
    </row>
    <row r="249" spans="1:2">
      <c r="A249" s="129" t="s">
        <v>1841</v>
      </c>
      <c r="B249" s="129" t="s">
        <v>2159</v>
      </c>
    </row>
    <row r="250" spans="1:2">
      <c r="A250" s="129" t="s">
        <v>1077</v>
      </c>
      <c r="B250" s="129" t="s">
        <v>2410</v>
      </c>
    </row>
    <row r="251" spans="1:2">
      <c r="A251" s="129" t="s">
        <v>999</v>
      </c>
      <c r="B251" s="129" t="s">
        <v>2153</v>
      </c>
    </row>
    <row r="252" spans="1:2">
      <c r="A252" s="129" t="s">
        <v>1176</v>
      </c>
      <c r="B252" s="129" t="s">
        <v>2410</v>
      </c>
    </row>
    <row r="253" spans="1:2">
      <c r="A253" s="129" t="s">
        <v>597</v>
      </c>
      <c r="B253" s="129" t="s">
        <v>3005</v>
      </c>
    </row>
    <row r="254" spans="1:2">
      <c r="A254" s="129" t="s">
        <v>1915</v>
      </c>
      <c r="B254" s="129" t="s">
        <v>2158</v>
      </c>
    </row>
    <row r="255" spans="1:2">
      <c r="A255" s="129" t="s">
        <v>1915</v>
      </c>
      <c r="B255" s="129" t="s">
        <v>2417</v>
      </c>
    </row>
    <row r="256" spans="1:2">
      <c r="A256" s="129" t="s">
        <v>2339</v>
      </c>
      <c r="B256" s="129" t="s">
        <v>2155</v>
      </c>
    </row>
    <row r="257" spans="1:2">
      <c r="A257" s="129" t="s">
        <v>2339</v>
      </c>
      <c r="B257" s="129" t="s">
        <v>3007</v>
      </c>
    </row>
    <row r="258" spans="1:2">
      <c r="A258" s="129" t="s">
        <v>3049</v>
      </c>
      <c r="B258" s="129" t="s">
        <v>2155</v>
      </c>
    </row>
    <row r="259" spans="1:2">
      <c r="A259" s="129" t="s">
        <v>729</v>
      </c>
      <c r="B259" s="129" t="s">
        <v>3005</v>
      </c>
    </row>
    <row r="260" spans="1:2">
      <c r="A260" s="129" t="s">
        <v>3050</v>
      </c>
      <c r="B260" s="129" t="s">
        <v>2417</v>
      </c>
    </row>
    <row r="261" spans="1:2">
      <c r="A261" s="129" t="s">
        <v>3051</v>
      </c>
      <c r="B261" s="129" t="s">
        <v>2159</v>
      </c>
    </row>
    <row r="262" spans="1:2">
      <c r="A262" s="129" t="s">
        <v>3052</v>
      </c>
      <c r="B262" s="129" t="s">
        <v>2153</v>
      </c>
    </row>
    <row r="263" spans="1:2">
      <c r="A263" s="129" t="s">
        <v>3052</v>
      </c>
      <c r="B263" s="129" t="s">
        <v>3005</v>
      </c>
    </row>
    <row r="264" spans="1:2">
      <c r="A264" s="129" t="s">
        <v>3053</v>
      </c>
      <c r="B264" s="129" t="s">
        <v>2159</v>
      </c>
    </row>
    <row r="265" spans="1:2">
      <c r="A265" s="129" t="s">
        <v>3054</v>
      </c>
      <c r="B265" s="129" t="s">
        <v>3007</v>
      </c>
    </row>
    <row r="266" spans="1:2">
      <c r="A266" s="129" t="s">
        <v>533</v>
      </c>
      <c r="B266" s="129" t="s">
        <v>3005</v>
      </c>
    </row>
    <row r="267" spans="1:2">
      <c r="A267" s="129" t="s">
        <v>533</v>
      </c>
      <c r="B267" s="129" t="s">
        <v>2153</v>
      </c>
    </row>
    <row r="268" spans="1:2">
      <c r="A268" s="129" t="s">
        <v>3055</v>
      </c>
      <c r="B268" s="129" t="s">
        <v>2159</v>
      </c>
    </row>
    <row r="269" spans="1:2">
      <c r="A269" s="129" t="s">
        <v>2355</v>
      </c>
      <c r="B269" s="129" t="s">
        <v>2155</v>
      </c>
    </row>
    <row r="270" spans="1:2">
      <c r="A270" s="129" t="s">
        <v>2440</v>
      </c>
      <c r="B270" s="129" t="s">
        <v>2153</v>
      </c>
    </row>
    <row r="271" spans="1:2">
      <c r="A271" s="129" t="s">
        <v>467</v>
      </c>
      <c r="B271" s="129" t="s">
        <v>3005</v>
      </c>
    </row>
    <row r="272" spans="1:2">
      <c r="A272" s="129" t="s">
        <v>467</v>
      </c>
      <c r="B272" s="129" t="s">
        <v>2153</v>
      </c>
    </row>
    <row r="273" spans="1:2">
      <c r="A273" s="129" t="s">
        <v>2433</v>
      </c>
      <c r="B273" s="129" t="s">
        <v>2159</v>
      </c>
    </row>
    <row r="274" spans="1:2">
      <c r="A274" s="129" t="s">
        <v>1893</v>
      </c>
      <c r="B274" s="129" t="s">
        <v>3008</v>
      </c>
    </row>
    <row r="275" spans="1:2">
      <c r="A275" s="129" t="s">
        <v>520</v>
      </c>
      <c r="B275" s="129" t="s">
        <v>2153</v>
      </c>
    </row>
    <row r="276" spans="1:2">
      <c r="A276" s="129" t="s">
        <v>520</v>
      </c>
      <c r="B276" s="129" t="s">
        <v>3005</v>
      </c>
    </row>
    <row r="277" spans="1:2">
      <c r="A277" s="129" t="s">
        <v>1647</v>
      </c>
      <c r="B277" s="129" t="s">
        <v>3007</v>
      </c>
    </row>
    <row r="278" spans="1:2">
      <c r="A278" s="129" t="s">
        <v>1647</v>
      </c>
      <c r="B278" s="129" t="s">
        <v>2155</v>
      </c>
    </row>
    <row r="279" spans="1:2">
      <c r="A279" s="129" t="s">
        <v>3056</v>
      </c>
      <c r="B279" s="129" t="s">
        <v>2159</v>
      </c>
    </row>
    <row r="280" spans="1:2">
      <c r="A280" s="129" t="s">
        <v>629</v>
      </c>
      <c r="B280" s="129" t="s">
        <v>2153</v>
      </c>
    </row>
    <row r="281" spans="1:2">
      <c r="A281" s="129" t="s">
        <v>3057</v>
      </c>
      <c r="B281" s="129" t="s">
        <v>2153</v>
      </c>
    </row>
    <row r="282" spans="1:2">
      <c r="A282" s="129" t="s">
        <v>1808</v>
      </c>
      <c r="B282" s="129" t="s">
        <v>3005</v>
      </c>
    </row>
    <row r="283" spans="1:2">
      <c r="A283" s="129" t="s">
        <v>1808</v>
      </c>
      <c r="B283" s="129" t="s">
        <v>2153</v>
      </c>
    </row>
    <row r="284" spans="1:2">
      <c r="A284" s="129" t="s">
        <v>2609</v>
      </c>
      <c r="B284" s="129" t="s">
        <v>2153</v>
      </c>
    </row>
    <row r="285" spans="1:2">
      <c r="A285" s="129" t="s">
        <v>1648</v>
      </c>
      <c r="B285" s="129" t="s">
        <v>2410</v>
      </c>
    </row>
    <row r="286" spans="1:2">
      <c r="A286" s="129" t="s">
        <v>1511</v>
      </c>
      <c r="B286" s="129" t="s">
        <v>2417</v>
      </c>
    </row>
    <row r="287" spans="1:2">
      <c r="A287" s="129" t="s">
        <v>468</v>
      </c>
      <c r="B287" s="129" t="s">
        <v>3005</v>
      </c>
    </row>
    <row r="288" spans="1:2">
      <c r="A288" s="129" t="s">
        <v>875</v>
      </c>
      <c r="B288" s="129" t="s">
        <v>3005</v>
      </c>
    </row>
    <row r="289" spans="1:2">
      <c r="A289" s="129" t="s">
        <v>875</v>
      </c>
      <c r="B289" s="129" t="s">
        <v>2153</v>
      </c>
    </row>
    <row r="290" spans="1:2">
      <c r="A290" s="129" t="s">
        <v>1610</v>
      </c>
      <c r="B290" s="129" t="s">
        <v>2159</v>
      </c>
    </row>
    <row r="291" spans="1:2">
      <c r="A291" s="129" t="s">
        <v>2574</v>
      </c>
      <c r="B291" s="129" t="s">
        <v>2159</v>
      </c>
    </row>
    <row r="292" spans="1:2">
      <c r="A292" s="129" t="s">
        <v>2574</v>
      </c>
      <c r="B292" s="129" t="s">
        <v>2410</v>
      </c>
    </row>
    <row r="293" spans="1:2">
      <c r="A293" s="129" t="s">
        <v>445</v>
      </c>
      <c r="B293" s="129" t="s">
        <v>3005</v>
      </c>
    </row>
    <row r="294" spans="1:2">
      <c r="A294" s="129" t="s">
        <v>445</v>
      </c>
      <c r="B294" s="129" t="s">
        <v>2153</v>
      </c>
    </row>
    <row r="295" spans="1:2">
      <c r="A295" s="129" t="s">
        <v>607</v>
      </c>
      <c r="B295" s="129" t="s">
        <v>3005</v>
      </c>
    </row>
    <row r="296" spans="1:2">
      <c r="A296" s="129" t="s">
        <v>423</v>
      </c>
      <c r="B296" s="129" t="s">
        <v>3005</v>
      </c>
    </row>
    <row r="297" spans="1:2">
      <c r="A297" s="129" t="s">
        <v>2219</v>
      </c>
      <c r="B297" s="129" t="s">
        <v>2153</v>
      </c>
    </row>
    <row r="298" spans="1:2">
      <c r="A298" s="129" t="s">
        <v>2219</v>
      </c>
      <c r="B298" s="129" t="s">
        <v>2158</v>
      </c>
    </row>
    <row r="299" spans="1:2">
      <c r="A299" s="129" t="s">
        <v>1574</v>
      </c>
      <c r="B299" s="129" t="s">
        <v>2410</v>
      </c>
    </row>
    <row r="300" spans="1:2">
      <c r="A300" s="129" t="s">
        <v>1227</v>
      </c>
      <c r="B300" s="129" t="s">
        <v>2155</v>
      </c>
    </row>
    <row r="301" spans="1:2">
      <c r="A301" s="129" t="s">
        <v>1227</v>
      </c>
      <c r="B301" s="129" t="s">
        <v>3007</v>
      </c>
    </row>
    <row r="302" spans="1:2">
      <c r="A302" s="129" t="s">
        <v>543</v>
      </c>
      <c r="B302" s="129" t="s">
        <v>3005</v>
      </c>
    </row>
    <row r="303" spans="1:2">
      <c r="A303" s="129" t="s">
        <v>1276</v>
      </c>
      <c r="B303" s="129" t="s">
        <v>2410</v>
      </c>
    </row>
    <row r="304" spans="1:2">
      <c r="A304" s="129" t="s">
        <v>1276</v>
      </c>
      <c r="B304" s="129" t="s">
        <v>2159</v>
      </c>
    </row>
    <row r="305" spans="1:2">
      <c r="A305" s="129" t="s">
        <v>1765</v>
      </c>
      <c r="B305" s="129" t="s">
        <v>3008</v>
      </c>
    </row>
    <row r="306" spans="1:2">
      <c r="A306" s="129" t="s">
        <v>416</v>
      </c>
      <c r="B306" s="129" t="s">
        <v>3005</v>
      </c>
    </row>
    <row r="307" spans="1:2">
      <c r="A307" s="129" t="s">
        <v>1670</v>
      </c>
      <c r="B307" s="129" t="s">
        <v>2155</v>
      </c>
    </row>
    <row r="308" spans="1:2">
      <c r="A308" s="129" t="s">
        <v>3058</v>
      </c>
      <c r="B308" s="129" t="s">
        <v>2155</v>
      </c>
    </row>
    <row r="309" spans="1:2">
      <c r="A309" s="129" t="s">
        <v>3058</v>
      </c>
      <c r="B309" s="129" t="s">
        <v>3007</v>
      </c>
    </row>
    <row r="310" spans="1:2">
      <c r="A310" s="129" t="s">
        <v>2025</v>
      </c>
      <c r="B310" s="129" t="s">
        <v>2410</v>
      </c>
    </row>
    <row r="311" spans="1:2">
      <c r="A311" s="129" t="s">
        <v>2324</v>
      </c>
      <c r="B311" s="129" t="s">
        <v>2153</v>
      </c>
    </row>
    <row r="312" spans="1:2">
      <c r="A312" s="129" t="s">
        <v>2324</v>
      </c>
      <c r="B312" s="129" t="s">
        <v>3005</v>
      </c>
    </row>
    <row r="313" spans="1:2">
      <c r="A313" s="129" t="s">
        <v>1220</v>
      </c>
      <c r="B313" s="129" t="s">
        <v>3005</v>
      </c>
    </row>
    <row r="314" spans="1:2">
      <c r="A314" s="129" t="s">
        <v>1220</v>
      </c>
      <c r="B314" s="129" t="s">
        <v>2153</v>
      </c>
    </row>
    <row r="315" spans="1:2">
      <c r="A315" s="129" t="s">
        <v>2026</v>
      </c>
      <c r="B315" s="129" t="s">
        <v>2158</v>
      </c>
    </row>
    <row r="316" spans="1:2">
      <c r="A316" s="129" t="s">
        <v>1883</v>
      </c>
      <c r="B316" s="129" t="s">
        <v>2158</v>
      </c>
    </row>
    <row r="317" spans="1:2">
      <c r="A317" s="129" t="s">
        <v>1576</v>
      </c>
      <c r="B317" s="129" t="s">
        <v>2410</v>
      </c>
    </row>
    <row r="318" spans="1:2">
      <c r="A318" s="129" t="s">
        <v>2463</v>
      </c>
      <c r="B318" s="129" t="s">
        <v>3007</v>
      </c>
    </row>
    <row r="319" spans="1:2">
      <c r="A319" s="129" t="s">
        <v>3059</v>
      </c>
      <c r="B319" s="129" t="s">
        <v>3007</v>
      </c>
    </row>
    <row r="320" spans="1:2">
      <c r="A320" s="129" t="s">
        <v>3060</v>
      </c>
      <c r="B320" s="129" t="s">
        <v>2155</v>
      </c>
    </row>
    <row r="321" spans="1:2">
      <c r="A321" s="129" t="s">
        <v>541</v>
      </c>
      <c r="B321" s="129" t="s">
        <v>2153</v>
      </c>
    </row>
    <row r="322" spans="1:2">
      <c r="A322" s="129" t="s">
        <v>541</v>
      </c>
      <c r="B322" s="129" t="s">
        <v>3005</v>
      </c>
    </row>
    <row r="323" spans="1:2">
      <c r="A323" s="129" t="s">
        <v>1623</v>
      </c>
      <c r="B323" s="129" t="s">
        <v>2159</v>
      </c>
    </row>
    <row r="324" spans="1:2">
      <c r="A324" s="129" t="s">
        <v>1623</v>
      </c>
      <c r="B324" s="129" t="s">
        <v>2410</v>
      </c>
    </row>
    <row r="325" spans="1:2">
      <c r="A325" s="129" t="s">
        <v>345</v>
      </c>
      <c r="B325" s="129" t="s">
        <v>3005</v>
      </c>
    </row>
    <row r="326" spans="1:2">
      <c r="A326" s="129" t="s">
        <v>996</v>
      </c>
      <c r="B326" s="129" t="s">
        <v>3005</v>
      </c>
    </row>
    <row r="327" spans="1:2">
      <c r="A327" s="129" t="s">
        <v>3061</v>
      </c>
      <c r="B327" s="129" t="s">
        <v>2159</v>
      </c>
    </row>
    <row r="328" spans="1:2">
      <c r="A328" s="129" t="s">
        <v>230</v>
      </c>
      <c r="B328" s="129" t="s">
        <v>3005</v>
      </c>
    </row>
    <row r="329" spans="1:2">
      <c r="A329" s="129" t="s">
        <v>707</v>
      </c>
      <c r="B329" s="129" t="s">
        <v>3005</v>
      </c>
    </row>
    <row r="330" spans="1:2">
      <c r="A330" s="129" t="s">
        <v>1244</v>
      </c>
      <c r="B330" s="129" t="s">
        <v>2410</v>
      </c>
    </row>
    <row r="331" spans="1:2">
      <c r="A331" s="129" t="s">
        <v>1244</v>
      </c>
      <c r="B331" s="129" t="s">
        <v>2159</v>
      </c>
    </row>
    <row r="332" spans="1:2">
      <c r="A332" s="129" t="s">
        <v>1130</v>
      </c>
      <c r="B332" s="129" t="s">
        <v>2410</v>
      </c>
    </row>
    <row r="333" spans="1:2">
      <c r="A333" s="129" t="s">
        <v>1625</v>
      </c>
      <c r="B333" s="129" t="s">
        <v>2159</v>
      </c>
    </row>
    <row r="334" spans="1:2">
      <c r="A334" s="129" t="s">
        <v>2185</v>
      </c>
      <c r="B334" s="129" t="s">
        <v>3008</v>
      </c>
    </row>
    <row r="335" spans="1:2">
      <c r="A335" s="129" t="s">
        <v>1464</v>
      </c>
      <c r="B335" s="129" t="s">
        <v>2410</v>
      </c>
    </row>
    <row r="336" spans="1:2">
      <c r="A336" s="129" t="s">
        <v>1464</v>
      </c>
      <c r="B336" s="129" t="s">
        <v>2159</v>
      </c>
    </row>
    <row r="337" spans="1:2">
      <c r="A337" s="129" t="s">
        <v>1673</v>
      </c>
      <c r="B337" s="129" t="s">
        <v>2153</v>
      </c>
    </row>
    <row r="338" spans="1:2">
      <c r="A338" s="129" t="s">
        <v>2611</v>
      </c>
      <c r="B338" s="129" t="s">
        <v>2153</v>
      </c>
    </row>
    <row r="339" spans="1:2">
      <c r="A339" s="129" t="s">
        <v>2611</v>
      </c>
      <c r="B339" s="129" t="s">
        <v>3005</v>
      </c>
    </row>
    <row r="340" spans="1:2">
      <c r="A340" s="129" t="s">
        <v>1603</v>
      </c>
      <c r="B340" s="129" t="s">
        <v>2159</v>
      </c>
    </row>
    <row r="341" spans="1:2">
      <c r="A341" s="129" t="s">
        <v>2493</v>
      </c>
      <c r="B341" s="129" t="s">
        <v>2153</v>
      </c>
    </row>
    <row r="342" spans="1:2">
      <c r="A342" s="129" t="s">
        <v>2493</v>
      </c>
      <c r="B342" s="129" t="s">
        <v>3005</v>
      </c>
    </row>
    <row r="343" spans="1:2">
      <c r="A343" s="129" t="s">
        <v>1923</v>
      </c>
      <c r="B343" s="129" t="s">
        <v>3005</v>
      </c>
    </row>
    <row r="344" spans="1:2">
      <c r="A344" s="129" t="s">
        <v>2408</v>
      </c>
      <c r="B344" s="129" t="s">
        <v>2410</v>
      </c>
    </row>
    <row r="345" spans="1:2">
      <c r="A345" s="129" t="s">
        <v>2408</v>
      </c>
      <c r="B345" s="129" t="s">
        <v>2159</v>
      </c>
    </row>
    <row r="346" spans="1:2">
      <c r="A346" s="129" t="s">
        <v>2482</v>
      </c>
      <c r="B346" s="129" t="s">
        <v>2159</v>
      </c>
    </row>
    <row r="347" spans="1:2">
      <c r="A347" s="129" t="s">
        <v>2092</v>
      </c>
      <c r="B347" s="129" t="s">
        <v>2410</v>
      </c>
    </row>
    <row r="348" spans="1:2">
      <c r="A348" s="129" t="s">
        <v>1389</v>
      </c>
      <c r="B348" s="129" t="s">
        <v>2410</v>
      </c>
    </row>
    <row r="349" spans="1:2">
      <c r="A349" s="129" t="s">
        <v>3062</v>
      </c>
      <c r="B349" s="129" t="s">
        <v>2155</v>
      </c>
    </row>
    <row r="350" spans="1:2">
      <c r="A350" s="129" t="s">
        <v>2090</v>
      </c>
      <c r="B350" s="129" t="s">
        <v>2417</v>
      </c>
    </row>
    <row r="351" spans="1:2">
      <c r="A351" s="129" t="s">
        <v>2190</v>
      </c>
      <c r="B351" s="129" t="s">
        <v>3005</v>
      </c>
    </row>
    <row r="352" spans="1:2">
      <c r="A352" s="129" t="s">
        <v>3063</v>
      </c>
      <c r="B352" s="129" t="s">
        <v>2155</v>
      </c>
    </row>
    <row r="353" spans="1:2">
      <c r="A353" s="129" t="s">
        <v>88</v>
      </c>
      <c r="B353" s="129" t="s">
        <v>3005</v>
      </c>
    </row>
    <row r="354" spans="1:2">
      <c r="A354" s="129" t="s">
        <v>2027</v>
      </c>
      <c r="B354" s="129" t="s">
        <v>2410</v>
      </c>
    </row>
    <row r="355" spans="1:2">
      <c r="A355" s="129" t="s">
        <v>2027</v>
      </c>
      <c r="B355" s="129" t="s">
        <v>2159</v>
      </c>
    </row>
    <row r="356" spans="1:2">
      <c r="A356" s="129" t="s">
        <v>1645</v>
      </c>
      <c r="B356" s="129" t="s">
        <v>2158</v>
      </c>
    </row>
    <row r="357" spans="1:2">
      <c r="A357" s="129" t="s">
        <v>1645</v>
      </c>
      <c r="B357" s="129" t="s">
        <v>2410</v>
      </c>
    </row>
    <row r="358" spans="1:2">
      <c r="A358" s="129" t="s">
        <v>1645</v>
      </c>
      <c r="B358" s="129" t="s">
        <v>2159</v>
      </c>
    </row>
    <row r="359" spans="1:2">
      <c r="A359" s="129" t="s">
        <v>349</v>
      </c>
      <c r="B359" s="129" t="s">
        <v>3005</v>
      </c>
    </row>
    <row r="360" spans="1:2">
      <c r="A360" s="129" t="s">
        <v>2037</v>
      </c>
      <c r="B360" s="129" t="s">
        <v>2410</v>
      </c>
    </row>
    <row r="361" spans="1:2">
      <c r="A361" s="129" t="s">
        <v>985</v>
      </c>
      <c r="B361" s="129" t="s">
        <v>3008</v>
      </c>
    </row>
    <row r="362" spans="1:2">
      <c r="A362" s="129" t="s">
        <v>3064</v>
      </c>
      <c r="B362" s="129" t="s">
        <v>2159</v>
      </c>
    </row>
    <row r="363" spans="1:2">
      <c r="A363" s="129" t="s">
        <v>2375</v>
      </c>
      <c r="B363" s="129" t="s">
        <v>3008</v>
      </c>
    </row>
    <row r="364" spans="1:2">
      <c r="A364" s="129" t="s">
        <v>2375</v>
      </c>
      <c r="B364" s="129" t="s">
        <v>2157</v>
      </c>
    </row>
    <row r="365" spans="1:2">
      <c r="A365" s="129" t="s">
        <v>2375</v>
      </c>
      <c r="B365" s="129" t="s">
        <v>2153</v>
      </c>
    </row>
    <row r="366" spans="1:2">
      <c r="A366" s="129" t="s">
        <v>2553</v>
      </c>
      <c r="B366" s="129" t="s">
        <v>2159</v>
      </c>
    </row>
    <row r="367" spans="1:2">
      <c r="A367" s="129" t="s">
        <v>3065</v>
      </c>
      <c r="B367" s="129" t="s">
        <v>2159</v>
      </c>
    </row>
    <row r="368" spans="1:2">
      <c r="A368" s="129" t="s">
        <v>3066</v>
      </c>
      <c r="B368" s="129" t="s">
        <v>2159</v>
      </c>
    </row>
    <row r="369" spans="1:2">
      <c r="A369" s="129" t="s">
        <v>2356</v>
      </c>
      <c r="B369" s="129" t="s">
        <v>2155</v>
      </c>
    </row>
    <row r="370" spans="1:2">
      <c r="A370" s="129" t="s">
        <v>661</v>
      </c>
      <c r="B370" s="129" t="s">
        <v>3005</v>
      </c>
    </row>
    <row r="371" spans="1:2">
      <c r="A371" s="129" t="s">
        <v>751</v>
      </c>
      <c r="B371" s="129" t="s">
        <v>3005</v>
      </c>
    </row>
    <row r="372" spans="1:2">
      <c r="A372" s="129" t="s">
        <v>2581</v>
      </c>
      <c r="B372" s="129" t="s">
        <v>2155</v>
      </c>
    </row>
    <row r="373" spans="1:2">
      <c r="A373" s="129" t="s">
        <v>1789</v>
      </c>
      <c r="B373" s="129" t="s">
        <v>2159</v>
      </c>
    </row>
    <row r="374" spans="1:2">
      <c r="A374" s="129" t="s">
        <v>2249</v>
      </c>
      <c r="B374" s="129" t="s">
        <v>2155</v>
      </c>
    </row>
    <row r="375" spans="1:2">
      <c r="A375" s="129" t="s">
        <v>1909</v>
      </c>
      <c r="B375" s="129" t="s">
        <v>2417</v>
      </c>
    </row>
    <row r="376" spans="1:2">
      <c r="A376" s="129" t="s">
        <v>26</v>
      </c>
      <c r="B376" s="129" t="s">
        <v>3007</v>
      </c>
    </row>
    <row r="377" spans="1:2">
      <c r="A377" s="129" t="s">
        <v>3067</v>
      </c>
      <c r="B377" s="129" t="s">
        <v>2155</v>
      </c>
    </row>
    <row r="378" spans="1:2">
      <c r="A378" s="129" t="s">
        <v>2340</v>
      </c>
      <c r="B378" s="129" t="s">
        <v>2159</v>
      </c>
    </row>
    <row r="379" spans="1:2">
      <c r="A379" s="129" t="s">
        <v>74</v>
      </c>
      <c r="B379" s="129" t="s">
        <v>3007</v>
      </c>
    </row>
    <row r="380" spans="1:2">
      <c r="A380" s="129" t="s">
        <v>74</v>
      </c>
      <c r="B380" s="129" t="s">
        <v>2155</v>
      </c>
    </row>
    <row r="381" spans="1:2">
      <c r="A381" s="129" t="s">
        <v>992</v>
      </c>
      <c r="B381" s="129" t="s">
        <v>2410</v>
      </c>
    </row>
    <row r="382" spans="1:2">
      <c r="A382" s="129" t="s">
        <v>2481</v>
      </c>
      <c r="B382" s="129" t="s">
        <v>3005</v>
      </c>
    </row>
    <row r="383" spans="1:2">
      <c r="A383" s="129" t="s">
        <v>2481</v>
      </c>
      <c r="B383" s="129" t="s">
        <v>2153</v>
      </c>
    </row>
    <row r="384" spans="1:2">
      <c r="A384" s="129" t="s">
        <v>1030</v>
      </c>
      <c r="B384" s="129" t="s">
        <v>3008</v>
      </c>
    </row>
    <row r="385" spans="1:2">
      <c r="A385" s="129" t="s">
        <v>2039</v>
      </c>
      <c r="B385" s="129" t="s">
        <v>2153</v>
      </c>
    </row>
    <row r="386" spans="1:2">
      <c r="A386" s="129" t="s">
        <v>3068</v>
      </c>
      <c r="B386" s="129" t="s">
        <v>3005</v>
      </c>
    </row>
    <row r="387" spans="1:2">
      <c r="A387" s="129" t="s">
        <v>3068</v>
      </c>
      <c r="B387" s="129" t="s">
        <v>2153</v>
      </c>
    </row>
    <row r="388" spans="1:2">
      <c r="A388" s="129" t="s">
        <v>1263</v>
      </c>
      <c r="B388" s="129" t="s">
        <v>2157</v>
      </c>
    </row>
    <row r="389" spans="1:2">
      <c r="A389" s="129" t="s">
        <v>1263</v>
      </c>
      <c r="B389" s="129" t="s">
        <v>3008</v>
      </c>
    </row>
    <row r="390" spans="1:2">
      <c r="A390" s="129" t="s">
        <v>879</v>
      </c>
      <c r="B390" s="129" t="s">
        <v>3005</v>
      </c>
    </row>
    <row r="391" spans="1:2">
      <c r="A391" s="129" t="s">
        <v>620</v>
      </c>
      <c r="B391" s="129" t="s">
        <v>3005</v>
      </c>
    </row>
    <row r="392" spans="1:2">
      <c r="A392" s="129" t="s">
        <v>620</v>
      </c>
      <c r="B392" s="129" t="s">
        <v>2153</v>
      </c>
    </row>
    <row r="393" spans="1:2">
      <c r="A393" s="129" t="s">
        <v>1264</v>
      </c>
      <c r="B393" s="129" t="s">
        <v>2159</v>
      </c>
    </row>
    <row r="394" spans="1:2">
      <c r="A394" s="129" t="s">
        <v>1264</v>
      </c>
      <c r="B394" s="129" t="s">
        <v>2410</v>
      </c>
    </row>
    <row r="395" spans="1:2">
      <c r="A395" s="129" t="s">
        <v>3069</v>
      </c>
      <c r="B395" s="129" t="s">
        <v>2159</v>
      </c>
    </row>
    <row r="396" spans="1:2">
      <c r="A396" s="129" t="s">
        <v>2480</v>
      </c>
      <c r="B396" s="129" t="s">
        <v>2159</v>
      </c>
    </row>
    <row r="397" spans="1:2">
      <c r="A397" s="129" t="s">
        <v>3070</v>
      </c>
      <c r="B397" s="129" t="s">
        <v>2155</v>
      </c>
    </row>
    <row r="398" spans="1:2">
      <c r="A398" s="129" t="s">
        <v>3071</v>
      </c>
      <c r="B398" s="129" t="s">
        <v>3005</v>
      </c>
    </row>
    <row r="399" spans="1:2">
      <c r="A399" s="129" t="s">
        <v>3071</v>
      </c>
      <c r="B399" s="129" t="s">
        <v>2153</v>
      </c>
    </row>
    <row r="400" spans="1:2">
      <c r="A400" s="129" t="s">
        <v>2507</v>
      </c>
      <c r="B400" s="129" t="s">
        <v>3007</v>
      </c>
    </row>
    <row r="401" spans="1:2">
      <c r="A401" s="129" t="s">
        <v>717</v>
      </c>
      <c r="B401" s="129" t="s">
        <v>3005</v>
      </c>
    </row>
    <row r="402" spans="1:2">
      <c r="A402" s="129" t="s">
        <v>955</v>
      </c>
      <c r="B402" s="129" t="s">
        <v>3005</v>
      </c>
    </row>
    <row r="403" spans="1:2">
      <c r="A403" s="129" t="s">
        <v>1779</v>
      </c>
      <c r="B403" s="129" t="s">
        <v>3007</v>
      </c>
    </row>
    <row r="404" spans="1:2">
      <c r="A404" s="129" t="s">
        <v>3072</v>
      </c>
      <c r="B404" s="129" t="s">
        <v>2155</v>
      </c>
    </row>
    <row r="405" spans="1:2">
      <c r="A405" s="129" t="s">
        <v>763</v>
      </c>
      <c r="B405" s="129" t="s">
        <v>3005</v>
      </c>
    </row>
    <row r="406" spans="1:2">
      <c r="A406" s="129" t="s">
        <v>3073</v>
      </c>
      <c r="B406" s="129" t="s">
        <v>2155</v>
      </c>
    </row>
    <row r="407" spans="1:2">
      <c r="A407" s="129" t="s">
        <v>1313</v>
      </c>
      <c r="B407" s="129" t="s">
        <v>2410</v>
      </c>
    </row>
    <row r="408" spans="1:2">
      <c r="A408" s="129" t="s">
        <v>3074</v>
      </c>
      <c r="B408" s="129" t="s">
        <v>2159</v>
      </c>
    </row>
    <row r="409" spans="1:2">
      <c r="A409" s="129" t="s">
        <v>2167</v>
      </c>
      <c r="B409" s="129" t="s">
        <v>2159</v>
      </c>
    </row>
    <row r="410" spans="1:2">
      <c r="A410" s="129" t="s">
        <v>3075</v>
      </c>
      <c r="B410" s="129" t="s">
        <v>2159</v>
      </c>
    </row>
    <row r="411" spans="1:2">
      <c r="A411" s="129" t="s">
        <v>3076</v>
      </c>
      <c r="B411" s="129" t="s">
        <v>2159</v>
      </c>
    </row>
    <row r="412" spans="1:2">
      <c r="A412" s="129" t="s">
        <v>1675</v>
      </c>
      <c r="B412" s="129" t="s">
        <v>2159</v>
      </c>
    </row>
    <row r="413" spans="1:2">
      <c r="A413" s="129" t="s">
        <v>3077</v>
      </c>
      <c r="B413" s="129" t="s">
        <v>2159</v>
      </c>
    </row>
    <row r="414" spans="1:2">
      <c r="A414" s="129" t="s">
        <v>601</v>
      </c>
      <c r="B414" s="129" t="s">
        <v>3005</v>
      </c>
    </row>
    <row r="415" spans="1:2">
      <c r="A415" s="129" t="s">
        <v>3078</v>
      </c>
      <c r="B415" s="129" t="s">
        <v>2159</v>
      </c>
    </row>
    <row r="416" spans="1:2">
      <c r="A416" s="129" t="s">
        <v>3079</v>
      </c>
      <c r="B416" s="129" t="s">
        <v>3005</v>
      </c>
    </row>
    <row r="417" spans="1:2">
      <c r="A417" s="129" t="s">
        <v>3079</v>
      </c>
      <c r="B417" s="129" t="s">
        <v>2153</v>
      </c>
    </row>
    <row r="418" spans="1:2">
      <c r="A418" s="129" t="s">
        <v>1468</v>
      </c>
      <c r="B418" s="129" t="s">
        <v>3008</v>
      </c>
    </row>
    <row r="419" spans="1:2">
      <c r="A419" s="129" t="s">
        <v>5</v>
      </c>
      <c r="B419" s="129" t="s">
        <v>3005</v>
      </c>
    </row>
    <row r="420" spans="1:2">
      <c r="A420" s="129" t="s">
        <v>3080</v>
      </c>
      <c r="B420" s="129" t="s">
        <v>2155</v>
      </c>
    </row>
    <row r="421" spans="1:2">
      <c r="A421" s="129" t="s">
        <v>1634</v>
      </c>
      <c r="B421" s="129" t="s">
        <v>2159</v>
      </c>
    </row>
    <row r="422" spans="1:2">
      <c r="A422" s="129" t="s">
        <v>3081</v>
      </c>
      <c r="B422" s="129" t="s">
        <v>2159</v>
      </c>
    </row>
    <row r="423" spans="1:2">
      <c r="A423" s="129" t="s">
        <v>1466</v>
      </c>
      <c r="B423" s="129" t="s">
        <v>2159</v>
      </c>
    </row>
    <row r="424" spans="1:2">
      <c r="A424" s="129" t="s">
        <v>1466</v>
      </c>
      <c r="B424" s="129" t="s">
        <v>2410</v>
      </c>
    </row>
    <row r="425" spans="1:2">
      <c r="A425" s="129" t="s">
        <v>1884</v>
      </c>
      <c r="B425" s="129" t="s">
        <v>2410</v>
      </c>
    </row>
    <row r="426" spans="1:2">
      <c r="A426" s="129" t="s">
        <v>1884</v>
      </c>
      <c r="B426" s="129" t="s">
        <v>2159</v>
      </c>
    </row>
    <row r="427" spans="1:2">
      <c r="A427" s="129" t="s">
        <v>1222</v>
      </c>
      <c r="B427" s="129" t="s">
        <v>3007</v>
      </c>
    </row>
    <row r="428" spans="1:2">
      <c r="A428" s="129" t="s">
        <v>396</v>
      </c>
      <c r="B428" s="129" t="s">
        <v>2153</v>
      </c>
    </row>
    <row r="429" spans="1:2">
      <c r="A429" s="129" t="s">
        <v>396</v>
      </c>
      <c r="B429" s="129" t="s">
        <v>3005</v>
      </c>
    </row>
    <row r="430" spans="1:2">
      <c r="A430" s="129" t="s">
        <v>572</v>
      </c>
      <c r="B430" s="129" t="s">
        <v>3005</v>
      </c>
    </row>
    <row r="431" spans="1:2">
      <c r="A431" s="129" t="s">
        <v>1156</v>
      </c>
      <c r="B431" s="129" t="s">
        <v>2155</v>
      </c>
    </row>
    <row r="432" spans="1:2">
      <c r="A432" s="129" t="s">
        <v>753</v>
      </c>
      <c r="B432" s="129" t="s">
        <v>3005</v>
      </c>
    </row>
    <row r="433" spans="1:2">
      <c r="A433" s="129" t="s">
        <v>755</v>
      </c>
      <c r="B433" s="129" t="s">
        <v>3005</v>
      </c>
    </row>
    <row r="434" spans="1:2">
      <c r="A434" s="129" t="s">
        <v>2418</v>
      </c>
      <c r="B434" s="129" t="s">
        <v>3005</v>
      </c>
    </row>
    <row r="435" spans="1:2">
      <c r="A435" s="129" t="s">
        <v>2418</v>
      </c>
      <c r="B435" s="129" t="s">
        <v>2153</v>
      </c>
    </row>
    <row r="436" spans="1:2">
      <c r="A436" s="129" t="s">
        <v>2291</v>
      </c>
      <c r="B436" s="129" t="s">
        <v>3005</v>
      </c>
    </row>
    <row r="437" spans="1:2">
      <c r="A437" s="129" t="s">
        <v>2291</v>
      </c>
      <c r="B437" s="129" t="s">
        <v>2153</v>
      </c>
    </row>
    <row r="438" spans="1:2">
      <c r="A438" s="129" t="s">
        <v>1895</v>
      </c>
      <c r="B438" s="129" t="s">
        <v>2410</v>
      </c>
    </row>
    <row r="439" spans="1:2">
      <c r="A439" s="129" t="s">
        <v>27</v>
      </c>
      <c r="B439" s="129" t="s">
        <v>3007</v>
      </c>
    </row>
    <row r="440" spans="1:2">
      <c r="A440" s="129" t="s">
        <v>1587</v>
      </c>
      <c r="B440" s="129" t="s">
        <v>2410</v>
      </c>
    </row>
    <row r="441" spans="1:2">
      <c r="A441" s="129" t="s">
        <v>1318</v>
      </c>
      <c r="B441" s="129" t="s">
        <v>2159</v>
      </c>
    </row>
    <row r="442" spans="1:2">
      <c r="A442" s="129" t="s">
        <v>1318</v>
      </c>
      <c r="B442" s="129" t="s">
        <v>2410</v>
      </c>
    </row>
    <row r="443" spans="1:2">
      <c r="A443" s="129" t="s">
        <v>1072</v>
      </c>
      <c r="B443" s="129" t="s">
        <v>2410</v>
      </c>
    </row>
    <row r="444" spans="1:2">
      <c r="A444" s="129" t="s">
        <v>1382</v>
      </c>
      <c r="B444" s="129" t="s">
        <v>2159</v>
      </c>
    </row>
    <row r="445" spans="1:2">
      <c r="A445" s="129" t="s">
        <v>1613</v>
      </c>
      <c r="B445" s="129" t="s">
        <v>2159</v>
      </c>
    </row>
    <row r="446" spans="1:2">
      <c r="A446" s="129" t="s">
        <v>1537</v>
      </c>
      <c r="B446" s="129" t="s">
        <v>2410</v>
      </c>
    </row>
    <row r="447" spans="1:2">
      <c r="A447" s="129" t="s">
        <v>1537</v>
      </c>
      <c r="B447" s="129" t="s">
        <v>2159</v>
      </c>
    </row>
    <row r="448" spans="1:2">
      <c r="A448" s="129" t="s">
        <v>1364</v>
      </c>
      <c r="B448" s="129" t="s">
        <v>2410</v>
      </c>
    </row>
    <row r="449" spans="1:2">
      <c r="A449" s="129" t="s">
        <v>1364</v>
      </c>
      <c r="B449" s="129" t="s">
        <v>2159</v>
      </c>
    </row>
    <row r="450" spans="1:2">
      <c r="A450" s="129" t="s">
        <v>1320</v>
      </c>
      <c r="B450" s="129" t="s">
        <v>2159</v>
      </c>
    </row>
    <row r="451" spans="1:2">
      <c r="A451" s="129" t="s">
        <v>1322</v>
      </c>
      <c r="B451" s="129" t="s">
        <v>2159</v>
      </c>
    </row>
    <row r="452" spans="1:2">
      <c r="A452" s="129" t="s">
        <v>1637</v>
      </c>
      <c r="B452" s="129" t="s">
        <v>2159</v>
      </c>
    </row>
    <row r="453" spans="1:2">
      <c r="A453" s="129" t="s">
        <v>3082</v>
      </c>
      <c r="B453" s="129" t="s">
        <v>2159</v>
      </c>
    </row>
    <row r="454" spans="1:2">
      <c r="A454" s="129" t="s">
        <v>1977</v>
      </c>
      <c r="B454" s="129" t="s">
        <v>2159</v>
      </c>
    </row>
    <row r="455" spans="1:2">
      <c r="A455" s="129" t="s">
        <v>2200</v>
      </c>
      <c r="B455" s="129" t="s">
        <v>2159</v>
      </c>
    </row>
    <row r="456" spans="1:2">
      <c r="A456" s="129" t="s">
        <v>2432</v>
      </c>
      <c r="B456" s="129" t="s">
        <v>2159</v>
      </c>
    </row>
    <row r="457" spans="1:2">
      <c r="A457" s="129" t="s">
        <v>2363</v>
      </c>
      <c r="B457" s="129" t="s">
        <v>2159</v>
      </c>
    </row>
    <row r="458" spans="1:2">
      <c r="A458" s="129" t="s">
        <v>2457</v>
      </c>
      <c r="B458" s="129" t="s">
        <v>2410</v>
      </c>
    </row>
    <row r="459" spans="1:2">
      <c r="A459" s="129" t="s">
        <v>2457</v>
      </c>
      <c r="B459" s="129" t="s">
        <v>2159</v>
      </c>
    </row>
    <row r="460" spans="1:2">
      <c r="A460" s="129" t="s">
        <v>2004</v>
      </c>
      <c r="B460" s="129" t="s">
        <v>2410</v>
      </c>
    </row>
    <row r="461" spans="1:2">
      <c r="A461" s="129" t="s">
        <v>1215</v>
      </c>
      <c r="B461" s="129" t="s">
        <v>2153</v>
      </c>
    </row>
    <row r="462" spans="1:2">
      <c r="A462" s="129" t="s">
        <v>1215</v>
      </c>
      <c r="B462" s="129" t="s">
        <v>3005</v>
      </c>
    </row>
    <row r="463" spans="1:2">
      <c r="A463" s="129" t="s">
        <v>189</v>
      </c>
      <c r="B463" s="129" t="s">
        <v>2155</v>
      </c>
    </row>
    <row r="464" spans="1:2">
      <c r="A464" s="129" t="s">
        <v>189</v>
      </c>
      <c r="B464" s="129" t="s">
        <v>3007</v>
      </c>
    </row>
    <row r="465" spans="1:2">
      <c r="A465" s="129" t="s">
        <v>1336</v>
      </c>
      <c r="B465" s="129" t="s">
        <v>2410</v>
      </c>
    </row>
    <row r="466" spans="1:2">
      <c r="A466" s="129" t="s">
        <v>1336</v>
      </c>
      <c r="B466" s="129" t="s">
        <v>2159</v>
      </c>
    </row>
    <row r="467" spans="1:2">
      <c r="A467" s="129" t="s">
        <v>3083</v>
      </c>
      <c r="B467" s="129" t="s">
        <v>2410</v>
      </c>
    </row>
    <row r="468" spans="1:2">
      <c r="A468" s="129" t="s">
        <v>3083</v>
      </c>
      <c r="B468" s="129" t="s">
        <v>2159</v>
      </c>
    </row>
    <row r="469" spans="1:2">
      <c r="A469" s="129" t="s">
        <v>2329</v>
      </c>
      <c r="B469" s="129" t="s">
        <v>2155</v>
      </c>
    </row>
    <row r="470" spans="1:2">
      <c r="A470" s="129" t="s">
        <v>3084</v>
      </c>
      <c r="B470" s="129" t="s">
        <v>2155</v>
      </c>
    </row>
    <row r="471" spans="1:2">
      <c r="A471" s="129" t="s">
        <v>3085</v>
      </c>
      <c r="B471" s="129" t="s">
        <v>2159</v>
      </c>
    </row>
    <row r="472" spans="1:2">
      <c r="A472" s="129" t="s">
        <v>1283</v>
      </c>
      <c r="B472" s="129" t="s">
        <v>2410</v>
      </c>
    </row>
    <row r="473" spans="1:2">
      <c r="A473" s="129" t="s">
        <v>1283</v>
      </c>
      <c r="B473" s="129" t="s">
        <v>2159</v>
      </c>
    </row>
    <row r="474" spans="1:2">
      <c r="A474" s="129" t="s">
        <v>1323</v>
      </c>
      <c r="B474" s="129" t="s">
        <v>2410</v>
      </c>
    </row>
    <row r="475" spans="1:2">
      <c r="A475" s="129" t="s">
        <v>1323</v>
      </c>
      <c r="B475" s="129" t="s">
        <v>2159</v>
      </c>
    </row>
    <row r="476" spans="1:2">
      <c r="A476" s="129" t="s">
        <v>64</v>
      </c>
      <c r="B476" s="129" t="s">
        <v>3007</v>
      </c>
    </row>
    <row r="477" spans="1:2">
      <c r="A477" s="129" t="s">
        <v>1068</v>
      </c>
      <c r="B477" s="129" t="s">
        <v>3008</v>
      </c>
    </row>
    <row r="478" spans="1:2">
      <c r="A478" s="129" t="s">
        <v>1589</v>
      </c>
      <c r="B478" s="129" t="s">
        <v>2159</v>
      </c>
    </row>
    <row r="479" spans="1:2">
      <c r="A479" s="129" t="s">
        <v>1709</v>
      </c>
      <c r="B479" s="129" t="s">
        <v>2410</v>
      </c>
    </row>
    <row r="480" spans="1:2">
      <c r="A480" s="129" t="s">
        <v>889</v>
      </c>
      <c r="B480" s="129" t="s">
        <v>2410</v>
      </c>
    </row>
    <row r="481" spans="1:2">
      <c r="A481" s="129" t="s">
        <v>1902</v>
      </c>
      <c r="B481" s="129" t="s">
        <v>2159</v>
      </c>
    </row>
    <row r="482" spans="1:2">
      <c r="A482" s="129" t="s">
        <v>1902</v>
      </c>
      <c r="B482" s="129" t="s">
        <v>2410</v>
      </c>
    </row>
    <row r="483" spans="1:2">
      <c r="A483" s="129" t="s">
        <v>2267</v>
      </c>
      <c r="B483" s="129" t="s">
        <v>2410</v>
      </c>
    </row>
    <row r="484" spans="1:2">
      <c r="A484" s="129" t="s">
        <v>2267</v>
      </c>
      <c r="B484" s="129" t="s">
        <v>2159</v>
      </c>
    </row>
    <row r="485" spans="1:2">
      <c r="A485" s="129" t="s">
        <v>389</v>
      </c>
      <c r="B485" s="129" t="s">
        <v>3005</v>
      </c>
    </row>
    <row r="486" spans="1:2">
      <c r="A486" s="129" t="s">
        <v>2452</v>
      </c>
      <c r="B486" s="129" t="s">
        <v>3007</v>
      </c>
    </row>
    <row r="487" spans="1:2">
      <c r="A487" s="129" t="s">
        <v>2452</v>
      </c>
      <c r="B487" s="129" t="s">
        <v>2155</v>
      </c>
    </row>
    <row r="488" spans="1:2">
      <c r="A488" s="129" t="s">
        <v>1126</v>
      </c>
      <c r="B488" s="129" t="s">
        <v>2410</v>
      </c>
    </row>
    <row r="489" spans="1:2">
      <c r="A489" s="129" t="s">
        <v>2381</v>
      </c>
      <c r="B489" s="129" t="s">
        <v>2159</v>
      </c>
    </row>
    <row r="490" spans="1:2">
      <c r="A490" s="129" t="s">
        <v>127</v>
      </c>
      <c r="B490" s="129" t="s">
        <v>2153</v>
      </c>
    </row>
    <row r="491" spans="1:2">
      <c r="A491" s="129" t="s">
        <v>127</v>
      </c>
      <c r="B491" s="129" t="s">
        <v>3005</v>
      </c>
    </row>
    <row r="492" spans="1:2">
      <c r="A492" s="129" t="s">
        <v>347</v>
      </c>
      <c r="B492" s="129" t="s">
        <v>3005</v>
      </c>
    </row>
    <row r="493" spans="1:2">
      <c r="A493" s="129" t="s">
        <v>1794</v>
      </c>
      <c r="B493" s="129" t="s">
        <v>2410</v>
      </c>
    </row>
    <row r="494" spans="1:2">
      <c r="A494" s="129" t="s">
        <v>1796</v>
      </c>
      <c r="B494" s="129" t="s">
        <v>2410</v>
      </c>
    </row>
    <row r="495" spans="1:2">
      <c r="A495" s="129" t="s">
        <v>2416</v>
      </c>
      <c r="B495" s="129" t="s">
        <v>2159</v>
      </c>
    </row>
    <row r="496" spans="1:2">
      <c r="A496" s="129" t="s">
        <v>422</v>
      </c>
      <c r="B496" s="129" t="s">
        <v>3005</v>
      </c>
    </row>
    <row r="497" spans="1:2">
      <c r="A497" s="129" t="s">
        <v>815</v>
      </c>
      <c r="B497" s="129" t="s">
        <v>2410</v>
      </c>
    </row>
    <row r="498" spans="1:2">
      <c r="A498" s="129" t="s">
        <v>419</v>
      </c>
      <c r="B498" s="129" t="s">
        <v>3005</v>
      </c>
    </row>
    <row r="499" spans="1:2">
      <c r="A499" s="129" t="s">
        <v>419</v>
      </c>
      <c r="B499" s="129" t="s">
        <v>2153</v>
      </c>
    </row>
    <row r="500" spans="1:2">
      <c r="A500" s="129" t="s">
        <v>1690</v>
      </c>
      <c r="B500" s="129" t="s">
        <v>2159</v>
      </c>
    </row>
    <row r="501" spans="1:2">
      <c r="A501" s="129" t="s">
        <v>1265</v>
      </c>
      <c r="B501" s="129" t="s">
        <v>2159</v>
      </c>
    </row>
    <row r="502" spans="1:2">
      <c r="A502" s="129" t="s">
        <v>1411</v>
      </c>
      <c r="B502" s="129" t="s">
        <v>2410</v>
      </c>
    </row>
    <row r="503" spans="1:2">
      <c r="A503" s="129" t="s">
        <v>833</v>
      </c>
      <c r="B503" s="129" t="s">
        <v>2410</v>
      </c>
    </row>
    <row r="504" spans="1:2">
      <c r="A504" s="129" t="s">
        <v>1091</v>
      </c>
      <c r="B504" s="129" t="s">
        <v>2410</v>
      </c>
    </row>
    <row r="505" spans="1:2">
      <c r="A505" s="129" t="s">
        <v>251</v>
      </c>
      <c r="B505" s="129" t="s">
        <v>3005</v>
      </c>
    </row>
    <row r="506" spans="1:2">
      <c r="A506" s="129" t="s">
        <v>2486</v>
      </c>
      <c r="B506" s="129" t="s">
        <v>3007</v>
      </c>
    </row>
    <row r="507" spans="1:2">
      <c r="A507" s="129" t="s">
        <v>2486</v>
      </c>
      <c r="B507" s="129" t="s">
        <v>2155</v>
      </c>
    </row>
    <row r="508" spans="1:2">
      <c r="A508" s="129" t="s">
        <v>1586</v>
      </c>
      <c r="B508" s="129" t="s">
        <v>2410</v>
      </c>
    </row>
    <row r="509" spans="1:2">
      <c r="A509" s="129" t="s">
        <v>1559</v>
      </c>
      <c r="B509" s="129" t="s">
        <v>2417</v>
      </c>
    </row>
    <row r="510" spans="1:2">
      <c r="A510" s="129" t="s">
        <v>1824</v>
      </c>
      <c r="B510" s="129" t="s">
        <v>2417</v>
      </c>
    </row>
    <row r="511" spans="1:2">
      <c r="A511" s="129" t="s">
        <v>1824</v>
      </c>
      <c r="B511" s="129" t="s">
        <v>2158</v>
      </c>
    </row>
    <row r="512" spans="1:2">
      <c r="A512" s="129" t="s">
        <v>1561</v>
      </c>
      <c r="B512" s="129" t="s">
        <v>2417</v>
      </c>
    </row>
    <row r="513" spans="1:2">
      <c r="A513" s="129" t="s">
        <v>1443</v>
      </c>
      <c r="B513" s="129" t="s">
        <v>2410</v>
      </c>
    </row>
    <row r="514" spans="1:2">
      <c r="A514" s="129" t="s">
        <v>1443</v>
      </c>
      <c r="B514" s="129" t="s">
        <v>2159</v>
      </c>
    </row>
    <row r="515" spans="1:2">
      <c r="A515" s="129" t="s">
        <v>2264</v>
      </c>
      <c r="B515" s="129" t="s">
        <v>2153</v>
      </c>
    </row>
    <row r="516" spans="1:2">
      <c r="A516" s="129" t="s">
        <v>30</v>
      </c>
      <c r="B516" s="129" t="s">
        <v>2155</v>
      </c>
    </row>
    <row r="517" spans="1:2">
      <c r="A517" s="129" t="s">
        <v>30</v>
      </c>
      <c r="B517" s="129" t="s">
        <v>3086</v>
      </c>
    </row>
    <row r="518" spans="1:2">
      <c r="A518" s="129" t="s">
        <v>30</v>
      </c>
      <c r="B518" s="129" t="s">
        <v>3007</v>
      </c>
    </row>
    <row r="519" spans="1:2">
      <c r="A519" s="129" t="s">
        <v>1930</v>
      </c>
      <c r="B519" s="129" t="s">
        <v>2410</v>
      </c>
    </row>
    <row r="520" spans="1:2">
      <c r="A520" s="129" t="s">
        <v>1638</v>
      </c>
      <c r="B520" s="129" t="s">
        <v>2410</v>
      </c>
    </row>
    <row r="521" spans="1:2">
      <c r="A521" s="129" t="s">
        <v>1638</v>
      </c>
      <c r="B521" s="129" t="s">
        <v>2159</v>
      </c>
    </row>
    <row r="522" spans="1:2">
      <c r="A522" s="129" t="s">
        <v>1970</v>
      </c>
      <c r="B522" s="129" t="s">
        <v>2153</v>
      </c>
    </row>
    <row r="523" spans="1:2">
      <c r="A523" s="129" t="s">
        <v>1970</v>
      </c>
      <c r="B523" s="129" t="s">
        <v>3005</v>
      </c>
    </row>
    <row r="524" spans="1:2">
      <c r="A524" s="129" t="s">
        <v>2133</v>
      </c>
      <c r="B524" s="129" t="s">
        <v>3007</v>
      </c>
    </row>
    <row r="525" spans="1:2">
      <c r="A525" s="129" t="s">
        <v>369</v>
      </c>
      <c r="B525" s="129" t="s">
        <v>2153</v>
      </c>
    </row>
    <row r="526" spans="1:2">
      <c r="A526" s="129" t="s">
        <v>369</v>
      </c>
      <c r="B526" s="129" t="s">
        <v>3005</v>
      </c>
    </row>
    <row r="527" spans="1:2">
      <c r="A527" s="129" t="s">
        <v>3087</v>
      </c>
      <c r="B527" s="129" t="s">
        <v>2153</v>
      </c>
    </row>
    <row r="528" spans="1:2">
      <c r="A528" s="129" t="s">
        <v>3087</v>
      </c>
      <c r="B528" s="129" t="s">
        <v>3005</v>
      </c>
    </row>
    <row r="529" spans="1:2">
      <c r="A529" s="129" t="s">
        <v>3088</v>
      </c>
      <c r="B529" s="129" t="s">
        <v>2155</v>
      </c>
    </row>
    <row r="530" spans="1:2">
      <c r="A530" s="129" t="s">
        <v>2170</v>
      </c>
      <c r="B530" s="129" t="s">
        <v>2155</v>
      </c>
    </row>
    <row r="531" spans="1:2">
      <c r="A531" s="129" t="s">
        <v>2170</v>
      </c>
      <c r="B531" s="129" t="s">
        <v>3007</v>
      </c>
    </row>
    <row r="532" spans="1:2">
      <c r="A532" s="129" t="s">
        <v>3089</v>
      </c>
      <c r="B532" s="129" t="s">
        <v>2155</v>
      </c>
    </row>
    <row r="533" spans="1:2">
      <c r="A533" s="129" t="s">
        <v>2313</v>
      </c>
      <c r="B533" s="129" t="s">
        <v>2410</v>
      </c>
    </row>
    <row r="534" spans="1:2">
      <c r="A534" s="129" t="s">
        <v>2348</v>
      </c>
      <c r="B534" s="129" t="s">
        <v>3007</v>
      </c>
    </row>
    <row r="535" spans="1:2">
      <c r="A535" s="129" t="s">
        <v>2584</v>
      </c>
      <c r="B535" s="129" t="s">
        <v>2155</v>
      </c>
    </row>
    <row r="536" spans="1:2">
      <c r="A536" s="129" t="s">
        <v>3090</v>
      </c>
      <c r="B536" s="129" t="s">
        <v>2155</v>
      </c>
    </row>
    <row r="537" spans="1:2">
      <c r="A537" s="129" t="s">
        <v>2145</v>
      </c>
      <c r="B537" s="129" t="s">
        <v>3005</v>
      </c>
    </row>
    <row r="538" spans="1:2">
      <c r="A538" s="129" t="s">
        <v>2145</v>
      </c>
      <c r="B538" s="129" t="s">
        <v>2153</v>
      </c>
    </row>
    <row r="539" spans="1:2">
      <c r="A539" s="129" t="s">
        <v>2506</v>
      </c>
      <c r="B539" s="129" t="s">
        <v>3005</v>
      </c>
    </row>
    <row r="540" spans="1:2">
      <c r="A540" s="129" t="s">
        <v>1834</v>
      </c>
      <c r="B540" s="129" t="s">
        <v>3008</v>
      </c>
    </row>
    <row r="541" spans="1:2">
      <c r="A541" s="129" t="s">
        <v>2191</v>
      </c>
      <c r="B541" s="129" t="s">
        <v>3007</v>
      </c>
    </row>
    <row r="542" spans="1:2">
      <c r="A542" s="129" t="s">
        <v>2191</v>
      </c>
      <c r="B542" s="129" t="s">
        <v>2155</v>
      </c>
    </row>
    <row r="543" spans="1:2">
      <c r="A543" s="129" t="s">
        <v>1192</v>
      </c>
      <c r="B543" s="129" t="s">
        <v>2153</v>
      </c>
    </row>
    <row r="544" spans="1:2">
      <c r="A544" s="129" t="s">
        <v>28</v>
      </c>
      <c r="B544" s="129" t="s">
        <v>3007</v>
      </c>
    </row>
    <row r="545" spans="1:2">
      <c r="A545" s="129" t="s">
        <v>1414</v>
      </c>
      <c r="B545" s="129" t="s">
        <v>2410</v>
      </c>
    </row>
    <row r="546" spans="1:2">
      <c r="A546" s="129" t="s">
        <v>1414</v>
      </c>
      <c r="B546" s="129" t="s">
        <v>2159</v>
      </c>
    </row>
    <row r="547" spans="1:2">
      <c r="A547" s="129" t="s">
        <v>2034</v>
      </c>
      <c r="B547" s="129" t="s">
        <v>3008</v>
      </c>
    </row>
    <row r="548" spans="1:2">
      <c r="A548" s="129" t="s">
        <v>3091</v>
      </c>
      <c r="B548" s="129" t="s">
        <v>2153</v>
      </c>
    </row>
    <row r="549" spans="1:2">
      <c r="A549" s="129" t="s">
        <v>2384</v>
      </c>
      <c r="B549" s="129" t="s">
        <v>2159</v>
      </c>
    </row>
    <row r="550" spans="1:2">
      <c r="A550" s="129" t="s">
        <v>3092</v>
      </c>
      <c r="B550" s="129" t="s">
        <v>2410</v>
      </c>
    </row>
    <row r="551" spans="1:2">
      <c r="A551" s="129" t="s">
        <v>3092</v>
      </c>
      <c r="B551" s="129" t="s">
        <v>2159</v>
      </c>
    </row>
    <row r="552" spans="1:2">
      <c r="A552" s="129" t="s">
        <v>3093</v>
      </c>
      <c r="B552" s="129" t="s">
        <v>2155</v>
      </c>
    </row>
    <row r="553" spans="1:2">
      <c r="A553" s="129" t="s">
        <v>2398</v>
      </c>
      <c r="B553" s="129" t="s">
        <v>3005</v>
      </c>
    </row>
    <row r="554" spans="1:2">
      <c r="A554" s="129" t="s">
        <v>2398</v>
      </c>
      <c r="B554" s="129" t="s">
        <v>2153</v>
      </c>
    </row>
    <row r="555" spans="1:2">
      <c r="A555" s="129" t="s">
        <v>977</v>
      </c>
      <c r="B555" s="129" t="s">
        <v>3008</v>
      </c>
    </row>
    <row r="556" spans="1:2">
      <c r="A556" s="129" t="s">
        <v>2534</v>
      </c>
      <c r="B556" s="129" t="s">
        <v>2159</v>
      </c>
    </row>
    <row r="557" spans="1:2">
      <c r="A557" s="129" t="s">
        <v>679</v>
      </c>
      <c r="B557" s="129" t="s">
        <v>3005</v>
      </c>
    </row>
    <row r="558" spans="1:2">
      <c r="A558" s="129" t="s">
        <v>3094</v>
      </c>
      <c r="B558" s="129" t="s">
        <v>2155</v>
      </c>
    </row>
    <row r="559" spans="1:2">
      <c r="A559" s="129" t="s">
        <v>304</v>
      </c>
      <c r="B559" s="129" t="s">
        <v>3005</v>
      </c>
    </row>
    <row r="560" spans="1:2">
      <c r="A560" s="129" t="s">
        <v>304</v>
      </c>
      <c r="B560" s="129" t="s">
        <v>2153</v>
      </c>
    </row>
    <row r="561" spans="1:2">
      <c r="A561" s="129" t="s">
        <v>3095</v>
      </c>
      <c r="B561" s="129" t="s">
        <v>2410</v>
      </c>
    </row>
    <row r="562" spans="1:2">
      <c r="A562" s="129" t="s">
        <v>3095</v>
      </c>
      <c r="B562" s="129" t="s">
        <v>2159</v>
      </c>
    </row>
    <row r="563" spans="1:2">
      <c r="A563" s="129" t="s">
        <v>2571</v>
      </c>
      <c r="B563" s="129" t="s">
        <v>2159</v>
      </c>
    </row>
    <row r="564" spans="1:2">
      <c r="A564" s="129" t="s">
        <v>568</v>
      </c>
      <c r="B564" s="129" t="s">
        <v>2153</v>
      </c>
    </row>
    <row r="565" spans="1:2">
      <c r="A565" s="129" t="s">
        <v>568</v>
      </c>
      <c r="B565" s="129" t="s">
        <v>3005</v>
      </c>
    </row>
    <row r="566" spans="1:2">
      <c r="A566" s="129" t="s">
        <v>1896</v>
      </c>
      <c r="B566" s="129" t="s">
        <v>2417</v>
      </c>
    </row>
    <row r="567" spans="1:2">
      <c r="A567" s="129" t="s">
        <v>1896</v>
      </c>
      <c r="B567" s="129" t="s">
        <v>2158</v>
      </c>
    </row>
    <row r="568" spans="1:2">
      <c r="A568" s="129" t="s">
        <v>1056</v>
      </c>
      <c r="B568" s="129" t="s">
        <v>2417</v>
      </c>
    </row>
    <row r="569" spans="1:2">
      <c r="A569" s="129" t="s">
        <v>3096</v>
      </c>
      <c r="B569" s="129" t="s">
        <v>2155</v>
      </c>
    </row>
    <row r="570" spans="1:2">
      <c r="A570" s="129" t="s">
        <v>3097</v>
      </c>
      <c r="B570" s="129" t="s">
        <v>3007</v>
      </c>
    </row>
    <row r="571" spans="1:2">
      <c r="A571" s="129" t="s">
        <v>2295</v>
      </c>
      <c r="B571" s="129" t="s">
        <v>2159</v>
      </c>
    </row>
    <row r="572" spans="1:2">
      <c r="A572" s="129" t="s">
        <v>683</v>
      </c>
      <c r="B572" s="129" t="s">
        <v>3005</v>
      </c>
    </row>
    <row r="573" spans="1:2">
      <c r="A573" s="129" t="s">
        <v>3098</v>
      </c>
      <c r="B573" s="129" t="s">
        <v>2159</v>
      </c>
    </row>
    <row r="574" spans="1:2">
      <c r="A574" s="129" t="s">
        <v>90</v>
      </c>
      <c r="B574" s="129" t="s">
        <v>3005</v>
      </c>
    </row>
    <row r="575" spans="1:2">
      <c r="A575" s="129" t="s">
        <v>1309</v>
      </c>
      <c r="B575" s="129" t="s">
        <v>2159</v>
      </c>
    </row>
    <row r="576" spans="1:2">
      <c r="A576" s="129" t="s">
        <v>1309</v>
      </c>
      <c r="B576" s="129" t="s">
        <v>2410</v>
      </c>
    </row>
    <row r="577" spans="1:2">
      <c r="A577" s="129" t="s">
        <v>2311</v>
      </c>
      <c r="B577" s="129" t="s">
        <v>2155</v>
      </c>
    </row>
    <row r="578" spans="1:2">
      <c r="A578" s="129" t="s">
        <v>1544</v>
      </c>
      <c r="B578" s="129" t="s">
        <v>3008</v>
      </c>
    </row>
    <row r="579" spans="1:2">
      <c r="A579" s="129" t="s">
        <v>2094</v>
      </c>
      <c r="B579" s="129" t="s">
        <v>3008</v>
      </c>
    </row>
    <row r="580" spans="1:2">
      <c r="A580" s="129" t="s">
        <v>765</v>
      </c>
      <c r="B580" s="129" t="s">
        <v>3005</v>
      </c>
    </row>
    <row r="581" spans="1:2">
      <c r="A581" s="129" t="s">
        <v>933</v>
      </c>
      <c r="B581" s="129" t="s">
        <v>3005</v>
      </c>
    </row>
    <row r="582" spans="1:2">
      <c r="A582" s="129" t="s">
        <v>511</v>
      </c>
      <c r="B582" s="129" t="s">
        <v>3005</v>
      </c>
    </row>
    <row r="583" spans="1:2">
      <c r="A583" s="129" t="s">
        <v>3099</v>
      </c>
      <c r="B583" s="129" t="s">
        <v>2155</v>
      </c>
    </row>
    <row r="584" spans="1:2">
      <c r="A584" s="129" t="s">
        <v>32</v>
      </c>
      <c r="B584" s="129" t="s">
        <v>3007</v>
      </c>
    </row>
    <row r="585" spans="1:2">
      <c r="A585" s="129" t="s">
        <v>2430</v>
      </c>
      <c r="B585" s="129" t="s">
        <v>2155</v>
      </c>
    </row>
    <row r="586" spans="1:2">
      <c r="A586" s="129" t="s">
        <v>2430</v>
      </c>
      <c r="B586" s="129" t="s">
        <v>3007</v>
      </c>
    </row>
    <row r="587" spans="1:2">
      <c r="A587" s="129" t="s">
        <v>1374</v>
      </c>
      <c r="B587" s="129" t="s">
        <v>2157</v>
      </c>
    </row>
    <row r="588" spans="1:2">
      <c r="A588" s="129" t="s">
        <v>1374</v>
      </c>
      <c r="B588" s="129" t="s">
        <v>2153</v>
      </c>
    </row>
    <row r="589" spans="1:2">
      <c r="A589" s="129" t="s">
        <v>1374</v>
      </c>
      <c r="B589" s="129" t="s">
        <v>3005</v>
      </c>
    </row>
    <row r="590" spans="1:2">
      <c r="A590" s="129" t="s">
        <v>371</v>
      </c>
      <c r="B590" s="129" t="s">
        <v>3005</v>
      </c>
    </row>
    <row r="591" spans="1:2">
      <c r="A591" s="129" t="s">
        <v>3100</v>
      </c>
      <c r="B591" s="129" t="s">
        <v>2159</v>
      </c>
    </row>
    <row r="592" spans="1:2">
      <c r="A592" s="129" t="s">
        <v>1600</v>
      </c>
      <c r="B592" s="129" t="s">
        <v>2159</v>
      </c>
    </row>
    <row r="593" spans="1:2">
      <c r="A593" s="129" t="s">
        <v>3101</v>
      </c>
      <c r="B593" s="129" t="s">
        <v>2159</v>
      </c>
    </row>
    <row r="594" spans="1:2">
      <c r="A594" s="129" t="s">
        <v>2358</v>
      </c>
      <c r="B594" s="129" t="s">
        <v>3007</v>
      </c>
    </row>
    <row r="595" spans="1:2">
      <c r="A595" s="129" t="s">
        <v>2358</v>
      </c>
      <c r="B595" s="129" t="s">
        <v>2155</v>
      </c>
    </row>
    <row r="596" spans="1:2">
      <c r="A596" s="129" t="s">
        <v>3102</v>
      </c>
      <c r="B596" s="129" t="s">
        <v>2155</v>
      </c>
    </row>
    <row r="597" spans="1:2">
      <c r="A597" s="129" t="s">
        <v>3103</v>
      </c>
      <c r="B597" s="129" t="s">
        <v>2155</v>
      </c>
    </row>
    <row r="598" spans="1:2">
      <c r="A598" s="129" t="s">
        <v>363</v>
      </c>
      <c r="B598" s="129" t="s">
        <v>2153</v>
      </c>
    </row>
    <row r="599" spans="1:2">
      <c r="A599" s="129" t="s">
        <v>363</v>
      </c>
      <c r="B599" s="129" t="s">
        <v>3005</v>
      </c>
    </row>
    <row r="600" spans="1:2">
      <c r="A600" s="129" t="s">
        <v>949</v>
      </c>
      <c r="B600" s="129" t="s">
        <v>3005</v>
      </c>
    </row>
    <row r="601" spans="1:2">
      <c r="A601" s="129" t="s">
        <v>2562</v>
      </c>
      <c r="B601" s="129" t="s">
        <v>2155</v>
      </c>
    </row>
    <row r="602" spans="1:2">
      <c r="A602" s="129" t="s">
        <v>1074</v>
      </c>
      <c r="B602" s="129" t="s">
        <v>2417</v>
      </c>
    </row>
    <row r="603" spans="1:2">
      <c r="A603" s="129" t="s">
        <v>247</v>
      </c>
      <c r="B603" s="129" t="s">
        <v>2153</v>
      </c>
    </row>
    <row r="604" spans="1:2">
      <c r="A604" s="129" t="s">
        <v>2049</v>
      </c>
      <c r="B604" s="129" t="s">
        <v>2157</v>
      </c>
    </row>
    <row r="605" spans="1:2">
      <c r="A605" s="129" t="s">
        <v>2049</v>
      </c>
      <c r="B605" s="129" t="s">
        <v>2159</v>
      </c>
    </row>
    <row r="606" spans="1:2">
      <c r="A606" s="129" t="s">
        <v>2049</v>
      </c>
      <c r="B606" s="129" t="s">
        <v>3008</v>
      </c>
    </row>
    <row r="607" spans="1:2">
      <c r="A607" s="129" t="s">
        <v>2137</v>
      </c>
      <c r="B607" s="129" t="s">
        <v>2159</v>
      </c>
    </row>
    <row r="608" spans="1:2">
      <c r="A608" s="129" t="s">
        <v>3104</v>
      </c>
      <c r="B608" s="129" t="s">
        <v>3007</v>
      </c>
    </row>
    <row r="609" spans="1:2">
      <c r="A609" s="129" t="s">
        <v>3104</v>
      </c>
      <c r="B609" s="129" t="s">
        <v>2155</v>
      </c>
    </row>
    <row r="610" spans="1:2">
      <c r="A610" s="129" t="s">
        <v>455</v>
      </c>
      <c r="B610" s="129" t="s">
        <v>3005</v>
      </c>
    </row>
    <row r="611" spans="1:2">
      <c r="A611" s="129" t="s">
        <v>455</v>
      </c>
      <c r="B611" s="129" t="s">
        <v>2153</v>
      </c>
    </row>
    <row r="612" spans="1:2">
      <c r="A612" s="129" t="s">
        <v>2567</v>
      </c>
      <c r="B612" s="129" t="s">
        <v>2159</v>
      </c>
    </row>
    <row r="613" spans="1:2">
      <c r="A613" s="129" t="s">
        <v>351</v>
      </c>
      <c r="B613" s="129" t="s">
        <v>2153</v>
      </c>
    </row>
    <row r="614" spans="1:2">
      <c r="A614" s="129" t="s">
        <v>351</v>
      </c>
      <c r="B614" s="129" t="s">
        <v>3005</v>
      </c>
    </row>
    <row r="615" spans="1:2">
      <c r="A615" s="129" t="s">
        <v>3105</v>
      </c>
      <c r="B615" s="129" t="s">
        <v>3005</v>
      </c>
    </row>
    <row r="616" spans="1:2">
      <c r="A616" s="129" t="s">
        <v>2178</v>
      </c>
      <c r="B616" s="129" t="s">
        <v>2159</v>
      </c>
    </row>
    <row r="617" spans="1:2">
      <c r="A617" s="129" t="s">
        <v>3106</v>
      </c>
      <c r="B617" s="129" t="s">
        <v>3007</v>
      </c>
    </row>
    <row r="618" spans="1:2">
      <c r="A618" s="129" t="s">
        <v>1329</v>
      </c>
      <c r="B618" s="129" t="s">
        <v>2159</v>
      </c>
    </row>
    <row r="619" spans="1:2">
      <c r="A619" s="129" t="s">
        <v>1329</v>
      </c>
      <c r="B619" s="129" t="s">
        <v>2410</v>
      </c>
    </row>
    <row r="620" spans="1:2">
      <c r="A620" s="129" t="s">
        <v>3107</v>
      </c>
      <c r="B620" s="129" t="s">
        <v>2155</v>
      </c>
    </row>
    <row r="621" spans="1:2">
      <c r="A621" s="129" t="s">
        <v>1333</v>
      </c>
      <c r="B621" s="129" t="s">
        <v>2159</v>
      </c>
    </row>
    <row r="622" spans="1:2">
      <c r="A622" s="129" t="s">
        <v>2614</v>
      </c>
      <c r="B622" s="129" t="s">
        <v>2153</v>
      </c>
    </row>
    <row r="623" spans="1:2">
      <c r="A623" s="129" t="s">
        <v>3108</v>
      </c>
      <c r="B623" s="129" t="s">
        <v>2159</v>
      </c>
    </row>
    <row r="624" spans="1:2">
      <c r="A624" s="129" t="s">
        <v>1399</v>
      </c>
      <c r="B624" s="129" t="s">
        <v>2410</v>
      </c>
    </row>
    <row r="625" spans="1:2">
      <c r="A625" s="129" t="s">
        <v>1399</v>
      </c>
      <c r="B625" s="129" t="s">
        <v>2159</v>
      </c>
    </row>
    <row r="626" spans="1:2">
      <c r="A626" s="129" t="s">
        <v>659</v>
      </c>
      <c r="B626" s="129" t="s">
        <v>3005</v>
      </c>
    </row>
    <row r="627" spans="1:2">
      <c r="A627" s="129" t="s">
        <v>1821</v>
      </c>
      <c r="B627" s="129" t="s">
        <v>2410</v>
      </c>
    </row>
    <row r="628" spans="1:2">
      <c r="A628" s="129" t="s">
        <v>1271</v>
      </c>
      <c r="B628" s="129" t="s">
        <v>2159</v>
      </c>
    </row>
    <row r="629" spans="1:2">
      <c r="A629" s="129" t="s">
        <v>2564</v>
      </c>
      <c r="B629" s="129" t="s">
        <v>3007</v>
      </c>
    </row>
    <row r="630" spans="1:2">
      <c r="A630" s="129" t="s">
        <v>2564</v>
      </c>
      <c r="B630" s="129" t="s">
        <v>2155</v>
      </c>
    </row>
    <row r="631" spans="1:2">
      <c r="A631" s="129" t="s">
        <v>1019</v>
      </c>
      <c r="B631" s="129" t="s">
        <v>2410</v>
      </c>
    </row>
    <row r="632" spans="1:2">
      <c r="A632" s="129" t="s">
        <v>3109</v>
      </c>
      <c r="B632" s="129" t="s">
        <v>3007</v>
      </c>
    </row>
    <row r="633" spans="1:2">
      <c r="A633" s="129" t="s">
        <v>1839</v>
      </c>
      <c r="B633" s="129" t="s">
        <v>3008</v>
      </c>
    </row>
    <row r="634" spans="1:2">
      <c r="A634" s="129" t="s">
        <v>1839</v>
      </c>
      <c r="B634" s="129" t="s">
        <v>2157</v>
      </c>
    </row>
    <row r="635" spans="1:2">
      <c r="A635" s="129" t="s">
        <v>835</v>
      </c>
      <c r="B635" s="129" t="s">
        <v>3005</v>
      </c>
    </row>
    <row r="636" spans="1:2">
      <c r="A636" s="129" t="s">
        <v>829</v>
      </c>
      <c r="B636" s="129" t="s">
        <v>2410</v>
      </c>
    </row>
    <row r="637" spans="1:2">
      <c r="A637" s="129" t="s">
        <v>3110</v>
      </c>
      <c r="B637" s="129" t="s">
        <v>2155</v>
      </c>
    </row>
    <row r="638" spans="1:2">
      <c r="A638" s="129" t="s">
        <v>2136</v>
      </c>
      <c r="B638" s="129" t="s">
        <v>3005</v>
      </c>
    </row>
    <row r="639" spans="1:2">
      <c r="A639" s="129" t="s">
        <v>2136</v>
      </c>
      <c r="B639" s="129" t="s">
        <v>2153</v>
      </c>
    </row>
    <row r="640" spans="1:2">
      <c r="A640" s="129" t="s">
        <v>3111</v>
      </c>
      <c r="B640" s="129" t="s">
        <v>2153</v>
      </c>
    </row>
    <row r="641" spans="1:2">
      <c r="A641" s="129" t="s">
        <v>2549</v>
      </c>
      <c r="B641" s="129" t="s">
        <v>3005</v>
      </c>
    </row>
    <row r="642" spans="1:2">
      <c r="A642" s="129" t="s">
        <v>2549</v>
      </c>
      <c r="B642" s="129" t="s">
        <v>2153</v>
      </c>
    </row>
    <row r="643" spans="1:2">
      <c r="A643" s="129" t="s">
        <v>237</v>
      </c>
      <c r="B643" s="129" t="s">
        <v>2153</v>
      </c>
    </row>
    <row r="644" spans="1:2">
      <c r="A644" s="129" t="s">
        <v>237</v>
      </c>
      <c r="B644" s="129" t="s">
        <v>3005</v>
      </c>
    </row>
    <row r="645" spans="1:2">
      <c r="A645" s="129" t="s">
        <v>39</v>
      </c>
      <c r="B645" s="129" t="s">
        <v>3086</v>
      </c>
    </row>
    <row r="646" spans="1:2">
      <c r="A646" s="129" t="s">
        <v>3112</v>
      </c>
      <c r="B646" s="129" t="s">
        <v>2159</v>
      </c>
    </row>
    <row r="647" spans="1:2">
      <c r="A647" s="129" t="s">
        <v>2261</v>
      </c>
      <c r="B647" s="129" t="s">
        <v>3007</v>
      </c>
    </row>
    <row r="648" spans="1:2">
      <c r="A648" s="129" t="s">
        <v>979</v>
      </c>
      <c r="B648" s="129" t="s">
        <v>2410</v>
      </c>
    </row>
    <row r="649" spans="1:2">
      <c r="A649" s="129" t="s">
        <v>3113</v>
      </c>
      <c r="B649" s="129" t="s">
        <v>3005</v>
      </c>
    </row>
    <row r="650" spans="1:2">
      <c r="A650" s="129" t="s">
        <v>1021</v>
      </c>
      <c r="B650" s="129" t="s">
        <v>2410</v>
      </c>
    </row>
    <row r="651" spans="1:2">
      <c r="A651" s="129" t="s">
        <v>1658</v>
      </c>
      <c r="B651" s="129" t="s">
        <v>2417</v>
      </c>
    </row>
    <row r="652" spans="1:2">
      <c r="A652" s="129" t="s">
        <v>2152</v>
      </c>
      <c r="B652" s="129" t="s">
        <v>2410</v>
      </c>
    </row>
    <row r="653" spans="1:2">
      <c r="A653" s="129" t="s">
        <v>2152</v>
      </c>
      <c r="B653" s="129" t="s">
        <v>2159</v>
      </c>
    </row>
    <row r="654" spans="1:2">
      <c r="A654" s="129" t="s">
        <v>1356</v>
      </c>
      <c r="B654" s="129" t="s">
        <v>2159</v>
      </c>
    </row>
    <row r="655" spans="1:2">
      <c r="A655" s="129" t="s">
        <v>1356</v>
      </c>
      <c r="B655" s="129" t="s">
        <v>2410</v>
      </c>
    </row>
    <row r="656" spans="1:2">
      <c r="A656" s="129" t="s">
        <v>2635</v>
      </c>
      <c r="B656" s="129" t="s">
        <v>3005</v>
      </c>
    </row>
    <row r="657" spans="1:2">
      <c r="A657" s="129" t="s">
        <v>1528</v>
      </c>
      <c r="B657" s="129" t="s">
        <v>2410</v>
      </c>
    </row>
    <row r="658" spans="1:2">
      <c r="A658" s="129" t="s">
        <v>2233</v>
      </c>
      <c r="B658" s="129" t="s">
        <v>2410</v>
      </c>
    </row>
    <row r="659" spans="1:2">
      <c r="A659" s="129" t="s">
        <v>2233</v>
      </c>
      <c r="B659" s="129" t="s">
        <v>2159</v>
      </c>
    </row>
    <row r="660" spans="1:2">
      <c r="A660" s="129" t="s">
        <v>2196</v>
      </c>
      <c r="B660" s="129" t="s">
        <v>2410</v>
      </c>
    </row>
    <row r="661" spans="1:2">
      <c r="A661" s="129" t="s">
        <v>2196</v>
      </c>
      <c r="B661" s="129" t="s">
        <v>2159</v>
      </c>
    </row>
    <row r="662" spans="1:2">
      <c r="A662" s="129" t="s">
        <v>2593</v>
      </c>
      <c r="B662" s="129" t="s">
        <v>2159</v>
      </c>
    </row>
    <row r="663" spans="1:2">
      <c r="A663" s="129" t="s">
        <v>3114</v>
      </c>
      <c r="B663" s="129" t="s">
        <v>2155</v>
      </c>
    </row>
    <row r="664" spans="1:2">
      <c r="A664" s="129" t="s">
        <v>353</v>
      </c>
      <c r="B664" s="129" t="s">
        <v>3005</v>
      </c>
    </row>
    <row r="665" spans="1:2">
      <c r="A665" s="129" t="s">
        <v>858</v>
      </c>
      <c r="B665" s="129" t="s">
        <v>2410</v>
      </c>
    </row>
    <row r="666" spans="1:2">
      <c r="A666" s="129" t="s">
        <v>1592</v>
      </c>
      <c r="B666" s="129" t="s">
        <v>2159</v>
      </c>
    </row>
    <row r="667" spans="1:2">
      <c r="A667" s="129" t="s">
        <v>1592</v>
      </c>
      <c r="B667" s="129" t="s">
        <v>2410</v>
      </c>
    </row>
    <row r="668" spans="1:2">
      <c r="A668" s="129" t="s">
        <v>260</v>
      </c>
      <c r="B668" s="129" t="s">
        <v>3005</v>
      </c>
    </row>
    <row r="669" spans="1:2">
      <c r="A669" s="129" t="s">
        <v>299</v>
      </c>
      <c r="B669" s="129" t="s">
        <v>3005</v>
      </c>
    </row>
    <row r="670" spans="1:2">
      <c r="A670" s="129" t="s">
        <v>1167</v>
      </c>
      <c r="B670" s="129" t="s">
        <v>3005</v>
      </c>
    </row>
    <row r="671" spans="1:2">
      <c r="A671" s="129" t="s">
        <v>3115</v>
      </c>
      <c r="B671" s="129" t="s">
        <v>2153</v>
      </c>
    </row>
    <row r="672" spans="1:2">
      <c r="A672" s="129" t="s">
        <v>3115</v>
      </c>
      <c r="B672" s="129" t="s">
        <v>3005</v>
      </c>
    </row>
    <row r="673" spans="1:2">
      <c r="A673" s="129" t="s">
        <v>1667</v>
      </c>
      <c r="B673" s="129" t="s">
        <v>2410</v>
      </c>
    </row>
    <row r="674" spans="1:2">
      <c r="A674" s="129" t="s">
        <v>624</v>
      </c>
      <c r="B674" s="129" t="s">
        <v>3005</v>
      </c>
    </row>
    <row r="675" spans="1:2">
      <c r="A675" s="129" t="s">
        <v>40</v>
      </c>
      <c r="B675" s="129" t="s">
        <v>2155</v>
      </c>
    </row>
    <row r="676" spans="1:2">
      <c r="A676" s="129" t="s">
        <v>1838</v>
      </c>
      <c r="B676" s="129" t="s">
        <v>2159</v>
      </c>
    </row>
    <row r="677" spans="1:2">
      <c r="A677" s="129" t="s">
        <v>2330</v>
      </c>
      <c r="B677" s="129" t="s">
        <v>2155</v>
      </c>
    </row>
    <row r="678" spans="1:2">
      <c r="A678" s="129" t="s">
        <v>3116</v>
      </c>
      <c r="B678" s="129" t="s">
        <v>2155</v>
      </c>
    </row>
    <row r="679" spans="1:2">
      <c r="A679" s="129" t="s">
        <v>1158</v>
      </c>
      <c r="B679" s="129" t="s">
        <v>3005</v>
      </c>
    </row>
    <row r="680" spans="1:2">
      <c r="A680" s="129" t="s">
        <v>48</v>
      </c>
      <c r="B680" s="129" t="s">
        <v>3007</v>
      </c>
    </row>
    <row r="681" spans="1:2">
      <c r="A681" s="129" t="s">
        <v>2485</v>
      </c>
      <c r="B681" s="129" t="s">
        <v>2153</v>
      </c>
    </row>
    <row r="682" spans="1:2">
      <c r="A682" s="129" t="s">
        <v>1310</v>
      </c>
      <c r="B682" s="129" t="s">
        <v>2159</v>
      </c>
    </row>
    <row r="683" spans="1:2">
      <c r="A683" s="129" t="s">
        <v>1296</v>
      </c>
      <c r="B683" s="129" t="s">
        <v>2410</v>
      </c>
    </row>
    <row r="684" spans="1:2">
      <c r="A684" s="129" t="s">
        <v>1296</v>
      </c>
      <c r="B684" s="129" t="s">
        <v>2159</v>
      </c>
    </row>
    <row r="685" spans="1:2">
      <c r="A685" s="129" t="s">
        <v>1413</v>
      </c>
      <c r="B685" s="129" t="s">
        <v>2159</v>
      </c>
    </row>
    <row r="686" spans="1:2">
      <c r="A686" s="129" t="s">
        <v>1413</v>
      </c>
      <c r="B686" s="129" t="s">
        <v>2410</v>
      </c>
    </row>
    <row r="687" spans="1:2">
      <c r="A687" s="129" t="s">
        <v>3117</v>
      </c>
      <c r="B687" s="129" t="s">
        <v>3007</v>
      </c>
    </row>
    <row r="688" spans="1:2">
      <c r="A688" s="129" t="s">
        <v>3117</v>
      </c>
      <c r="B688" s="129" t="s">
        <v>2155</v>
      </c>
    </row>
    <row r="689" spans="1:2">
      <c r="A689" s="129" t="s">
        <v>1445</v>
      </c>
      <c r="B689" s="129" t="s">
        <v>2410</v>
      </c>
    </row>
    <row r="690" spans="1:2">
      <c r="A690" s="129" t="s">
        <v>2205</v>
      </c>
      <c r="B690" s="129" t="s">
        <v>3007</v>
      </c>
    </row>
    <row r="691" spans="1:2">
      <c r="A691" s="129" t="s">
        <v>1937</v>
      </c>
      <c r="B691" s="129" t="s">
        <v>2410</v>
      </c>
    </row>
    <row r="692" spans="1:2">
      <c r="A692" s="129" t="s">
        <v>199</v>
      </c>
      <c r="B692" s="129" t="s">
        <v>3005</v>
      </c>
    </row>
    <row r="693" spans="1:2">
      <c r="A693" s="129" t="s">
        <v>3118</v>
      </c>
      <c r="B693" s="129" t="s">
        <v>2155</v>
      </c>
    </row>
    <row r="694" spans="1:2">
      <c r="A694" s="129" t="s">
        <v>2537</v>
      </c>
      <c r="B694" s="129" t="s">
        <v>2410</v>
      </c>
    </row>
    <row r="695" spans="1:2">
      <c r="A695" s="129" t="s">
        <v>2537</v>
      </c>
      <c r="B695" s="129" t="s">
        <v>2159</v>
      </c>
    </row>
    <row r="696" spans="1:2">
      <c r="A696" s="129" t="s">
        <v>911</v>
      </c>
      <c r="B696" s="129" t="s">
        <v>3005</v>
      </c>
    </row>
    <row r="697" spans="1:2">
      <c r="A697" s="129" t="s">
        <v>898</v>
      </c>
      <c r="B697" s="129" t="s">
        <v>3119</v>
      </c>
    </row>
    <row r="698" spans="1:2">
      <c r="A698" s="129" t="s">
        <v>3120</v>
      </c>
      <c r="B698" s="129" t="s">
        <v>2410</v>
      </c>
    </row>
    <row r="699" spans="1:2">
      <c r="A699" s="129" t="s">
        <v>3120</v>
      </c>
      <c r="B699" s="129" t="s">
        <v>2159</v>
      </c>
    </row>
    <row r="700" spans="1:2">
      <c r="A700" s="129" t="s">
        <v>749</v>
      </c>
      <c r="B700" s="129" t="s">
        <v>3005</v>
      </c>
    </row>
    <row r="701" spans="1:2">
      <c r="A701" s="129" t="s">
        <v>3121</v>
      </c>
      <c r="B701" s="129" t="s">
        <v>2410</v>
      </c>
    </row>
    <row r="702" spans="1:2">
      <c r="A702" s="129" t="s">
        <v>3122</v>
      </c>
      <c r="B702" s="129" t="s">
        <v>2159</v>
      </c>
    </row>
    <row r="703" spans="1:2">
      <c r="A703" s="129" t="s">
        <v>2569</v>
      </c>
      <c r="B703" s="129" t="s">
        <v>2155</v>
      </c>
    </row>
    <row r="704" spans="1:2">
      <c r="A704" s="129" t="s">
        <v>378</v>
      </c>
      <c r="B704" s="129" t="s">
        <v>2153</v>
      </c>
    </row>
    <row r="705" spans="1:2">
      <c r="A705" s="129" t="s">
        <v>709</v>
      </c>
      <c r="B705" s="129" t="s">
        <v>3005</v>
      </c>
    </row>
    <row r="706" spans="1:2">
      <c r="A706" s="129" t="s">
        <v>3123</v>
      </c>
      <c r="B706" s="129" t="s">
        <v>2153</v>
      </c>
    </row>
    <row r="707" spans="1:2">
      <c r="A707" s="129" t="s">
        <v>3123</v>
      </c>
      <c r="B707" s="129" t="s">
        <v>2155</v>
      </c>
    </row>
    <row r="708" spans="1:2">
      <c r="A708" s="129" t="s">
        <v>42</v>
      </c>
      <c r="B708" s="129" t="s">
        <v>3086</v>
      </c>
    </row>
    <row r="709" spans="1:2">
      <c r="A709" s="129" t="s">
        <v>3124</v>
      </c>
      <c r="B709" s="129" t="s">
        <v>2155</v>
      </c>
    </row>
    <row r="710" spans="1:2">
      <c r="A710" s="129" t="s">
        <v>1351</v>
      </c>
      <c r="B710" s="129" t="s">
        <v>2417</v>
      </c>
    </row>
    <row r="711" spans="1:2">
      <c r="A711" s="129" t="s">
        <v>2585</v>
      </c>
      <c r="B711" s="129" t="s">
        <v>2153</v>
      </c>
    </row>
    <row r="712" spans="1:2">
      <c r="A712" s="129" t="s">
        <v>3125</v>
      </c>
      <c r="B712" s="129" t="s">
        <v>2153</v>
      </c>
    </row>
    <row r="713" spans="1:2">
      <c r="A713" s="129" t="s">
        <v>3126</v>
      </c>
      <c r="B713" s="129" t="s">
        <v>2153</v>
      </c>
    </row>
    <row r="714" spans="1:2">
      <c r="A714" s="129" t="s">
        <v>2357</v>
      </c>
      <c r="B714" s="129" t="s">
        <v>2155</v>
      </c>
    </row>
    <row r="715" spans="1:2">
      <c r="A715" s="129" t="s">
        <v>1185</v>
      </c>
      <c r="B715" s="129" t="s">
        <v>3005</v>
      </c>
    </row>
    <row r="716" spans="1:2">
      <c r="A716" s="129" t="s">
        <v>1470</v>
      </c>
      <c r="B716" s="129" t="s">
        <v>2159</v>
      </c>
    </row>
    <row r="717" spans="1:2">
      <c r="A717" s="129" t="s">
        <v>2589</v>
      </c>
      <c r="B717" s="129" t="s">
        <v>2159</v>
      </c>
    </row>
    <row r="718" spans="1:2">
      <c r="A718" s="129" t="s">
        <v>529</v>
      </c>
      <c r="B718" s="129" t="s">
        <v>3005</v>
      </c>
    </row>
    <row r="719" spans="1:2">
      <c r="A719" s="129" t="s">
        <v>1305</v>
      </c>
      <c r="B719" s="129" t="s">
        <v>2410</v>
      </c>
    </row>
    <row r="720" spans="1:2">
      <c r="A720" s="129" t="s">
        <v>3127</v>
      </c>
      <c r="B720" s="129" t="s">
        <v>2159</v>
      </c>
    </row>
    <row r="721" spans="1:2">
      <c r="A721" s="129" t="s">
        <v>3128</v>
      </c>
      <c r="B721" s="129" t="s">
        <v>2155</v>
      </c>
    </row>
    <row r="722" spans="1:2">
      <c r="A722" s="129" t="s">
        <v>1375</v>
      </c>
      <c r="B722" s="129" t="s">
        <v>2159</v>
      </c>
    </row>
    <row r="723" spans="1:2">
      <c r="A723" s="129" t="s">
        <v>1375</v>
      </c>
      <c r="B723" s="129" t="s">
        <v>2410</v>
      </c>
    </row>
    <row r="724" spans="1:2">
      <c r="A724" s="129" t="s">
        <v>3129</v>
      </c>
      <c r="B724" s="129" t="s">
        <v>2153</v>
      </c>
    </row>
    <row r="725" spans="1:2">
      <c r="A725" s="129" t="s">
        <v>3130</v>
      </c>
      <c r="B725" s="129" t="s">
        <v>2153</v>
      </c>
    </row>
    <row r="726" spans="1:2">
      <c r="A726" s="129" t="s">
        <v>969</v>
      </c>
      <c r="B726" s="129" t="s">
        <v>2410</v>
      </c>
    </row>
    <row r="727" spans="1:2">
      <c r="A727" s="129" t="s">
        <v>699</v>
      </c>
      <c r="B727" s="129" t="s">
        <v>3005</v>
      </c>
    </row>
    <row r="728" spans="1:2">
      <c r="A728" s="129" t="s">
        <v>1477</v>
      </c>
      <c r="B728" s="129" t="s">
        <v>2159</v>
      </c>
    </row>
    <row r="729" spans="1:2">
      <c r="A729" s="129" t="s">
        <v>1477</v>
      </c>
      <c r="B729" s="129" t="s">
        <v>2410</v>
      </c>
    </row>
    <row r="730" spans="1:2">
      <c r="A730" s="129" t="s">
        <v>2088</v>
      </c>
      <c r="B730" s="129" t="s">
        <v>2410</v>
      </c>
    </row>
    <row r="731" spans="1:2">
      <c r="A731" s="129" t="s">
        <v>2535</v>
      </c>
      <c r="B731" s="129" t="s">
        <v>2159</v>
      </c>
    </row>
    <row r="732" spans="1:2">
      <c r="A732" s="129" t="s">
        <v>3131</v>
      </c>
      <c r="B732" s="129" t="s">
        <v>2155</v>
      </c>
    </row>
    <row r="733" spans="1:2">
      <c r="A733" s="129" t="s">
        <v>2407</v>
      </c>
      <c r="B733" s="129" t="s">
        <v>2153</v>
      </c>
    </row>
    <row r="734" spans="1:2">
      <c r="A734" s="129" t="s">
        <v>1003</v>
      </c>
      <c r="B734" s="129" t="s">
        <v>2410</v>
      </c>
    </row>
    <row r="735" spans="1:2">
      <c r="A735" s="129" t="s">
        <v>2332</v>
      </c>
      <c r="B735" s="129" t="s">
        <v>2159</v>
      </c>
    </row>
    <row r="736" spans="1:2">
      <c r="A736" s="129" t="s">
        <v>1197</v>
      </c>
      <c r="B736" s="129" t="s">
        <v>3005</v>
      </c>
    </row>
    <row r="737" spans="1:2">
      <c r="A737" s="129" t="s">
        <v>2394</v>
      </c>
      <c r="B737" s="129" t="s">
        <v>2410</v>
      </c>
    </row>
    <row r="738" spans="1:2">
      <c r="A738" s="129" t="s">
        <v>2394</v>
      </c>
      <c r="B738" s="129" t="s">
        <v>2159</v>
      </c>
    </row>
    <row r="739" spans="1:2">
      <c r="A739" s="129" t="s">
        <v>2328</v>
      </c>
      <c r="B739" s="129" t="s">
        <v>2155</v>
      </c>
    </row>
    <row r="740" spans="1:2">
      <c r="A740" s="129" t="s">
        <v>2328</v>
      </c>
      <c r="B740" s="129" t="s">
        <v>3007</v>
      </c>
    </row>
    <row r="741" spans="1:2">
      <c r="A741" s="129" t="s">
        <v>1526</v>
      </c>
      <c r="B741" s="129" t="s">
        <v>2417</v>
      </c>
    </row>
    <row r="742" spans="1:2">
      <c r="A742" s="129" t="s">
        <v>2600</v>
      </c>
      <c r="B742" s="129" t="s">
        <v>2155</v>
      </c>
    </row>
    <row r="743" spans="1:2">
      <c r="A743" s="129" t="s">
        <v>46</v>
      </c>
      <c r="B743" s="129" t="s">
        <v>3007</v>
      </c>
    </row>
    <row r="744" spans="1:2">
      <c r="A744" s="129" t="s">
        <v>3132</v>
      </c>
      <c r="B744" s="129" t="s">
        <v>2159</v>
      </c>
    </row>
    <row r="745" spans="1:2">
      <c r="A745" s="129" t="s">
        <v>3133</v>
      </c>
      <c r="B745" s="129" t="s">
        <v>2159</v>
      </c>
    </row>
    <row r="746" spans="1:2">
      <c r="A746" s="129" t="s">
        <v>1790</v>
      </c>
      <c r="B746" s="129" t="s">
        <v>2159</v>
      </c>
    </row>
    <row r="747" spans="1:2">
      <c r="A747" s="129" t="s">
        <v>1311</v>
      </c>
      <c r="B747" s="129" t="s">
        <v>2159</v>
      </c>
    </row>
    <row r="748" spans="1:2">
      <c r="A748" s="129" t="s">
        <v>3134</v>
      </c>
      <c r="B748" s="129" t="s">
        <v>2159</v>
      </c>
    </row>
    <row r="749" spans="1:2">
      <c r="A749" s="129" t="s">
        <v>548</v>
      </c>
      <c r="B749" s="129" t="s">
        <v>3005</v>
      </c>
    </row>
    <row r="750" spans="1:2">
      <c r="A750" s="129" t="s">
        <v>2086</v>
      </c>
      <c r="B750" s="129" t="s">
        <v>3008</v>
      </c>
    </row>
    <row r="751" spans="1:2">
      <c r="A751" s="129" t="s">
        <v>3135</v>
      </c>
      <c r="B751" s="129" t="s">
        <v>2159</v>
      </c>
    </row>
    <row r="752" spans="1:2">
      <c r="A752" s="129" t="s">
        <v>927</v>
      </c>
      <c r="B752" s="129" t="s">
        <v>3005</v>
      </c>
    </row>
    <row r="753" spans="1:2">
      <c r="A753" s="129" t="s">
        <v>434</v>
      </c>
      <c r="B753" s="129" t="s">
        <v>3005</v>
      </c>
    </row>
    <row r="754" spans="1:2">
      <c r="A754" s="129" t="s">
        <v>2566</v>
      </c>
      <c r="B754" s="129" t="s">
        <v>2153</v>
      </c>
    </row>
    <row r="755" spans="1:2">
      <c r="A755" s="129" t="s">
        <v>1235</v>
      </c>
      <c r="B755" s="129" t="s">
        <v>2417</v>
      </c>
    </row>
    <row r="756" spans="1:2">
      <c r="A756" s="129" t="s">
        <v>81</v>
      </c>
      <c r="B756" s="129" t="s">
        <v>3007</v>
      </c>
    </row>
    <row r="757" spans="1:2">
      <c r="A757" s="129" t="s">
        <v>1015</v>
      </c>
      <c r="B757" s="129" t="s">
        <v>3005</v>
      </c>
    </row>
    <row r="758" spans="1:2">
      <c r="A758" s="129" t="s">
        <v>3136</v>
      </c>
      <c r="B758" s="129" t="s">
        <v>2155</v>
      </c>
    </row>
    <row r="759" spans="1:2">
      <c r="A759" s="129" t="s">
        <v>3137</v>
      </c>
      <c r="B759" s="129" t="s">
        <v>2410</v>
      </c>
    </row>
    <row r="760" spans="1:2">
      <c r="A760" s="129" t="s">
        <v>3137</v>
      </c>
      <c r="B760" s="129" t="s">
        <v>2159</v>
      </c>
    </row>
    <row r="761" spans="1:2">
      <c r="A761" s="129" t="s">
        <v>2587</v>
      </c>
      <c r="B761" s="129" t="s">
        <v>2410</v>
      </c>
    </row>
    <row r="762" spans="1:2">
      <c r="A762" s="129" t="s">
        <v>2587</v>
      </c>
      <c r="B762" s="129" t="s">
        <v>2159</v>
      </c>
    </row>
    <row r="763" spans="1:2">
      <c r="A763" s="129" t="s">
        <v>2226</v>
      </c>
      <c r="B763" s="129" t="s">
        <v>2410</v>
      </c>
    </row>
    <row r="764" spans="1:2">
      <c r="A764" s="129" t="s">
        <v>1402</v>
      </c>
      <c r="B764" s="129" t="s">
        <v>2410</v>
      </c>
    </row>
    <row r="765" spans="1:2">
      <c r="A765" s="129" t="s">
        <v>2325</v>
      </c>
      <c r="B765" s="129" t="s">
        <v>2153</v>
      </c>
    </row>
    <row r="766" spans="1:2">
      <c r="A766" s="129" t="s">
        <v>1247</v>
      </c>
      <c r="B766" s="129" t="s">
        <v>2159</v>
      </c>
    </row>
    <row r="767" spans="1:2">
      <c r="A767" s="129" t="s">
        <v>2431</v>
      </c>
      <c r="B767" s="129" t="s">
        <v>3008</v>
      </c>
    </row>
    <row r="768" spans="1:2">
      <c r="A768" s="129" t="s">
        <v>2011</v>
      </c>
      <c r="B768" s="129" t="s">
        <v>2410</v>
      </c>
    </row>
    <row r="769" spans="1:2">
      <c r="A769" s="129" t="s">
        <v>2011</v>
      </c>
      <c r="B769" s="129" t="s">
        <v>2159</v>
      </c>
    </row>
    <row r="770" spans="1:2">
      <c r="A770" s="129" t="s">
        <v>2308</v>
      </c>
      <c r="B770" s="129" t="s">
        <v>2159</v>
      </c>
    </row>
    <row r="771" spans="1:2">
      <c r="A771" s="129" t="s">
        <v>796</v>
      </c>
      <c r="B771" s="129" t="s">
        <v>3005</v>
      </c>
    </row>
    <row r="772" spans="1:2">
      <c r="A772" s="129" t="s">
        <v>337</v>
      </c>
      <c r="B772" s="129" t="s">
        <v>3005</v>
      </c>
    </row>
    <row r="773" spans="1:2">
      <c r="A773" s="129" t="s">
        <v>337</v>
      </c>
      <c r="B773" s="129" t="s">
        <v>2153</v>
      </c>
    </row>
    <row r="774" spans="1:2">
      <c r="A774" s="129" t="s">
        <v>1173</v>
      </c>
      <c r="B774" s="129" t="s">
        <v>3005</v>
      </c>
    </row>
    <row r="775" spans="1:2">
      <c r="A775" s="129" t="s">
        <v>2577</v>
      </c>
      <c r="B775" s="129" t="s">
        <v>2159</v>
      </c>
    </row>
    <row r="776" spans="1:2">
      <c r="A776" s="129" t="s">
        <v>1580</v>
      </c>
      <c r="B776" s="129" t="s">
        <v>2159</v>
      </c>
    </row>
    <row r="777" spans="1:2">
      <c r="A777" s="129" t="s">
        <v>1746</v>
      </c>
      <c r="B777" s="129" t="s">
        <v>2159</v>
      </c>
    </row>
    <row r="778" spans="1:2">
      <c r="A778" s="129" t="s">
        <v>1799</v>
      </c>
      <c r="B778" s="129" t="s">
        <v>2410</v>
      </c>
    </row>
    <row r="779" spans="1:2">
      <c r="A779" s="129" t="s">
        <v>1799</v>
      </c>
      <c r="B779" s="129" t="s">
        <v>2159</v>
      </c>
    </row>
    <row r="780" spans="1:2">
      <c r="A780" s="129" t="s">
        <v>2134</v>
      </c>
      <c r="B780" s="129" t="s">
        <v>2410</v>
      </c>
    </row>
    <row r="781" spans="1:2">
      <c r="A781" s="129" t="s">
        <v>2134</v>
      </c>
      <c r="B781" s="129" t="s">
        <v>2159</v>
      </c>
    </row>
    <row r="782" spans="1:2">
      <c r="A782" s="129" t="s">
        <v>2508</v>
      </c>
      <c r="B782" s="129" t="s">
        <v>2159</v>
      </c>
    </row>
    <row r="783" spans="1:2">
      <c r="A783" s="129" t="s">
        <v>741</v>
      </c>
      <c r="B783" s="129" t="s">
        <v>3005</v>
      </c>
    </row>
    <row r="784" spans="1:2">
      <c r="A784" s="129" t="s">
        <v>2053</v>
      </c>
      <c r="B784" s="129" t="s">
        <v>2410</v>
      </c>
    </row>
    <row r="785" spans="1:2">
      <c r="A785" s="129" t="s">
        <v>3138</v>
      </c>
      <c r="B785" s="129" t="s">
        <v>2155</v>
      </c>
    </row>
    <row r="786" spans="1:2">
      <c r="A786" s="129" t="s">
        <v>1569</v>
      </c>
      <c r="B786" s="129" t="s">
        <v>2410</v>
      </c>
    </row>
    <row r="787" spans="1:2">
      <c r="A787" s="129" t="s">
        <v>2017</v>
      </c>
      <c r="B787" s="129" t="s">
        <v>2159</v>
      </c>
    </row>
    <row r="788" spans="1:2">
      <c r="A788" s="129" t="s">
        <v>2017</v>
      </c>
      <c r="B788" s="129" t="s">
        <v>2410</v>
      </c>
    </row>
    <row r="789" spans="1:2">
      <c r="A789" s="129" t="s">
        <v>1828</v>
      </c>
      <c r="B789" s="129" t="s">
        <v>2159</v>
      </c>
    </row>
    <row r="790" spans="1:2">
      <c r="A790" s="129" t="s">
        <v>3139</v>
      </c>
      <c r="B790" s="129" t="s">
        <v>2153</v>
      </c>
    </row>
    <row r="791" spans="1:2">
      <c r="A791" s="129" t="s">
        <v>3139</v>
      </c>
      <c r="B791" s="129" t="s">
        <v>3005</v>
      </c>
    </row>
    <row r="792" spans="1:2">
      <c r="A792" s="129" t="s">
        <v>3140</v>
      </c>
      <c r="B792" s="129" t="s">
        <v>2159</v>
      </c>
    </row>
    <row r="793" spans="1:2">
      <c r="A793" s="129" t="s">
        <v>3141</v>
      </c>
      <c r="B793" s="129" t="s">
        <v>2155</v>
      </c>
    </row>
    <row r="794" spans="1:2">
      <c r="A794" s="129" t="s">
        <v>1978</v>
      </c>
      <c r="B794" s="129" t="s">
        <v>2159</v>
      </c>
    </row>
    <row r="795" spans="1:2">
      <c r="A795" s="129" t="s">
        <v>3142</v>
      </c>
      <c r="B795" s="129" t="s">
        <v>2155</v>
      </c>
    </row>
    <row r="796" spans="1:2">
      <c r="A796" s="129" t="s">
        <v>2615</v>
      </c>
      <c r="B796" s="129" t="s">
        <v>2153</v>
      </c>
    </row>
    <row r="797" spans="1:2">
      <c r="A797" s="129" t="s">
        <v>2615</v>
      </c>
      <c r="B797" s="129" t="s">
        <v>3005</v>
      </c>
    </row>
    <row r="798" spans="1:2">
      <c r="A798" s="129" t="s">
        <v>3143</v>
      </c>
      <c r="B798" s="129" t="s">
        <v>2159</v>
      </c>
    </row>
    <row r="799" spans="1:2">
      <c r="A799" s="129" t="s">
        <v>782</v>
      </c>
      <c r="B799" s="129" t="s">
        <v>3005</v>
      </c>
    </row>
    <row r="800" spans="1:2">
      <c r="A800" s="129" t="s">
        <v>1013</v>
      </c>
      <c r="B800" s="129" t="s">
        <v>2417</v>
      </c>
    </row>
    <row r="801" spans="1:2">
      <c r="A801" s="129" t="s">
        <v>3144</v>
      </c>
      <c r="B801" s="129" t="s">
        <v>2410</v>
      </c>
    </row>
    <row r="802" spans="1:2">
      <c r="A802" s="129" t="s">
        <v>2477</v>
      </c>
      <c r="B802" s="129" t="s">
        <v>2153</v>
      </c>
    </row>
    <row r="803" spans="1:2">
      <c r="A803" s="129" t="s">
        <v>2477</v>
      </c>
      <c r="B803" s="129" t="s">
        <v>3005</v>
      </c>
    </row>
    <row r="804" spans="1:2">
      <c r="A804" s="129" t="s">
        <v>1225</v>
      </c>
      <c r="B804" s="129" t="s">
        <v>2155</v>
      </c>
    </row>
    <row r="805" spans="1:2">
      <c r="A805" s="129" t="s">
        <v>581</v>
      </c>
      <c r="B805" s="129" t="s">
        <v>3005</v>
      </c>
    </row>
    <row r="806" spans="1:2">
      <c r="A806" s="129" t="s">
        <v>1933</v>
      </c>
      <c r="B806" s="129" t="s">
        <v>2410</v>
      </c>
    </row>
    <row r="807" spans="1:2">
      <c r="A807" s="129" t="s">
        <v>3145</v>
      </c>
      <c r="B807" s="129" t="s">
        <v>2155</v>
      </c>
    </row>
    <row r="808" spans="1:2">
      <c r="A808" s="129" t="s">
        <v>3146</v>
      </c>
      <c r="B808" s="129" t="s">
        <v>3007</v>
      </c>
    </row>
    <row r="809" spans="1:2">
      <c r="A809" s="129" t="s">
        <v>3146</v>
      </c>
      <c r="B809" s="129" t="s">
        <v>2155</v>
      </c>
    </row>
    <row r="810" spans="1:2">
      <c r="A810" s="129" t="s">
        <v>3147</v>
      </c>
      <c r="B810" s="129" t="s">
        <v>2153</v>
      </c>
    </row>
    <row r="811" spans="1:2">
      <c r="A811" s="129" t="s">
        <v>3147</v>
      </c>
      <c r="B811" s="129" t="s">
        <v>2157</v>
      </c>
    </row>
    <row r="812" spans="1:2">
      <c r="A812" s="129" t="s">
        <v>2274</v>
      </c>
      <c r="B812" s="129" t="s">
        <v>2155</v>
      </c>
    </row>
    <row r="813" spans="1:2">
      <c r="A813" s="129" t="s">
        <v>2274</v>
      </c>
      <c r="B813" s="129" t="s">
        <v>3007</v>
      </c>
    </row>
    <row r="814" spans="1:2">
      <c r="A814" s="129" t="s">
        <v>2225</v>
      </c>
      <c r="B814" s="129" t="s">
        <v>2410</v>
      </c>
    </row>
    <row r="815" spans="1:2">
      <c r="A815" s="129" t="s">
        <v>2225</v>
      </c>
      <c r="B815" s="129" t="s">
        <v>2159</v>
      </c>
    </row>
    <row r="816" spans="1:2">
      <c r="A816" s="129" t="s">
        <v>2041</v>
      </c>
      <c r="B816" s="129" t="s">
        <v>2159</v>
      </c>
    </row>
    <row r="817" spans="1:2">
      <c r="A817" s="129" t="s">
        <v>2041</v>
      </c>
      <c r="B817" s="129" t="s">
        <v>2410</v>
      </c>
    </row>
    <row r="818" spans="1:2">
      <c r="A818" s="129" t="s">
        <v>1485</v>
      </c>
      <c r="B818" s="129" t="s">
        <v>2159</v>
      </c>
    </row>
    <row r="819" spans="1:2">
      <c r="A819" s="129" t="s">
        <v>1361</v>
      </c>
      <c r="B819" s="129" t="s">
        <v>2417</v>
      </c>
    </row>
    <row r="820" spans="1:2">
      <c r="A820" s="129" t="s">
        <v>1361</v>
      </c>
      <c r="B820" s="129" t="s">
        <v>2158</v>
      </c>
    </row>
    <row r="821" spans="1:2">
      <c r="A821" s="129" t="s">
        <v>1434</v>
      </c>
      <c r="B821" s="129" t="s">
        <v>2410</v>
      </c>
    </row>
    <row r="822" spans="1:2">
      <c r="A822" s="129" t="s">
        <v>1455</v>
      </c>
      <c r="B822" s="129" t="s">
        <v>2417</v>
      </c>
    </row>
    <row r="823" spans="1:2">
      <c r="A823" s="129" t="s">
        <v>1455</v>
      </c>
      <c r="B823" s="129" t="s">
        <v>2158</v>
      </c>
    </row>
    <row r="824" spans="1:2">
      <c r="A824" s="129" t="s">
        <v>1455</v>
      </c>
      <c r="B824" s="129" t="s">
        <v>3008</v>
      </c>
    </row>
    <row r="825" spans="1:2">
      <c r="A825" s="129" t="s">
        <v>1455</v>
      </c>
      <c r="B825" s="129" t="s">
        <v>2157</v>
      </c>
    </row>
    <row r="826" spans="1:2">
      <c r="A826" s="129" t="s">
        <v>3148</v>
      </c>
      <c r="B826" s="129" t="s">
        <v>3005</v>
      </c>
    </row>
    <row r="827" spans="1:2">
      <c r="A827" s="129" t="s">
        <v>3148</v>
      </c>
      <c r="B827" s="129" t="s">
        <v>2153</v>
      </c>
    </row>
    <row r="828" spans="1:2">
      <c r="A828" s="129" t="s">
        <v>1237</v>
      </c>
      <c r="B828" s="129" t="s">
        <v>2410</v>
      </c>
    </row>
    <row r="829" spans="1:2">
      <c r="A829" s="129" t="s">
        <v>1237</v>
      </c>
      <c r="B829" s="129" t="s">
        <v>2159</v>
      </c>
    </row>
    <row r="830" spans="1:2">
      <c r="A830" s="129" t="s">
        <v>50</v>
      </c>
      <c r="B830" s="129" t="s">
        <v>3007</v>
      </c>
    </row>
    <row r="831" spans="1:2">
      <c r="A831" s="129" t="s">
        <v>50</v>
      </c>
      <c r="B831" s="129" t="s">
        <v>3005</v>
      </c>
    </row>
    <row r="832" spans="1:2">
      <c r="A832" s="129" t="s">
        <v>1810</v>
      </c>
      <c r="B832" s="129" t="s">
        <v>3007</v>
      </c>
    </row>
    <row r="833" spans="1:2">
      <c r="A833" s="129" t="s">
        <v>1810</v>
      </c>
      <c r="B833" s="129" t="s">
        <v>2155</v>
      </c>
    </row>
    <row r="834" spans="1:2">
      <c r="A834" s="129" t="s">
        <v>3149</v>
      </c>
      <c r="B834" s="129" t="s">
        <v>2410</v>
      </c>
    </row>
    <row r="835" spans="1:2">
      <c r="A835" s="129" t="s">
        <v>3149</v>
      </c>
      <c r="B835" s="129" t="s">
        <v>2159</v>
      </c>
    </row>
    <row r="836" spans="1:2">
      <c r="A836" s="129" t="s">
        <v>1287</v>
      </c>
      <c r="B836" s="129" t="s">
        <v>2159</v>
      </c>
    </row>
    <row r="837" spans="1:2">
      <c r="A837" s="129" t="s">
        <v>3150</v>
      </c>
      <c r="B837" s="129" t="s">
        <v>2153</v>
      </c>
    </row>
    <row r="838" spans="1:2">
      <c r="A838" s="129" t="s">
        <v>3150</v>
      </c>
      <c r="B838" s="129" t="s">
        <v>3005</v>
      </c>
    </row>
    <row r="839" spans="1:2">
      <c r="A839" s="129" t="s">
        <v>2414</v>
      </c>
      <c r="B839" s="129" t="s">
        <v>2158</v>
      </c>
    </row>
    <row r="840" spans="1:2">
      <c r="A840" s="129" t="s">
        <v>2414</v>
      </c>
      <c r="B840" s="129" t="s">
        <v>2153</v>
      </c>
    </row>
    <row r="841" spans="1:2">
      <c r="A841" s="129" t="s">
        <v>3151</v>
      </c>
      <c r="B841" s="129" t="s">
        <v>2159</v>
      </c>
    </row>
    <row r="842" spans="1:2">
      <c r="A842" s="129" t="s">
        <v>3152</v>
      </c>
      <c r="B842" s="129" t="s">
        <v>2153</v>
      </c>
    </row>
    <row r="843" spans="1:2">
      <c r="A843" s="129" t="s">
        <v>1668</v>
      </c>
      <c r="B843" s="129" t="s">
        <v>2159</v>
      </c>
    </row>
    <row r="844" spans="1:2">
      <c r="A844" s="129" t="s">
        <v>1668</v>
      </c>
      <c r="B844" s="129" t="s">
        <v>2410</v>
      </c>
    </row>
    <row r="845" spans="1:2">
      <c r="A845" s="129" t="s">
        <v>3153</v>
      </c>
      <c r="B845" s="129" t="s">
        <v>2155</v>
      </c>
    </row>
    <row r="846" spans="1:2">
      <c r="A846" s="129" t="s">
        <v>2551</v>
      </c>
      <c r="B846" s="129" t="s">
        <v>2417</v>
      </c>
    </row>
    <row r="847" spans="1:2">
      <c r="A847" s="129" t="s">
        <v>2551</v>
      </c>
      <c r="B847" s="129" t="s">
        <v>2158</v>
      </c>
    </row>
    <row r="848" spans="1:2">
      <c r="A848" s="129" t="s">
        <v>2551</v>
      </c>
      <c r="B848" s="129" t="s">
        <v>2153</v>
      </c>
    </row>
    <row r="849" spans="1:2">
      <c r="A849" s="129" t="s">
        <v>2140</v>
      </c>
      <c r="B849" s="129" t="s">
        <v>2159</v>
      </c>
    </row>
    <row r="850" spans="1:2">
      <c r="A850" s="129" t="s">
        <v>3154</v>
      </c>
      <c r="B850" s="129" t="s">
        <v>2155</v>
      </c>
    </row>
    <row r="851" spans="1:2">
      <c r="A851" s="129" t="s">
        <v>1856</v>
      </c>
      <c r="B851" s="129" t="s">
        <v>2410</v>
      </c>
    </row>
    <row r="852" spans="1:2">
      <c r="A852" s="129" t="s">
        <v>1856</v>
      </c>
      <c r="B852" s="129" t="s">
        <v>2159</v>
      </c>
    </row>
    <row r="853" spans="1:2">
      <c r="A853" s="129" t="s">
        <v>854</v>
      </c>
      <c r="B853" s="129" t="s">
        <v>2417</v>
      </c>
    </row>
    <row r="854" spans="1:2">
      <c r="A854" s="129" t="s">
        <v>1193</v>
      </c>
      <c r="B854" s="129" t="s">
        <v>3007</v>
      </c>
    </row>
    <row r="855" spans="1:2">
      <c r="A855" s="129" t="s">
        <v>1193</v>
      </c>
      <c r="B855" s="129" t="s">
        <v>2155</v>
      </c>
    </row>
    <row r="856" spans="1:2">
      <c r="A856" s="129" t="s">
        <v>1193</v>
      </c>
      <c r="B856" s="129" t="s">
        <v>3005</v>
      </c>
    </row>
    <row r="857" spans="1:2">
      <c r="A857" s="129" t="s">
        <v>1193</v>
      </c>
      <c r="B857" s="129" t="s">
        <v>2153</v>
      </c>
    </row>
    <row r="858" spans="1:2">
      <c r="A858" s="129" t="s">
        <v>3155</v>
      </c>
      <c r="B858" s="129" t="s">
        <v>2159</v>
      </c>
    </row>
    <row r="859" spans="1:2">
      <c r="A859" s="129" t="s">
        <v>3156</v>
      </c>
      <c r="B859" s="129" t="s">
        <v>2155</v>
      </c>
    </row>
    <row r="860" spans="1:2">
      <c r="A860" s="129" t="s">
        <v>1605</v>
      </c>
      <c r="B860" s="129" t="s">
        <v>2159</v>
      </c>
    </row>
    <row r="861" spans="1:2">
      <c r="A861" s="129" t="s">
        <v>196</v>
      </c>
      <c r="B861" s="129" t="s">
        <v>3007</v>
      </c>
    </row>
    <row r="862" spans="1:2">
      <c r="A862" s="129" t="s">
        <v>519</v>
      </c>
      <c r="B862" s="129" t="s">
        <v>2153</v>
      </c>
    </row>
    <row r="863" spans="1:2">
      <c r="A863" s="129" t="s">
        <v>2387</v>
      </c>
      <c r="B863" s="129" t="s">
        <v>3005</v>
      </c>
    </row>
    <row r="864" spans="1:2">
      <c r="A864" s="129" t="s">
        <v>2387</v>
      </c>
      <c r="B864" s="129" t="s">
        <v>2153</v>
      </c>
    </row>
    <row r="865" spans="1:2">
      <c r="A865" s="129" t="s">
        <v>1776</v>
      </c>
      <c r="B865" s="129" t="s">
        <v>2153</v>
      </c>
    </row>
    <row r="866" spans="1:2">
      <c r="A866" s="129" t="s">
        <v>1776</v>
      </c>
      <c r="B866" s="129" t="s">
        <v>3005</v>
      </c>
    </row>
    <row r="867" spans="1:2">
      <c r="A867" s="129" t="s">
        <v>3157</v>
      </c>
      <c r="B867" s="129" t="s">
        <v>2159</v>
      </c>
    </row>
    <row r="868" spans="1:2">
      <c r="A868" s="129" t="s">
        <v>3157</v>
      </c>
      <c r="B868" s="129" t="s">
        <v>2410</v>
      </c>
    </row>
    <row r="869" spans="1:2">
      <c r="A869" s="129" t="s">
        <v>2548</v>
      </c>
      <c r="B869" s="129" t="s">
        <v>2153</v>
      </c>
    </row>
    <row r="870" spans="1:2">
      <c r="A870" s="129" t="s">
        <v>846</v>
      </c>
      <c r="B870" s="129" t="s">
        <v>2417</v>
      </c>
    </row>
    <row r="871" spans="1:2">
      <c r="A871" s="129" t="s">
        <v>3158</v>
      </c>
      <c r="B871" s="129" t="s">
        <v>2153</v>
      </c>
    </row>
    <row r="872" spans="1:2">
      <c r="A872" s="129" t="s">
        <v>3159</v>
      </c>
      <c r="B872" s="129" t="s">
        <v>2159</v>
      </c>
    </row>
    <row r="873" spans="1:2">
      <c r="A873" s="129" t="s">
        <v>1319</v>
      </c>
      <c r="B873" s="129" t="s">
        <v>2410</v>
      </c>
    </row>
    <row r="874" spans="1:2">
      <c r="A874" s="129" t="s">
        <v>3160</v>
      </c>
      <c r="B874" s="129" t="s">
        <v>2153</v>
      </c>
    </row>
    <row r="875" spans="1:2">
      <c r="A875" s="129" t="s">
        <v>405</v>
      </c>
      <c r="B875" s="129" t="s">
        <v>3005</v>
      </c>
    </row>
    <row r="876" spans="1:2">
      <c r="A876" s="129" t="s">
        <v>872</v>
      </c>
      <c r="B876" s="129" t="s">
        <v>2410</v>
      </c>
    </row>
    <row r="877" spans="1:2">
      <c r="A877" s="129" t="s">
        <v>1517</v>
      </c>
      <c r="B877" s="129" t="s">
        <v>2410</v>
      </c>
    </row>
    <row r="878" spans="1:2">
      <c r="A878" s="129" t="s">
        <v>480</v>
      </c>
      <c r="B878" s="129" t="s">
        <v>3005</v>
      </c>
    </row>
    <row r="879" spans="1:2">
      <c r="A879" s="129" t="s">
        <v>130</v>
      </c>
      <c r="B879" s="129" t="s">
        <v>3161</v>
      </c>
    </row>
    <row r="880" spans="1:2">
      <c r="A880" s="129" t="s">
        <v>994</v>
      </c>
      <c r="B880" s="129" t="s">
        <v>3007</v>
      </c>
    </row>
    <row r="881" spans="1:2">
      <c r="A881" s="129" t="s">
        <v>3162</v>
      </c>
      <c r="B881" s="129" t="s">
        <v>2155</v>
      </c>
    </row>
    <row r="882" spans="1:2">
      <c r="A882" s="129" t="s">
        <v>3163</v>
      </c>
      <c r="B882" s="129" t="s">
        <v>2155</v>
      </c>
    </row>
    <row r="883" spans="1:2">
      <c r="A883" s="129" t="s">
        <v>2248</v>
      </c>
      <c r="B883" s="129" t="s">
        <v>2155</v>
      </c>
    </row>
    <row r="884" spans="1:2">
      <c r="A884" s="129" t="s">
        <v>2248</v>
      </c>
      <c r="B884" s="129" t="s">
        <v>3007</v>
      </c>
    </row>
    <row r="885" spans="1:2">
      <c r="A885" s="129" t="s">
        <v>2598</v>
      </c>
      <c r="B885" s="129" t="s">
        <v>3007</v>
      </c>
    </row>
    <row r="886" spans="1:2">
      <c r="A886" s="129" t="s">
        <v>2598</v>
      </c>
      <c r="B886" s="129" t="s">
        <v>2155</v>
      </c>
    </row>
    <row r="887" spans="1:2">
      <c r="A887" s="129" t="s">
        <v>3164</v>
      </c>
      <c r="B887" s="129" t="s">
        <v>2155</v>
      </c>
    </row>
    <row r="888" spans="1:2">
      <c r="A888" s="129" t="s">
        <v>3165</v>
      </c>
      <c r="B888" s="129" t="s">
        <v>2410</v>
      </c>
    </row>
    <row r="889" spans="1:2">
      <c r="A889" s="129" t="s">
        <v>3165</v>
      </c>
      <c r="B889" s="129" t="s">
        <v>2159</v>
      </c>
    </row>
    <row r="890" spans="1:2">
      <c r="A890" s="129" t="s">
        <v>1345</v>
      </c>
      <c r="B890" s="129" t="s">
        <v>2159</v>
      </c>
    </row>
    <row r="891" spans="1:2">
      <c r="A891" s="129" t="s">
        <v>885</v>
      </c>
      <c r="B891" s="129" t="s">
        <v>2410</v>
      </c>
    </row>
    <row r="892" spans="1:2">
      <c r="A892" s="129" t="s">
        <v>1687</v>
      </c>
      <c r="B892" s="129" t="s">
        <v>2410</v>
      </c>
    </row>
    <row r="893" spans="1:2">
      <c r="A893" s="129" t="s">
        <v>1691</v>
      </c>
      <c r="B893" s="129" t="s">
        <v>2159</v>
      </c>
    </row>
    <row r="894" spans="1:2">
      <c r="A894" s="129" t="s">
        <v>272</v>
      </c>
      <c r="B894" s="129" t="s">
        <v>3005</v>
      </c>
    </row>
    <row r="895" spans="1:2">
      <c r="A895" s="129" t="s">
        <v>527</v>
      </c>
      <c r="B895" s="129" t="s">
        <v>3005</v>
      </c>
    </row>
    <row r="896" spans="1:2">
      <c r="A896" s="129" t="s">
        <v>527</v>
      </c>
      <c r="B896" s="129" t="s">
        <v>2153</v>
      </c>
    </row>
    <row r="897" spans="1:2">
      <c r="A897" s="129" t="s">
        <v>1425</v>
      </c>
      <c r="B897" s="129" t="s">
        <v>2159</v>
      </c>
    </row>
    <row r="898" spans="1:2">
      <c r="A898" s="129" t="s">
        <v>1259</v>
      </c>
      <c r="B898" s="129" t="s">
        <v>2159</v>
      </c>
    </row>
    <row r="899" spans="1:2">
      <c r="A899" s="129" t="s">
        <v>798</v>
      </c>
      <c r="B899" s="129" t="s">
        <v>2410</v>
      </c>
    </row>
    <row r="900" spans="1:2">
      <c r="A900" s="129" t="s">
        <v>2436</v>
      </c>
      <c r="B900" s="129" t="s">
        <v>2159</v>
      </c>
    </row>
    <row r="901" spans="1:2">
      <c r="A901" s="129" t="s">
        <v>2441</v>
      </c>
      <c r="B901" s="129" t="s">
        <v>3005</v>
      </c>
    </row>
    <row r="902" spans="1:2">
      <c r="A902" s="129" t="s">
        <v>3166</v>
      </c>
      <c r="B902" s="129" t="s">
        <v>2159</v>
      </c>
    </row>
    <row r="903" spans="1:2">
      <c r="A903" s="129" t="s">
        <v>1577</v>
      </c>
      <c r="B903" s="129" t="s">
        <v>2159</v>
      </c>
    </row>
    <row r="904" spans="1:2">
      <c r="A904" s="129" t="s">
        <v>1715</v>
      </c>
      <c r="B904" s="129" t="s">
        <v>3086</v>
      </c>
    </row>
    <row r="905" spans="1:2">
      <c r="A905" s="129" t="s">
        <v>1715</v>
      </c>
      <c r="B905" s="129" t="s">
        <v>3119</v>
      </c>
    </row>
    <row r="906" spans="1:2">
      <c r="A906" s="129" t="s">
        <v>3167</v>
      </c>
      <c r="B906" s="129" t="s">
        <v>2155</v>
      </c>
    </row>
    <row r="907" spans="1:2">
      <c r="A907" s="129" t="s">
        <v>2374</v>
      </c>
      <c r="B907" s="129" t="s">
        <v>2155</v>
      </c>
    </row>
    <row r="908" spans="1:2">
      <c r="A908" s="129" t="s">
        <v>2374</v>
      </c>
      <c r="B908" s="129" t="s">
        <v>3007</v>
      </c>
    </row>
    <row r="909" spans="1:2">
      <c r="A909" s="129" t="s">
        <v>3168</v>
      </c>
      <c r="B909" s="129" t="s">
        <v>2155</v>
      </c>
    </row>
    <row r="910" spans="1:2">
      <c r="A910" s="129" t="s">
        <v>2371</v>
      </c>
      <c r="B910" s="129" t="s">
        <v>2155</v>
      </c>
    </row>
    <row r="911" spans="1:2">
      <c r="A911" s="129" t="s">
        <v>53</v>
      </c>
      <c r="B911" s="129" t="s">
        <v>3005</v>
      </c>
    </row>
    <row r="912" spans="1:2">
      <c r="A912" s="129" t="s">
        <v>1535</v>
      </c>
      <c r="B912" s="129" t="s">
        <v>2159</v>
      </c>
    </row>
    <row r="913" spans="1:2">
      <c r="A913" s="129" t="s">
        <v>1535</v>
      </c>
      <c r="B913" s="129" t="s">
        <v>2410</v>
      </c>
    </row>
    <row r="914" spans="1:2">
      <c r="A914" s="129" t="s">
        <v>3169</v>
      </c>
      <c r="B914" s="129" t="s">
        <v>2159</v>
      </c>
    </row>
    <row r="915" spans="1:2">
      <c r="A915" s="129" t="s">
        <v>1859</v>
      </c>
      <c r="B915" s="129" t="s">
        <v>2410</v>
      </c>
    </row>
    <row r="916" spans="1:2">
      <c r="A916" s="129" t="s">
        <v>3170</v>
      </c>
      <c r="B916" s="129" t="s">
        <v>2155</v>
      </c>
    </row>
    <row r="917" spans="1:2">
      <c r="A917" s="129" t="s">
        <v>1449</v>
      </c>
      <c r="B917" s="129" t="s">
        <v>3005</v>
      </c>
    </row>
    <row r="918" spans="1:2">
      <c r="A918" s="129" t="s">
        <v>1449</v>
      </c>
      <c r="B918" s="129" t="s">
        <v>2157</v>
      </c>
    </row>
    <row r="919" spans="1:2">
      <c r="A919" s="129" t="s">
        <v>1449</v>
      </c>
      <c r="B919" s="129" t="s">
        <v>2153</v>
      </c>
    </row>
    <row r="920" spans="1:2">
      <c r="A920" s="129" t="s">
        <v>3171</v>
      </c>
      <c r="B920" s="129" t="s">
        <v>2155</v>
      </c>
    </row>
    <row r="921" spans="1:2">
      <c r="A921" s="129" t="s">
        <v>123</v>
      </c>
      <c r="B921" s="129" t="s">
        <v>2159</v>
      </c>
    </row>
    <row r="922" spans="1:2">
      <c r="A922" s="129" t="s">
        <v>1363</v>
      </c>
      <c r="B922" s="129" t="s">
        <v>2159</v>
      </c>
    </row>
    <row r="923" spans="1:2">
      <c r="A923" s="129" t="s">
        <v>3172</v>
      </c>
      <c r="B923" s="129" t="s">
        <v>2159</v>
      </c>
    </row>
    <row r="924" spans="1:2">
      <c r="A924" s="129" t="s">
        <v>615</v>
      </c>
      <c r="B924" s="129" t="s">
        <v>3005</v>
      </c>
    </row>
    <row r="925" spans="1:2">
      <c r="A925" s="129" t="s">
        <v>3173</v>
      </c>
      <c r="B925" s="129" t="s">
        <v>2155</v>
      </c>
    </row>
    <row r="926" spans="1:2">
      <c r="A926" s="129" t="s">
        <v>54</v>
      </c>
      <c r="B926" s="129" t="s">
        <v>3007</v>
      </c>
    </row>
    <row r="927" spans="1:2">
      <c r="A927" s="129" t="s">
        <v>54</v>
      </c>
      <c r="B927" s="129" t="s">
        <v>3005</v>
      </c>
    </row>
    <row r="928" spans="1:2">
      <c r="A928" s="129" t="s">
        <v>246</v>
      </c>
      <c r="B928" s="129" t="s">
        <v>3005</v>
      </c>
    </row>
    <row r="929" spans="1:2">
      <c r="A929" s="129" t="s">
        <v>3174</v>
      </c>
      <c r="B929" s="129" t="s">
        <v>3005</v>
      </c>
    </row>
    <row r="930" spans="1:2">
      <c r="A930" s="129" t="s">
        <v>2038</v>
      </c>
      <c r="B930" s="129" t="s">
        <v>2410</v>
      </c>
    </row>
    <row r="931" spans="1:2">
      <c r="A931" s="129" t="s">
        <v>2038</v>
      </c>
      <c r="B931" s="129" t="s">
        <v>2159</v>
      </c>
    </row>
    <row r="932" spans="1:2">
      <c r="A932" s="129" t="s">
        <v>2202</v>
      </c>
      <c r="B932" s="129" t="s">
        <v>2417</v>
      </c>
    </row>
    <row r="933" spans="1:2">
      <c r="A933" s="129" t="s">
        <v>2202</v>
      </c>
      <c r="B933" s="129" t="s">
        <v>2158</v>
      </c>
    </row>
    <row r="934" spans="1:2">
      <c r="A934" s="129" t="s">
        <v>275</v>
      </c>
      <c r="B934" s="129" t="s">
        <v>3005</v>
      </c>
    </row>
    <row r="935" spans="1:2">
      <c r="A935" s="129" t="s">
        <v>3175</v>
      </c>
      <c r="B935" s="129" t="s">
        <v>3005</v>
      </c>
    </row>
    <row r="936" spans="1:2">
      <c r="A936" s="129" t="s">
        <v>3176</v>
      </c>
      <c r="B936" s="129" t="s">
        <v>2155</v>
      </c>
    </row>
    <row r="937" spans="1:2">
      <c r="A937" s="129" t="s">
        <v>3177</v>
      </c>
      <c r="B937" s="129" t="s">
        <v>2159</v>
      </c>
    </row>
    <row r="938" spans="1:2">
      <c r="A938" s="129" t="s">
        <v>953</v>
      </c>
      <c r="B938" s="129" t="s">
        <v>3005</v>
      </c>
    </row>
    <row r="939" spans="1:2">
      <c r="A939" s="129" t="s">
        <v>1760</v>
      </c>
      <c r="B939" s="129" t="s">
        <v>2157</v>
      </c>
    </row>
    <row r="940" spans="1:2">
      <c r="A940" s="129" t="s">
        <v>312</v>
      </c>
      <c r="B940" s="129" t="s">
        <v>3005</v>
      </c>
    </row>
    <row r="941" spans="1:2">
      <c r="A941" s="129" t="s">
        <v>266</v>
      </c>
      <c r="B941" s="129" t="s">
        <v>2153</v>
      </c>
    </row>
    <row r="942" spans="1:2">
      <c r="A942" s="129" t="s">
        <v>266</v>
      </c>
      <c r="B942" s="129" t="s">
        <v>3005</v>
      </c>
    </row>
    <row r="943" spans="1:2">
      <c r="A943" s="129" t="s">
        <v>3178</v>
      </c>
      <c r="B943" s="129" t="s">
        <v>2153</v>
      </c>
    </row>
    <row r="944" spans="1:2">
      <c r="A944" s="129" t="s">
        <v>1428</v>
      </c>
      <c r="B944" s="129" t="s">
        <v>2417</v>
      </c>
    </row>
    <row r="945" spans="1:2">
      <c r="A945" s="129" t="s">
        <v>1428</v>
      </c>
      <c r="B945" s="129" t="s">
        <v>2158</v>
      </c>
    </row>
    <row r="946" spans="1:2">
      <c r="A946" s="129" t="s">
        <v>2029</v>
      </c>
      <c r="B946" s="129" t="s">
        <v>3008</v>
      </c>
    </row>
    <row r="947" spans="1:2">
      <c r="A947" s="129" t="s">
        <v>1362</v>
      </c>
      <c r="B947" s="129" t="s">
        <v>2159</v>
      </c>
    </row>
    <row r="948" spans="1:2">
      <c r="A948" s="129" t="s">
        <v>2327</v>
      </c>
      <c r="B948" s="129" t="s">
        <v>2157</v>
      </c>
    </row>
    <row r="949" spans="1:2">
      <c r="A949" s="129" t="s">
        <v>2327</v>
      </c>
      <c r="B949" s="129" t="s">
        <v>2153</v>
      </c>
    </row>
    <row r="950" spans="1:2">
      <c r="A950" s="129" t="s">
        <v>3179</v>
      </c>
      <c r="B950" s="129" t="s">
        <v>2157</v>
      </c>
    </row>
    <row r="951" spans="1:2">
      <c r="A951" s="129" t="s">
        <v>3180</v>
      </c>
      <c r="B951" s="129" t="s">
        <v>2153</v>
      </c>
    </row>
    <row r="952" spans="1:2">
      <c r="A952" s="129" t="s">
        <v>3180</v>
      </c>
      <c r="B952" s="129" t="s">
        <v>3005</v>
      </c>
    </row>
    <row r="953" spans="1:2">
      <c r="A953" s="129" t="s">
        <v>310</v>
      </c>
      <c r="B953" s="129" t="s">
        <v>3005</v>
      </c>
    </row>
    <row r="954" spans="1:2">
      <c r="A954" s="129" t="s">
        <v>1122</v>
      </c>
      <c r="B954" s="129" t="s">
        <v>3005</v>
      </c>
    </row>
    <row r="955" spans="1:2">
      <c r="A955" s="129" t="s">
        <v>1122</v>
      </c>
      <c r="B955" s="129" t="s">
        <v>2153</v>
      </c>
    </row>
    <row r="956" spans="1:2">
      <c r="A956" s="129" t="s">
        <v>2543</v>
      </c>
      <c r="B956" s="129" t="s">
        <v>2159</v>
      </c>
    </row>
    <row r="957" spans="1:2">
      <c r="A957" s="129" t="s">
        <v>490</v>
      </c>
      <c r="B957" s="129" t="s">
        <v>2153</v>
      </c>
    </row>
    <row r="958" spans="1:2">
      <c r="A958" s="129" t="s">
        <v>490</v>
      </c>
      <c r="B958" s="129" t="s">
        <v>3005</v>
      </c>
    </row>
    <row r="959" spans="1:2">
      <c r="A959" s="129" t="s">
        <v>1099</v>
      </c>
      <c r="B959" s="129" t="s">
        <v>3005</v>
      </c>
    </row>
    <row r="960" spans="1:2">
      <c r="A960" s="129" t="s">
        <v>1337</v>
      </c>
      <c r="B960" s="129" t="s">
        <v>2159</v>
      </c>
    </row>
    <row r="961" spans="1:2">
      <c r="A961" s="129" t="s">
        <v>1337</v>
      </c>
      <c r="B961" s="129" t="s">
        <v>2410</v>
      </c>
    </row>
    <row r="962" spans="1:2">
      <c r="A962" s="129" t="s">
        <v>2588</v>
      </c>
      <c r="B962" s="129" t="s">
        <v>2159</v>
      </c>
    </row>
    <row r="963" spans="1:2">
      <c r="A963" s="129" t="s">
        <v>386</v>
      </c>
      <c r="B963" s="129" t="s">
        <v>3005</v>
      </c>
    </row>
    <row r="964" spans="1:2">
      <c r="A964" s="129" t="s">
        <v>1116</v>
      </c>
      <c r="B964" s="129" t="s">
        <v>2410</v>
      </c>
    </row>
    <row r="965" spans="1:2">
      <c r="A965" s="129" t="s">
        <v>1160</v>
      </c>
      <c r="B965" s="129" t="s">
        <v>3005</v>
      </c>
    </row>
    <row r="966" spans="1:2">
      <c r="A966" s="129" t="s">
        <v>3181</v>
      </c>
      <c r="B966" s="129" t="s">
        <v>2159</v>
      </c>
    </row>
    <row r="967" spans="1:2">
      <c r="A967" s="129" t="s">
        <v>1844</v>
      </c>
      <c r="B967" s="129" t="s">
        <v>2159</v>
      </c>
    </row>
    <row r="968" spans="1:2">
      <c r="A968" s="129" t="s">
        <v>1819</v>
      </c>
      <c r="B968" s="129" t="s">
        <v>2159</v>
      </c>
    </row>
    <row r="969" spans="1:2">
      <c r="A969" s="129" t="s">
        <v>1366</v>
      </c>
      <c r="B969" s="129" t="s">
        <v>2159</v>
      </c>
    </row>
    <row r="970" spans="1:2">
      <c r="A970" s="129" t="s">
        <v>3182</v>
      </c>
      <c r="B970" s="129" t="s">
        <v>2159</v>
      </c>
    </row>
    <row r="971" spans="1:2">
      <c r="A971" s="129" t="s">
        <v>1321</v>
      </c>
      <c r="B971" s="129" t="s">
        <v>2159</v>
      </c>
    </row>
    <row r="972" spans="1:2">
      <c r="A972" s="129" t="s">
        <v>2573</v>
      </c>
      <c r="B972" s="129" t="s">
        <v>2159</v>
      </c>
    </row>
    <row r="973" spans="1:2">
      <c r="A973" s="129" t="s">
        <v>2573</v>
      </c>
      <c r="B973" s="129" t="s">
        <v>2410</v>
      </c>
    </row>
    <row r="974" spans="1:2">
      <c r="A974" s="129" t="s">
        <v>3183</v>
      </c>
      <c r="B974" s="129" t="s">
        <v>2159</v>
      </c>
    </row>
    <row r="975" spans="1:2">
      <c r="A975" s="129" t="s">
        <v>1714</v>
      </c>
      <c r="B975" s="129" t="s">
        <v>2410</v>
      </c>
    </row>
    <row r="976" spans="1:2">
      <c r="A976" s="129" t="s">
        <v>1714</v>
      </c>
      <c r="B976" s="129" t="s">
        <v>2159</v>
      </c>
    </row>
    <row r="977" spans="1:2">
      <c r="A977" s="129" t="s">
        <v>3184</v>
      </c>
      <c r="B977" s="129" t="s">
        <v>2159</v>
      </c>
    </row>
    <row r="978" spans="1:2">
      <c r="A978" s="129" t="s">
        <v>55</v>
      </c>
      <c r="B978" s="129" t="s">
        <v>3007</v>
      </c>
    </row>
    <row r="979" spans="1:2">
      <c r="A979" s="129" t="s">
        <v>3185</v>
      </c>
      <c r="B979" s="129" t="s">
        <v>2159</v>
      </c>
    </row>
    <row r="980" spans="1:2">
      <c r="A980" s="129" t="s">
        <v>3185</v>
      </c>
      <c r="B980" s="129" t="s">
        <v>2410</v>
      </c>
    </row>
    <row r="981" spans="1:2">
      <c r="A981" s="129" t="s">
        <v>1866</v>
      </c>
      <c r="B981" s="129" t="s">
        <v>2410</v>
      </c>
    </row>
    <row r="982" spans="1:2">
      <c r="A982" s="129" t="s">
        <v>1536</v>
      </c>
      <c r="B982" s="129" t="s">
        <v>2159</v>
      </c>
    </row>
    <row r="983" spans="1:2">
      <c r="A983" s="129" t="s">
        <v>1857</v>
      </c>
      <c r="B983" s="129" t="s">
        <v>2410</v>
      </c>
    </row>
    <row r="984" spans="1:2">
      <c r="A984" s="129" t="s">
        <v>1857</v>
      </c>
      <c r="B984" s="129" t="s">
        <v>2159</v>
      </c>
    </row>
    <row r="985" spans="1:2">
      <c r="A985" s="129" t="s">
        <v>3186</v>
      </c>
      <c r="B985" s="129" t="s">
        <v>2410</v>
      </c>
    </row>
    <row r="986" spans="1:2">
      <c r="A986" s="129" t="s">
        <v>3186</v>
      </c>
      <c r="B986" s="129" t="s">
        <v>2159</v>
      </c>
    </row>
    <row r="987" spans="1:2">
      <c r="A987" s="129" t="s">
        <v>3187</v>
      </c>
      <c r="B987" s="129" t="s">
        <v>2410</v>
      </c>
    </row>
    <row r="988" spans="1:2">
      <c r="A988" s="129" t="s">
        <v>3187</v>
      </c>
      <c r="B988" s="129" t="s">
        <v>2159</v>
      </c>
    </row>
    <row r="989" spans="1:2">
      <c r="A989" s="129" t="s">
        <v>574</v>
      </c>
      <c r="B989" s="129" t="s">
        <v>3005</v>
      </c>
    </row>
    <row r="990" spans="1:2">
      <c r="A990" s="129" t="s">
        <v>1124</v>
      </c>
      <c r="B990" s="129" t="s">
        <v>3005</v>
      </c>
    </row>
    <row r="991" spans="1:2">
      <c r="A991" s="129" t="s">
        <v>864</v>
      </c>
      <c r="B991" s="129" t="s">
        <v>2417</v>
      </c>
    </row>
    <row r="992" spans="1:2">
      <c r="A992" s="129" t="s">
        <v>3188</v>
      </c>
      <c r="B992" s="129" t="s">
        <v>2159</v>
      </c>
    </row>
    <row r="993" spans="1:2">
      <c r="A993" s="129" t="s">
        <v>3189</v>
      </c>
      <c r="B993" s="129" t="s">
        <v>2155</v>
      </c>
    </row>
    <row r="994" spans="1:2">
      <c r="A994" s="129" t="s">
        <v>429</v>
      </c>
      <c r="B994" s="129" t="s">
        <v>3005</v>
      </c>
    </row>
    <row r="995" spans="1:2">
      <c r="A995" s="129" t="s">
        <v>1699</v>
      </c>
      <c r="B995" s="129" t="s">
        <v>2410</v>
      </c>
    </row>
    <row r="996" spans="1:2">
      <c r="A996" s="129" t="s">
        <v>1699</v>
      </c>
      <c r="B996" s="129" t="s">
        <v>2159</v>
      </c>
    </row>
    <row r="997" spans="1:2">
      <c r="A997" s="129" t="s">
        <v>1155</v>
      </c>
      <c r="B997" s="129" t="s">
        <v>3005</v>
      </c>
    </row>
    <row r="998" spans="1:2">
      <c r="A998" s="129" t="s">
        <v>1155</v>
      </c>
      <c r="B998" s="129" t="s">
        <v>2153</v>
      </c>
    </row>
    <row r="999" spans="1:2">
      <c r="A999" s="129" t="s">
        <v>1505</v>
      </c>
      <c r="B999" s="129" t="s">
        <v>2159</v>
      </c>
    </row>
    <row r="1000" spans="1:2">
      <c r="A1000" s="129" t="s">
        <v>3190</v>
      </c>
      <c r="B1000" s="129" t="s">
        <v>2155</v>
      </c>
    </row>
    <row r="1001" spans="1:2">
      <c r="A1001" s="129" t="s">
        <v>3190</v>
      </c>
      <c r="B1001" s="129" t="s">
        <v>3007</v>
      </c>
    </row>
    <row r="1002" spans="1:2">
      <c r="A1002" s="129" t="s">
        <v>1023</v>
      </c>
      <c r="B1002" s="129" t="s">
        <v>2417</v>
      </c>
    </row>
    <row r="1003" spans="1:2">
      <c r="A1003" s="129" t="s">
        <v>3191</v>
      </c>
      <c r="B1003" s="129" t="s">
        <v>3007</v>
      </c>
    </row>
    <row r="1004" spans="1:2">
      <c r="A1004" s="129" t="s">
        <v>3191</v>
      </c>
      <c r="B1004" s="129" t="s">
        <v>2155</v>
      </c>
    </row>
    <row r="1005" spans="1:2">
      <c r="A1005" s="129" t="s">
        <v>57</v>
      </c>
      <c r="B1005" s="129" t="s">
        <v>3007</v>
      </c>
    </row>
    <row r="1006" spans="1:2">
      <c r="A1006" s="129" t="s">
        <v>1880</v>
      </c>
      <c r="B1006" s="129" t="s">
        <v>2410</v>
      </c>
    </row>
    <row r="1007" spans="1:2">
      <c r="A1007" s="129" t="s">
        <v>3192</v>
      </c>
      <c r="B1007" s="129" t="s">
        <v>2155</v>
      </c>
    </row>
    <row r="1008" spans="1:2">
      <c r="A1008" s="129" t="s">
        <v>264</v>
      </c>
      <c r="B1008" s="129" t="s">
        <v>3005</v>
      </c>
    </row>
    <row r="1009" spans="1:2">
      <c r="A1009" s="129" t="s">
        <v>264</v>
      </c>
      <c r="B1009" s="129" t="s">
        <v>2153</v>
      </c>
    </row>
    <row r="1010" spans="1:2">
      <c r="A1010" s="129" t="s">
        <v>1469</v>
      </c>
      <c r="B1010" s="129" t="s">
        <v>2159</v>
      </c>
    </row>
    <row r="1011" spans="1:2">
      <c r="A1011" s="129" t="s">
        <v>1469</v>
      </c>
      <c r="B1011" s="129" t="s">
        <v>2410</v>
      </c>
    </row>
    <row r="1012" spans="1:2">
      <c r="A1012" s="129" t="s">
        <v>219</v>
      </c>
      <c r="B1012" s="129" t="s">
        <v>3005</v>
      </c>
    </row>
    <row r="1013" spans="1:2">
      <c r="A1013" s="129" t="s">
        <v>59</v>
      </c>
      <c r="B1013" s="129" t="s">
        <v>3007</v>
      </c>
    </row>
    <row r="1014" spans="1:2">
      <c r="A1014" s="129" t="s">
        <v>3193</v>
      </c>
      <c r="B1014" s="129" t="s">
        <v>2410</v>
      </c>
    </row>
    <row r="1015" spans="1:2">
      <c r="A1015" s="129" t="s">
        <v>94</v>
      </c>
      <c r="B1015" s="129" t="s">
        <v>3007</v>
      </c>
    </row>
    <row r="1016" spans="1:2">
      <c r="A1016" s="129" t="s">
        <v>3194</v>
      </c>
      <c r="B1016" s="129" t="s">
        <v>3007</v>
      </c>
    </row>
    <row r="1017" spans="1:2">
      <c r="A1017" s="129" t="s">
        <v>2533</v>
      </c>
      <c r="B1017" s="129" t="s">
        <v>2159</v>
      </c>
    </row>
    <row r="1018" spans="1:2">
      <c r="A1018" s="129" t="s">
        <v>1448</v>
      </c>
      <c r="B1018" s="129" t="s">
        <v>3008</v>
      </c>
    </row>
    <row r="1019" spans="1:2">
      <c r="A1019" s="129" t="s">
        <v>1448</v>
      </c>
      <c r="B1019" s="129" t="s">
        <v>2157</v>
      </c>
    </row>
    <row r="1020" spans="1:2">
      <c r="A1020" s="129" t="s">
        <v>1678</v>
      </c>
      <c r="B1020" s="129" t="s">
        <v>2159</v>
      </c>
    </row>
    <row r="1021" spans="1:2">
      <c r="A1021" s="129" t="s">
        <v>3195</v>
      </c>
      <c r="B1021" s="129" t="s">
        <v>2153</v>
      </c>
    </row>
    <row r="1022" spans="1:2">
      <c r="A1022" s="129" t="s">
        <v>3195</v>
      </c>
      <c r="B1022" s="129" t="s">
        <v>3005</v>
      </c>
    </row>
    <row r="1023" spans="1:2">
      <c r="A1023" s="129" t="s">
        <v>1925</v>
      </c>
      <c r="B1023" s="129" t="s">
        <v>2153</v>
      </c>
    </row>
    <row r="1024" spans="1:2">
      <c r="A1024" s="129" t="s">
        <v>3196</v>
      </c>
      <c r="B1024" s="129" t="s">
        <v>3005</v>
      </c>
    </row>
    <row r="1025" spans="1:2">
      <c r="A1025" s="129" t="s">
        <v>3196</v>
      </c>
      <c r="B1025" s="129" t="s">
        <v>2153</v>
      </c>
    </row>
    <row r="1026" spans="1:2">
      <c r="A1026" s="129" t="s">
        <v>3197</v>
      </c>
      <c r="B1026" s="129" t="s">
        <v>2155</v>
      </c>
    </row>
    <row r="1027" spans="1:2">
      <c r="A1027" s="129" t="s">
        <v>3198</v>
      </c>
      <c r="B1027" s="129" t="s">
        <v>2155</v>
      </c>
    </row>
    <row r="1028" spans="1:2">
      <c r="A1028" s="129" t="s">
        <v>792</v>
      </c>
      <c r="B1028" s="129" t="s">
        <v>2153</v>
      </c>
    </row>
    <row r="1029" spans="1:2">
      <c r="A1029" s="129" t="s">
        <v>633</v>
      </c>
      <c r="B1029" s="129" t="s">
        <v>2153</v>
      </c>
    </row>
    <row r="1030" spans="1:2">
      <c r="A1030" s="129" t="s">
        <v>1672</v>
      </c>
      <c r="B1030" s="129" t="s">
        <v>3005</v>
      </c>
    </row>
    <row r="1031" spans="1:2">
      <c r="A1031" s="129" t="s">
        <v>1672</v>
      </c>
      <c r="B1031" s="129" t="s">
        <v>2153</v>
      </c>
    </row>
    <row r="1032" spans="1:2">
      <c r="A1032" s="129" t="s">
        <v>3199</v>
      </c>
      <c r="B1032" s="129" t="s">
        <v>2153</v>
      </c>
    </row>
    <row r="1033" spans="1:2">
      <c r="A1033" s="129" t="s">
        <v>3199</v>
      </c>
      <c r="B1033" s="129" t="s">
        <v>3005</v>
      </c>
    </row>
    <row r="1034" spans="1:2">
      <c r="A1034" s="129" t="s">
        <v>3200</v>
      </c>
      <c r="B1034" s="129" t="s">
        <v>2159</v>
      </c>
    </row>
    <row r="1035" spans="1:2">
      <c r="A1035" s="129" t="s">
        <v>2084</v>
      </c>
      <c r="B1035" s="129" t="s">
        <v>2410</v>
      </c>
    </row>
    <row r="1036" spans="1:2">
      <c r="A1036" s="129" t="s">
        <v>1899</v>
      </c>
      <c r="B1036" s="129" t="s">
        <v>2159</v>
      </c>
    </row>
    <row r="1037" spans="1:2">
      <c r="A1037" s="129" t="s">
        <v>1899</v>
      </c>
      <c r="B1037" s="129" t="s">
        <v>2410</v>
      </c>
    </row>
    <row r="1038" spans="1:2">
      <c r="A1038" s="129" t="s">
        <v>3201</v>
      </c>
      <c r="B1038" s="129" t="s">
        <v>3005</v>
      </c>
    </row>
    <row r="1039" spans="1:2">
      <c r="A1039" s="129" t="s">
        <v>2559</v>
      </c>
      <c r="B1039" s="129" t="s">
        <v>3007</v>
      </c>
    </row>
    <row r="1040" spans="1:2">
      <c r="A1040" s="129" t="s">
        <v>2559</v>
      </c>
      <c r="B1040" s="129" t="s">
        <v>2155</v>
      </c>
    </row>
    <row r="1041" spans="1:2">
      <c r="A1041" s="129" t="s">
        <v>1674</v>
      </c>
      <c r="B1041" s="129" t="s">
        <v>2159</v>
      </c>
    </row>
    <row r="1042" spans="1:2">
      <c r="A1042" s="129" t="s">
        <v>1674</v>
      </c>
      <c r="B1042" s="129" t="s">
        <v>2410</v>
      </c>
    </row>
    <row r="1043" spans="1:2">
      <c r="A1043" s="129" t="s">
        <v>1050</v>
      </c>
      <c r="B1043" s="129" t="s">
        <v>2417</v>
      </c>
    </row>
    <row r="1044" spans="1:2">
      <c r="A1044" s="129" t="s">
        <v>394</v>
      </c>
      <c r="B1044" s="129" t="s">
        <v>3005</v>
      </c>
    </row>
    <row r="1045" spans="1:2">
      <c r="A1045" s="129" t="s">
        <v>2592</v>
      </c>
      <c r="B1045" s="129" t="s">
        <v>2159</v>
      </c>
    </row>
    <row r="1046" spans="1:2">
      <c r="A1046" s="129" t="s">
        <v>2144</v>
      </c>
      <c r="B1046" s="129" t="s">
        <v>2159</v>
      </c>
    </row>
    <row r="1047" spans="1:2">
      <c r="A1047" s="129" t="s">
        <v>1461</v>
      </c>
      <c r="B1047" s="129" t="s">
        <v>2410</v>
      </c>
    </row>
    <row r="1048" spans="1:2">
      <c r="A1048" s="129" t="s">
        <v>1289</v>
      </c>
      <c r="B1048" s="129" t="s">
        <v>2410</v>
      </c>
    </row>
    <row r="1049" spans="1:2">
      <c r="A1049" s="129" t="s">
        <v>1530</v>
      </c>
      <c r="B1049" s="129" t="s">
        <v>2410</v>
      </c>
    </row>
    <row r="1050" spans="1:2">
      <c r="A1050" s="129" t="s">
        <v>786</v>
      </c>
      <c r="B1050" s="129" t="s">
        <v>3008</v>
      </c>
    </row>
    <row r="1051" spans="1:2">
      <c r="A1051" s="129" t="s">
        <v>1769</v>
      </c>
      <c r="B1051" s="129" t="s">
        <v>2417</v>
      </c>
    </row>
    <row r="1052" spans="1:2">
      <c r="A1052" s="129" t="s">
        <v>1732</v>
      </c>
      <c r="B1052" s="129" t="s">
        <v>3005</v>
      </c>
    </row>
    <row r="1053" spans="1:2">
      <c r="A1053" s="129" t="s">
        <v>3202</v>
      </c>
      <c r="B1053" s="129" t="s">
        <v>2159</v>
      </c>
    </row>
    <row r="1054" spans="1:2">
      <c r="A1054" s="129" t="s">
        <v>531</v>
      </c>
      <c r="B1054" s="129" t="s">
        <v>3005</v>
      </c>
    </row>
    <row r="1055" spans="1:2">
      <c r="A1055" s="129" t="s">
        <v>95</v>
      </c>
      <c r="B1055" s="129" t="s">
        <v>3007</v>
      </c>
    </row>
    <row r="1056" spans="1:2">
      <c r="A1056" s="129" t="s">
        <v>2354</v>
      </c>
      <c r="B1056" s="129" t="s">
        <v>2410</v>
      </c>
    </row>
    <row r="1057" spans="1:2">
      <c r="A1057" s="129" t="s">
        <v>2354</v>
      </c>
      <c r="B1057" s="129" t="s">
        <v>2159</v>
      </c>
    </row>
    <row r="1058" spans="1:2">
      <c r="A1058" s="129" t="s">
        <v>1920</v>
      </c>
      <c r="B1058" s="129" t="s">
        <v>3007</v>
      </c>
    </row>
    <row r="1059" spans="1:2">
      <c r="A1059" s="129" t="s">
        <v>813</v>
      </c>
      <c r="B1059" s="129" t="s">
        <v>3008</v>
      </c>
    </row>
    <row r="1060" spans="1:2">
      <c r="A1060" s="129" t="s">
        <v>2125</v>
      </c>
      <c r="B1060" s="129" t="s">
        <v>3007</v>
      </c>
    </row>
    <row r="1061" spans="1:2">
      <c r="A1061" s="129" t="s">
        <v>2125</v>
      </c>
      <c r="B1061" s="129" t="s">
        <v>2155</v>
      </c>
    </row>
    <row r="1062" spans="1:2">
      <c r="A1062" s="129" t="s">
        <v>2125</v>
      </c>
      <c r="B1062" s="129" t="s">
        <v>2153</v>
      </c>
    </row>
    <row r="1063" spans="1:2">
      <c r="A1063" s="129" t="s">
        <v>486</v>
      </c>
      <c r="B1063" s="129" t="s">
        <v>3005</v>
      </c>
    </row>
    <row r="1064" spans="1:2">
      <c r="A1064" s="129" t="s">
        <v>488</v>
      </c>
      <c r="B1064" s="129" t="s">
        <v>3005</v>
      </c>
    </row>
    <row r="1065" spans="1:2">
      <c r="A1065" s="129" t="s">
        <v>808</v>
      </c>
      <c r="B1065" s="129" t="s">
        <v>2155</v>
      </c>
    </row>
    <row r="1066" spans="1:2">
      <c r="A1066" s="129" t="s">
        <v>808</v>
      </c>
      <c r="B1066" s="129" t="s">
        <v>3007</v>
      </c>
    </row>
    <row r="1067" spans="1:2">
      <c r="A1067" s="129" t="s">
        <v>97</v>
      </c>
      <c r="B1067" s="129" t="s">
        <v>3007</v>
      </c>
    </row>
    <row r="1068" spans="1:2">
      <c r="A1068" s="129" t="s">
        <v>97</v>
      </c>
      <c r="B1068" s="129" t="s">
        <v>3005</v>
      </c>
    </row>
    <row r="1069" spans="1:2">
      <c r="A1069" s="129" t="s">
        <v>1084</v>
      </c>
      <c r="B1069" s="129" t="s">
        <v>2417</v>
      </c>
    </row>
    <row r="1070" spans="1:2">
      <c r="A1070" s="129" t="s">
        <v>591</v>
      </c>
      <c r="B1070" s="129" t="s">
        <v>3005</v>
      </c>
    </row>
    <row r="1071" spans="1:2">
      <c r="A1071" s="129" t="s">
        <v>577</v>
      </c>
      <c r="B1071" s="129" t="s">
        <v>3005</v>
      </c>
    </row>
    <row r="1072" spans="1:2">
      <c r="A1072" s="129" t="s">
        <v>804</v>
      </c>
      <c r="B1072" s="129" t="s">
        <v>3005</v>
      </c>
    </row>
    <row r="1073" spans="1:2">
      <c r="A1073" s="129" t="s">
        <v>1316</v>
      </c>
      <c r="B1073" s="129" t="s">
        <v>2159</v>
      </c>
    </row>
    <row r="1074" spans="1:2">
      <c r="A1074" s="129" t="s">
        <v>1316</v>
      </c>
      <c r="B1074" s="129" t="s">
        <v>2410</v>
      </c>
    </row>
    <row r="1075" spans="1:2">
      <c r="A1075" s="129" t="s">
        <v>1027</v>
      </c>
      <c r="B1075" s="129" t="s">
        <v>2410</v>
      </c>
    </row>
    <row r="1076" spans="1:2">
      <c r="A1076" s="129" t="s">
        <v>450</v>
      </c>
      <c r="B1076" s="129" t="s">
        <v>3005</v>
      </c>
    </row>
    <row r="1077" spans="1:2">
      <c r="A1077" s="129" t="s">
        <v>450</v>
      </c>
      <c r="B1077" s="129" t="s">
        <v>2153</v>
      </c>
    </row>
    <row r="1078" spans="1:2">
      <c r="A1078" s="129" t="s">
        <v>3203</v>
      </c>
      <c r="B1078" s="129" t="s">
        <v>3005</v>
      </c>
    </row>
    <row r="1079" spans="1:2">
      <c r="A1079" s="129" t="s">
        <v>3203</v>
      </c>
      <c r="B1079" s="129" t="s">
        <v>2153</v>
      </c>
    </row>
    <row r="1080" spans="1:2">
      <c r="A1080" s="129" t="s">
        <v>1001</v>
      </c>
      <c r="B1080" s="129" t="s">
        <v>2153</v>
      </c>
    </row>
    <row r="1081" spans="1:2">
      <c r="A1081" s="129" t="s">
        <v>1001</v>
      </c>
      <c r="B1081" s="129" t="s">
        <v>3005</v>
      </c>
    </row>
    <row r="1082" spans="1:2">
      <c r="A1082" s="129" t="s">
        <v>2142</v>
      </c>
      <c r="B1082" s="129" t="s">
        <v>2159</v>
      </c>
    </row>
    <row r="1083" spans="1:2">
      <c r="A1083" s="129" t="s">
        <v>2142</v>
      </c>
      <c r="B1083" s="129" t="s">
        <v>2410</v>
      </c>
    </row>
    <row r="1084" spans="1:2">
      <c r="A1084" s="129" t="s">
        <v>1717</v>
      </c>
      <c r="B1084" s="129" t="s">
        <v>2159</v>
      </c>
    </row>
    <row r="1085" spans="1:2">
      <c r="A1085" s="129" t="s">
        <v>1032</v>
      </c>
      <c r="B1085" s="129" t="s">
        <v>2410</v>
      </c>
    </row>
    <row r="1086" spans="1:2">
      <c r="A1086" s="129" t="s">
        <v>1939</v>
      </c>
      <c r="B1086" s="129" t="s">
        <v>2410</v>
      </c>
    </row>
    <row r="1087" spans="1:2">
      <c r="A1087" s="129" t="s">
        <v>1939</v>
      </c>
      <c r="B1087" s="129" t="s">
        <v>2159</v>
      </c>
    </row>
    <row r="1088" spans="1:2">
      <c r="A1088" s="129" t="s">
        <v>503</v>
      </c>
      <c r="B1088" s="129" t="s">
        <v>3005</v>
      </c>
    </row>
    <row r="1089" spans="1:2">
      <c r="A1089" s="129" t="s">
        <v>503</v>
      </c>
      <c r="B1089" s="129" t="s">
        <v>2153</v>
      </c>
    </row>
    <row r="1090" spans="1:2">
      <c r="A1090" s="129" t="s">
        <v>1036</v>
      </c>
      <c r="B1090" s="129" t="s">
        <v>2410</v>
      </c>
    </row>
    <row r="1091" spans="1:2">
      <c r="A1091" s="129" t="s">
        <v>937</v>
      </c>
      <c r="B1091" s="129" t="s">
        <v>3005</v>
      </c>
    </row>
    <row r="1092" spans="1:2">
      <c r="A1092" s="129" t="s">
        <v>2434</v>
      </c>
      <c r="B1092" s="129" t="s">
        <v>2410</v>
      </c>
    </row>
    <row r="1093" spans="1:2">
      <c r="A1093" s="129" t="s">
        <v>3204</v>
      </c>
      <c r="B1093" s="129" t="s">
        <v>2159</v>
      </c>
    </row>
    <row r="1094" spans="1:2">
      <c r="A1094" s="129" t="s">
        <v>2322</v>
      </c>
      <c r="B1094" s="129" t="s">
        <v>2417</v>
      </c>
    </row>
    <row r="1095" spans="1:2">
      <c r="A1095" s="129" t="s">
        <v>2322</v>
      </c>
      <c r="B1095" s="129" t="s">
        <v>2158</v>
      </c>
    </row>
    <row r="1096" spans="1:2">
      <c r="A1096" s="129" t="s">
        <v>1855</v>
      </c>
      <c r="B1096" s="129" t="s">
        <v>2417</v>
      </c>
    </row>
    <row r="1097" spans="1:2">
      <c r="A1097" s="129" t="s">
        <v>1855</v>
      </c>
      <c r="B1097" s="129" t="s">
        <v>2158</v>
      </c>
    </row>
    <row r="1098" spans="1:2">
      <c r="A1098" s="129" t="s">
        <v>1816</v>
      </c>
      <c r="B1098" s="129" t="s">
        <v>2410</v>
      </c>
    </row>
    <row r="1099" spans="1:2">
      <c r="A1099" s="129" t="s">
        <v>1816</v>
      </c>
      <c r="B1099" s="129" t="s">
        <v>2159</v>
      </c>
    </row>
    <row r="1100" spans="1:2">
      <c r="A1100" s="129" t="s">
        <v>3205</v>
      </c>
      <c r="B1100" s="129" t="s">
        <v>2410</v>
      </c>
    </row>
    <row r="1101" spans="1:2">
      <c r="A1101" s="129" t="s">
        <v>3205</v>
      </c>
      <c r="B1101" s="129" t="s">
        <v>2159</v>
      </c>
    </row>
    <row r="1102" spans="1:2">
      <c r="A1102" s="129" t="s">
        <v>1370</v>
      </c>
      <c r="B1102" s="129" t="s">
        <v>2410</v>
      </c>
    </row>
    <row r="1103" spans="1:2">
      <c r="A1103" s="129" t="s">
        <v>3206</v>
      </c>
      <c r="B1103" s="129" t="s">
        <v>3005</v>
      </c>
    </row>
    <row r="1104" spans="1:2">
      <c r="A1104" s="129" t="s">
        <v>3206</v>
      </c>
      <c r="B1104" s="129" t="s">
        <v>2153</v>
      </c>
    </row>
    <row r="1105" spans="1:2">
      <c r="A1105" s="129" t="s">
        <v>3207</v>
      </c>
      <c r="B1105" s="129" t="s">
        <v>2155</v>
      </c>
    </row>
    <row r="1106" spans="1:2">
      <c r="A1106" s="129" t="s">
        <v>3208</v>
      </c>
      <c r="B1106" s="129" t="s">
        <v>3007</v>
      </c>
    </row>
    <row r="1107" spans="1:2">
      <c r="A1107" s="129" t="s">
        <v>3209</v>
      </c>
      <c r="B1107" s="129" t="s">
        <v>2155</v>
      </c>
    </row>
    <row r="1108" spans="1:2">
      <c r="A1108" s="129" t="s">
        <v>354</v>
      </c>
      <c r="B1108" s="129" t="s">
        <v>3005</v>
      </c>
    </row>
    <row r="1109" spans="1:2">
      <c r="A1109" s="129" t="s">
        <v>1424</v>
      </c>
      <c r="B1109" s="129" t="s">
        <v>2159</v>
      </c>
    </row>
    <row r="1110" spans="1:2">
      <c r="A1110" s="129" t="s">
        <v>1424</v>
      </c>
      <c r="B1110" s="129" t="s">
        <v>2410</v>
      </c>
    </row>
    <row r="1111" spans="1:2">
      <c r="A1111" s="129" t="s">
        <v>713</v>
      </c>
      <c r="B1111" s="129" t="s">
        <v>3005</v>
      </c>
    </row>
    <row r="1112" spans="1:2">
      <c r="A1112" s="129" t="s">
        <v>1941</v>
      </c>
      <c r="B1112" s="129" t="s">
        <v>2410</v>
      </c>
    </row>
    <row r="1113" spans="1:2">
      <c r="A1113" s="129" t="s">
        <v>279</v>
      </c>
      <c r="B1113" s="129" t="s">
        <v>3005</v>
      </c>
    </row>
    <row r="1114" spans="1:2">
      <c r="A1114" s="129" t="s">
        <v>2448</v>
      </c>
      <c r="B1114" s="129" t="s">
        <v>2159</v>
      </c>
    </row>
    <row r="1115" spans="1:2">
      <c r="A1115" s="129" t="s">
        <v>1851</v>
      </c>
      <c r="B1115" s="129" t="s">
        <v>2159</v>
      </c>
    </row>
    <row r="1116" spans="1:2">
      <c r="A1116" s="129" t="s">
        <v>2420</v>
      </c>
      <c r="B1116" s="129" t="s">
        <v>3005</v>
      </c>
    </row>
    <row r="1117" spans="1:2">
      <c r="A1117" s="129" t="s">
        <v>3210</v>
      </c>
      <c r="B1117" s="129" t="s">
        <v>2155</v>
      </c>
    </row>
    <row r="1118" spans="1:2">
      <c r="A1118" s="129" t="s">
        <v>1046</v>
      </c>
      <c r="B1118" s="129" t="s">
        <v>2410</v>
      </c>
    </row>
    <row r="1119" spans="1:2">
      <c r="A1119" s="129" t="s">
        <v>3211</v>
      </c>
      <c r="B1119" s="129" t="s">
        <v>3005</v>
      </c>
    </row>
    <row r="1120" spans="1:2">
      <c r="A1120" s="129" t="s">
        <v>103</v>
      </c>
      <c r="B1120" s="129" t="s">
        <v>3007</v>
      </c>
    </row>
    <row r="1121" spans="1:2">
      <c r="A1121" s="129" t="s">
        <v>3212</v>
      </c>
      <c r="B1121" s="129" t="s">
        <v>2155</v>
      </c>
    </row>
    <row r="1122" spans="1:2">
      <c r="A1122" s="129" t="s">
        <v>695</v>
      </c>
      <c r="B1122" s="129" t="s">
        <v>3005</v>
      </c>
    </row>
    <row r="1123" spans="1:2">
      <c r="A1123" s="129" t="s">
        <v>3213</v>
      </c>
      <c r="B1123" s="129" t="s">
        <v>3007</v>
      </c>
    </row>
    <row r="1124" spans="1:2">
      <c r="A1124" s="129" t="s">
        <v>2591</v>
      </c>
      <c r="B1124" s="129" t="s">
        <v>2159</v>
      </c>
    </row>
    <row r="1125" spans="1:2">
      <c r="A1125" s="129" t="s">
        <v>2591</v>
      </c>
      <c r="B1125" s="129" t="s">
        <v>2410</v>
      </c>
    </row>
    <row r="1126" spans="1:2">
      <c r="A1126" s="129" t="s">
        <v>3214</v>
      </c>
      <c r="B1126" s="129" t="s">
        <v>2155</v>
      </c>
    </row>
    <row r="1127" spans="1:2">
      <c r="A1127" s="129" t="s">
        <v>1368</v>
      </c>
      <c r="B1127" s="129" t="s">
        <v>2410</v>
      </c>
    </row>
    <row r="1128" spans="1:2">
      <c r="A1128" s="129" t="s">
        <v>1368</v>
      </c>
      <c r="B1128" s="129" t="s">
        <v>2158</v>
      </c>
    </row>
    <row r="1129" spans="1:2">
      <c r="A1129" s="129" t="s">
        <v>1368</v>
      </c>
      <c r="B1129" s="129" t="s">
        <v>2159</v>
      </c>
    </row>
    <row r="1130" spans="1:2">
      <c r="A1130" s="129" t="s">
        <v>1426</v>
      </c>
      <c r="B1130" s="129" t="s">
        <v>2159</v>
      </c>
    </row>
    <row r="1131" spans="1:2">
      <c r="A1131" s="129" t="s">
        <v>1426</v>
      </c>
      <c r="B1131" s="129" t="s">
        <v>2158</v>
      </c>
    </row>
    <row r="1132" spans="1:2">
      <c r="A1132" s="129" t="s">
        <v>92</v>
      </c>
      <c r="B1132" s="129" t="s">
        <v>3007</v>
      </c>
    </row>
    <row r="1133" spans="1:2">
      <c r="A1133" s="129" t="s">
        <v>810</v>
      </c>
      <c r="B1133" s="129" t="s">
        <v>2410</v>
      </c>
    </row>
    <row r="1134" spans="1:2">
      <c r="A1134" s="129" t="s">
        <v>669</v>
      </c>
      <c r="B1134" s="129" t="s">
        <v>3005</v>
      </c>
    </row>
    <row r="1135" spans="1:2">
      <c r="A1135" s="129" t="s">
        <v>1733</v>
      </c>
      <c r="B1135" s="129" t="s">
        <v>2153</v>
      </c>
    </row>
    <row r="1136" spans="1:2">
      <c r="A1136" s="129" t="s">
        <v>3215</v>
      </c>
      <c r="B1136" s="129" t="s">
        <v>2153</v>
      </c>
    </row>
    <row r="1137" spans="1:2">
      <c r="A1137" s="129" t="s">
        <v>3216</v>
      </c>
      <c r="B1137" s="129" t="s">
        <v>2410</v>
      </c>
    </row>
    <row r="1138" spans="1:2">
      <c r="A1138" s="129" t="s">
        <v>3217</v>
      </c>
      <c r="B1138" s="129" t="s">
        <v>2155</v>
      </c>
    </row>
    <row r="1139" spans="1:2">
      <c r="A1139" s="129" t="s">
        <v>3217</v>
      </c>
      <c r="B1139" s="129" t="s">
        <v>3007</v>
      </c>
    </row>
    <row r="1140" spans="1:2">
      <c r="A1140" s="129" t="s">
        <v>284</v>
      </c>
      <c r="B1140" s="129" t="s">
        <v>3005</v>
      </c>
    </row>
    <row r="1141" spans="1:2">
      <c r="A1141" s="129" t="s">
        <v>3218</v>
      </c>
      <c r="B1141" s="129" t="s">
        <v>2159</v>
      </c>
    </row>
    <row r="1142" spans="1:2">
      <c r="A1142" s="129" t="s">
        <v>3219</v>
      </c>
      <c r="B1142" s="129" t="s">
        <v>3007</v>
      </c>
    </row>
    <row r="1143" spans="1:2">
      <c r="A1143" s="129" t="s">
        <v>1641</v>
      </c>
      <c r="B1143" s="129" t="s">
        <v>2159</v>
      </c>
    </row>
    <row r="1144" spans="1:2">
      <c r="A1144" s="129" t="s">
        <v>3220</v>
      </c>
      <c r="B1144" s="129" t="s">
        <v>2155</v>
      </c>
    </row>
    <row r="1145" spans="1:2">
      <c r="A1145" s="129" t="s">
        <v>2554</v>
      </c>
      <c r="B1145" s="129" t="s">
        <v>2410</v>
      </c>
    </row>
    <row r="1146" spans="1:2">
      <c r="A1146" s="129" t="s">
        <v>2554</v>
      </c>
      <c r="B1146" s="129" t="s">
        <v>2159</v>
      </c>
    </row>
    <row r="1147" spans="1:2">
      <c r="A1147" s="129" t="s">
        <v>1836</v>
      </c>
      <c r="B1147" s="129" t="s">
        <v>2417</v>
      </c>
    </row>
    <row r="1148" spans="1:2">
      <c r="A1148" s="129" t="s">
        <v>2130</v>
      </c>
      <c r="B1148" s="129" t="s">
        <v>2153</v>
      </c>
    </row>
    <row r="1149" spans="1:2">
      <c r="A1149" s="129" t="s">
        <v>1456</v>
      </c>
      <c r="B1149" s="129" t="s">
        <v>3008</v>
      </c>
    </row>
    <row r="1150" spans="1:2">
      <c r="A1150" s="129" t="s">
        <v>1456</v>
      </c>
      <c r="B1150" s="129" t="s">
        <v>2157</v>
      </c>
    </row>
    <row r="1151" spans="1:2">
      <c r="A1151" s="129" t="s">
        <v>2490</v>
      </c>
      <c r="B1151" s="129" t="s">
        <v>2153</v>
      </c>
    </row>
    <row r="1152" spans="1:2">
      <c r="A1152" s="129" t="s">
        <v>418</v>
      </c>
      <c r="B1152" s="129" t="s">
        <v>3005</v>
      </c>
    </row>
    <row r="1153" spans="1:2">
      <c r="A1153" s="129" t="s">
        <v>418</v>
      </c>
      <c r="B1153" s="129" t="s">
        <v>2153</v>
      </c>
    </row>
    <row r="1154" spans="1:2">
      <c r="A1154" s="129" t="s">
        <v>1854</v>
      </c>
      <c r="B1154" s="129" t="s">
        <v>2417</v>
      </c>
    </row>
    <row r="1155" spans="1:2">
      <c r="A1155" s="129" t="s">
        <v>1854</v>
      </c>
      <c r="B1155" s="129" t="s">
        <v>2158</v>
      </c>
    </row>
    <row r="1156" spans="1:2">
      <c r="A1156" s="129" t="s">
        <v>1854</v>
      </c>
      <c r="B1156" s="129" t="s">
        <v>2159</v>
      </c>
    </row>
    <row r="1157" spans="1:2">
      <c r="A1157" s="129" t="s">
        <v>1419</v>
      </c>
      <c r="B1157" s="129" t="s">
        <v>2159</v>
      </c>
    </row>
    <row r="1158" spans="1:2">
      <c r="A1158" s="129" t="s">
        <v>2058</v>
      </c>
      <c r="B1158" s="129" t="s">
        <v>2410</v>
      </c>
    </row>
    <row r="1159" spans="1:2">
      <c r="A1159" s="129" t="s">
        <v>1719</v>
      </c>
      <c r="B1159" s="129" t="s">
        <v>2410</v>
      </c>
    </row>
    <row r="1160" spans="1:2">
      <c r="A1160" s="129" t="s">
        <v>1719</v>
      </c>
      <c r="B1160" s="129" t="s">
        <v>2159</v>
      </c>
    </row>
    <row r="1161" spans="1:2">
      <c r="A1161" s="129" t="s">
        <v>1040</v>
      </c>
      <c r="B1161" s="129" t="s">
        <v>2410</v>
      </c>
    </row>
    <row r="1162" spans="1:2">
      <c r="A1162" s="129" t="s">
        <v>1040</v>
      </c>
      <c r="B1162" s="129" t="s">
        <v>2159</v>
      </c>
    </row>
    <row r="1163" spans="1:2">
      <c r="A1163" s="129" t="s">
        <v>1551</v>
      </c>
      <c r="B1163" s="129" t="s">
        <v>2410</v>
      </c>
    </row>
    <row r="1164" spans="1:2">
      <c r="A1164" s="129" t="s">
        <v>1165</v>
      </c>
      <c r="B1164" s="129" t="s">
        <v>3005</v>
      </c>
    </row>
    <row r="1165" spans="1:2">
      <c r="A1165" s="129" t="s">
        <v>1216</v>
      </c>
      <c r="B1165" s="129" t="s">
        <v>3007</v>
      </c>
    </row>
    <row r="1166" spans="1:2">
      <c r="A1166" s="129" t="s">
        <v>1216</v>
      </c>
      <c r="B1166" s="129" t="s">
        <v>2155</v>
      </c>
    </row>
    <row r="1167" spans="1:2">
      <c r="A1167" s="129" t="s">
        <v>3221</v>
      </c>
      <c r="B1167" s="129" t="s">
        <v>3007</v>
      </c>
    </row>
    <row r="1168" spans="1:2">
      <c r="A1168" s="129" t="s">
        <v>3221</v>
      </c>
      <c r="B1168" s="129" t="s">
        <v>2155</v>
      </c>
    </row>
    <row r="1169" spans="1:2">
      <c r="A1169" s="129" t="s">
        <v>3222</v>
      </c>
      <c r="B1169" s="129" t="s">
        <v>2155</v>
      </c>
    </row>
    <row r="1170" spans="1:2">
      <c r="A1170" s="129" t="s">
        <v>3223</v>
      </c>
      <c r="B1170" s="129" t="s">
        <v>2155</v>
      </c>
    </row>
    <row r="1171" spans="1:2">
      <c r="A1171" s="129" t="s">
        <v>3224</v>
      </c>
      <c r="B1171" s="129" t="s">
        <v>3007</v>
      </c>
    </row>
    <row r="1172" spans="1:2">
      <c r="A1172" s="129" t="s">
        <v>3224</v>
      </c>
      <c r="B1172" s="129" t="s">
        <v>2158</v>
      </c>
    </row>
    <row r="1173" spans="1:2">
      <c r="A1173" s="129" t="s">
        <v>3224</v>
      </c>
      <c r="B1173" s="129" t="s">
        <v>2159</v>
      </c>
    </row>
    <row r="1174" spans="1:2">
      <c r="A1174" s="129" t="s">
        <v>3224</v>
      </c>
      <c r="B1174" s="129" t="s">
        <v>2410</v>
      </c>
    </row>
    <row r="1175" spans="1:2">
      <c r="A1175" s="129" t="s">
        <v>3224</v>
      </c>
      <c r="B1175" s="129" t="s">
        <v>2153</v>
      </c>
    </row>
    <row r="1176" spans="1:2">
      <c r="A1176" s="129" t="s">
        <v>3224</v>
      </c>
      <c r="B1176" s="129" t="s">
        <v>2155</v>
      </c>
    </row>
    <row r="1177" spans="1:2">
      <c r="A1177" s="129" t="s">
        <v>197</v>
      </c>
      <c r="B1177" s="129" t="s">
        <v>3086</v>
      </c>
    </row>
    <row r="1178" spans="1:2">
      <c r="A1178" s="129" t="s">
        <v>649</v>
      </c>
      <c r="B1178" s="129" t="s">
        <v>3005</v>
      </c>
    </row>
    <row r="1179" spans="1:2">
      <c r="A1179" s="129" t="s">
        <v>538</v>
      </c>
      <c r="B1179" s="129" t="s">
        <v>3005</v>
      </c>
    </row>
    <row r="1180" spans="1:2">
      <c r="A1180" s="129" t="s">
        <v>462</v>
      </c>
      <c r="B1180" s="129" t="s">
        <v>3005</v>
      </c>
    </row>
    <row r="1181" spans="1:2">
      <c r="A1181" s="129" t="s">
        <v>473</v>
      </c>
      <c r="B1181" s="129" t="s">
        <v>2153</v>
      </c>
    </row>
    <row r="1182" spans="1:2">
      <c r="A1182" s="129" t="s">
        <v>2006</v>
      </c>
      <c r="B1182" s="129" t="s">
        <v>2159</v>
      </c>
    </row>
    <row r="1183" spans="1:2">
      <c r="A1183" s="129" t="s">
        <v>1688</v>
      </c>
      <c r="B1183" s="129" t="s">
        <v>2159</v>
      </c>
    </row>
    <row r="1184" spans="1:2">
      <c r="A1184" s="129" t="s">
        <v>3225</v>
      </c>
      <c r="B1184" s="129" t="s">
        <v>2159</v>
      </c>
    </row>
    <row r="1185" spans="1:2">
      <c r="A1185" s="129" t="s">
        <v>3226</v>
      </c>
      <c r="B1185" s="129" t="s">
        <v>2159</v>
      </c>
    </row>
    <row r="1186" spans="1:2">
      <c r="A1186" s="129" t="s">
        <v>923</v>
      </c>
      <c r="B1186" s="129" t="s">
        <v>3005</v>
      </c>
    </row>
    <row r="1187" spans="1:2">
      <c r="A1187" s="129" t="s">
        <v>3227</v>
      </c>
      <c r="B1187" s="129" t="s">
        <v>2159</v>
      </c>
    </row>
    <row r="1188" spans="1:2">
      <c r="A1188" s="129" t="s">
        <v>919</v>
      </c>
      <c r="B1188" s="129" t="s">
        <v>3008</v>
      </c>
    </row>
    <row r="1189" spans="1:2">
      <c r="A1189" s="129" t="s">
        <v>1114</v>
      </c>
      <c r="B1189" s="129" t="s">
        <v>2410</v>
      </c>
    </row>
    <row r="1190" spans="1:2">
      <c r="A1190" s="129" t="s">
        <v>1038</v>
      </c>
      <c r="B1190" s="129" t="s">
        <v>2410</v>
      </c>
    </row>
    <row r="1191" spans="1:2">
      <c r="A1191" s="129" t="s">
        <v>2081</v>
      </c>
      <c r="B1191" s="129" t="s">
        <v>2410</v>
      </c>
    </row>
    <row r="1192" spans="1:2">
      <c r="A1192" s="129" t="s">
        <v>1640</v>
      </c>
      <c r="B1192" s="129" t="s">
        <v>2159</v>
      </c>
    </row>
    <row r="1193" spans="1:2">
      <c r="A1193" s="129" t="s">
        <v>1315</v>
      </c>
      <c r="B1193" s="129" t="s">
        <v>2159</v>
      </c>
    </row>
    <row r="1194" spans="1:2">
      <c r="A1194" s="129" t="s">
        <v>1315</v>
      </c>
      <c r="B1194" s="129" t="s">
        <v>2410</v>
      </c>
    </row>
    <row r="1195" spans="1:2">
      <c r="A1195" s="129" t="s">
        <v>1377</v>
      </c>
      <c r="B1195" s="129" t="s">
        <v>2410</v>
      </c>
    </row>
    <row r="1196" spans="1:2">
      <c r="A1196" s="129" t="s">
        <v>1681</v>
      </c>
      <c r="B1196" s="129" t="s">
        <v>2410</v>
      </c>
    </row>
    <row r="1197" spans="1:2">
      <c r="A1197" s="129" t="s">
        <v>2030</v>
      </c>
      <c r="B1197" s="129" t="s">
        <v>2153</v>
      </c>
    </row>
    <row r="1198" spans="1:2">
      <c r="A1198" s="129" t="s">
        <v>174</v>
      </c>
      <c r="B1198" s="129" t="s">
        <v>3005</v>
      </c>
    </row>
    <row r="1199" spans="1:2">
      <c r="A1199" s="129" t="s">
        <v>1481</v>
      </c>
      <c r="B1199" s="129" t="s">
        <v>2159</v>
      </c>
    </row>
    <row r="1200" spans="1:2">
      <c r="A1200" s="129" t="s">
        <v>2561</v>
      </c>
      <c r="B1200" s="129" t="s">
        <v>2159</v>
      </c>
    </row>
    <row r="1201" spans="1:2">
      <c r="A1201" s="129" t="s">
        <v>2079</v>
      </c>
      <c r="B1201" s="129" t="s">
        <v>2410</v>
      </c>
    </row>
    <row r="1202" spans="1:2">
      <c r="A1202" s="129" t="s">
        <v>790</v>
      </c>
      <c r="B1202" s="129" t="s">
        <v>3008</v>
      </c>
    </row>
    <row r="1203" spans="1:2">
      <c r="A1203" s="129" t="s">
        <v>565</v>
      </c>
      <c r="B1203" s="129" t="s">
        <v>3005</v>
      </c>
    </row>
    <row r="1204" spans="1:2">
      <c r="A1204" s="129" t="s">
        <v>565</v>
      </c>
      <c r="B1204" s="129" t="s">
        <v>2153</v>
      </c>
    </row>
    <row r="1205" spans="1:2">
      <c r="A1205" s="129" t="s">
        <v>3228</v>
      </c>
      <c r="B1205" s="129" t="s">
        <v>2155</v>
      </c>
    </row>
    <row r="1206" spans="1:2">
      <c r="A1206" s="129" t="s">
        <v>1153</v>
      </c>
      <c r="B1206" s="129" t="s">
        <v>3005</v>
      </c>
    </row>
    <row r="1207" spans="1:2">
      <c r="A1207" s="129" t="s">
        <v>172</v>
      </c>
      <c r="B1207" s="129" t="s">
        <v>2155</v>
      </c>
    </row>
    <row r="1208" spans="1:2">
      <c r="A1208" s="129" t="s">
        <v>172</v>
      </c>
      <c r="B1208" s="129" t="s">
        <v>3007</v>
      </c>
    </row>
    <row r="1209" spans="1:2">
      <c r="A1209" s="129" t="s">
        <v>2229</v>
      </c>
      <c r="B1209" s="129" t="s">
        <v>3007</v>
      </c>
    </row>
    <row r="1210" spans="1:2">
      <c r="A1210" s="129" t="s">
        <v>727</v>
      </c>
      <c r="B1210" s="129" t="s">
        <v>3005</v>
      </c>
    </row>
    <row r="1211" spans="1:2">
      <c r="A1211" s="129" t="s">
        <v>2113</v>
      </c>
      <c r="B1211" s="129" t="s">
        <v>2410</v>
      </c>
    </row>
    <row r="1212" spans="1:2">
      <c r="A1212" s="129" t="s">
        <v>1303</v>
      </c>
      <c r="B1212" s="129" t="s">
        <v>2159</v>
      </c>
    </row>
    <row r="1213" spans="1:2">
      <c r="A1213" s="129" t="s">
        <v>2362</v>
      </c>
      <c r="B1213" s="129" t="s">
        <v>2153</v>
      </c>
    </row>
    <row r="1214" spans="1:2">
      <c r="A1214" s="129" t="s">
        <v>2362</v>
      </c>
      <c r="B1214" s="129" t="s">
        <v>3005</v>
      </c>
    </row>
    <row r="1215" spans="1:2">
      <c r="A1215" s="129" t="s">
        <v>739</v>
      </c>
      <c r="B1215" s="129" t="s">
        <v>3005</v>
      </c>
    </row>
    <row r="1216" spans="1:2">
      <c r="A1216" s="129" t="s">
        <v>215</v>
      </c>
      <c r="B1216" s="129" t="s">
        <v>3005</v>
      </c>
    </row>
    <row r="1217" spans="1:2">
      <c r="A1217" s="129" t="s">
        <v>215</v>
      </c>
      <c r="B1217" s="129" t="s">
        <v>2153</v>
      </c>
    </row>
    <row r="1218" spans="1:2">
      <c r="A1218" s="129" t="s">
        <v>3229</v>
      </c>
      <c r="B1218" s="129" t="s">
        <v>2155</v>
      </c>
    </row>
    <row r="1219" spans="1:2">
      <c r="A1219" s="129" t="s">
        <v>3230</v>
      </c>
      <c r="B1219" s="129" t="s">
        <v>2153</v>
      </c>
    </row>
    <row r="1220" spans="1:2">
      <c r="A1220" s="129" t="s">
        <v>3230</v>
      </c>
      <c r="B1220" s="129" t="s">
        <v>3005</v>
      </c>
    </row>
    <row r="1221" spans="1:2">
      <c r="A1221" s="129" t="s">
        <v>1169</v>
      </c>
      <c r="B1221" s="129" t="s">
        <v>3005</v>
      </c>
    </row>
    <row r="1222" spans="1:2">
      <c r="A1222" s="129" t="s">
        <v>622</v>
      </c>
      <c r="B1222" s="129" t="s">
        <v>3005</v>
      </c>
    </row>
    <row r="1223" spans="1:2">
      <c r="A1223" s="129" t="s">
        <v>335</v>
      </c>
      <c r="B1223" s="129" t="s">
        <v>2153</v>
      </c>
    </row>
    <row r="1224" spans="1:2">
      <c r="A1224" s="129" t="s">
        <v>335</v>
      </c>
      <c r="B1224" s="129" t="s">
        <v>3005</v>
      </c>
    </row>
    <row r="1225" spans="1:2">
      <c r="A1225" s="129" t="s">
        <v>442</v>
      </c>
      <c r="B1225" s="129" t="s">
        <v>3005</v>
      </c>
    </row>
    <row r="1226" spans="1:2">
      <c r="A1226" s="129" t="s">
        <v>1913</v>
      </c>
      <c r="B1226" s="129" t="s">
        <v>2159</v>
      </c>
    </row>
    <row r="1227" spans="1:2">
      <c r="A1227" s="129" t="s">
        <v>1913</v>
      </c>
      <c r="B1227" s="129" t="s">
        <v>2157</v>
      </c>
    </row>
    <row r="1228" spans="1:2">
      <c r="A1228" s="129" t="s">
        <v>1143</v>
      </c>
      <c r="B1228" s="129" t="s">
        <v>3005</v>
      </c>
    </row>
    <row r="1229" spans="1:2">
      <c r="A1229" s="129" t="s">
        <v>1980</v>
      </c>
      <c r="B1229" s="129" t="s">
        <v>2410</v>
      </c>
    </row>
    <row r="1230" spans="1:2">
      <c r="A1230" s="129" t="s">
        <v>1639</v>
      </c>
      <c r="B1230" s="129" t="s">
        <v>2159</v>
      </c>
    </row>
    <row r="1231" spans="1:2">
      <c r="A1231" s="129" t="s">
        <v>338</v>
      </c>
      <c r="B1231" s="129" t="s">
        <v>3005</v>
      </c>
    </row>
    <row r="1232" spans="1:2">
      <c r="A1232" s="129" t="s">
        <v>3231</v>
      </c>
      <c r="B1232" s="129" t="s">
        <v>2159</v>
      </c>
    </row>
    <row r="1233" spans="1:2">
      <c r="A1233" s="129" t="s">
        <v>1495</v>
      </c>
      <c r="B1233" s="129" t="s">
        <v>2410</v>
      </c>
    </row>
    <row r="1234" spans="1:2">
      <c r="A1234" s="129" t="s">
        <v>1495</v>
      </c>
      <c r="B1234" s="129" t="s">
        <v>2159</v>
      </c>
    </row>
    <row r="1235" spans="1:2">
      <c r="A1235" s="129" t="s">
        <v>2126</v>
      </c>
      <c r="B1235" s="129" t="s">
        <v>2153</v>
      </c>
    </row>
    <row r="1236" spans="1:2">
      <c r="A1236" s="129" t="s">
        <v>3232</v>
      </c>
      <c r="B1236" s="129" t="s">
        <v>2159</v>
      </c>
    </row>
    <row r="1237" spans="1:2">
      <c r="A1237" s="129" t="s">
        <v>2366</v>
      </c>
      <c r="B1237" s="129" t="s">
        <v>3005</v>
      </c>
    </row>
    <row r="1238" spans="1:2">
      <c r="A1238" s="129" t="s">
        <v>2366</v>
      </c>
      <c r="B1238" s="129" t="s">
        <v>2153</v>
      </c>
    </row>
    <row r="1239" spans="1:2">
      <c r="A1239" s="129" t="s">
        <v>2393</v>
      </c>
      <c r="B1239" s="129" t="s">
        <v>3005</v>
      </c>
    </row>
    <row r="1240" spans="1:2">
      <c r="A1240" s="129" t="s">
        <v>2393</v>
      </c>
      <c r="B1240" s="129" t="s">
        <v>2153</v>
      </c>
    </row>
    <row r="1241" spans="1:2">
      <c r="A1241" s="129" t="s">
        <v>478</v>
      </c>
      <c r="B1241" s="129" t="s">
        <v>3005</v>
      </c>
    </row>
    <row r="1242" spans="1:2">
      <c r="A1242" s="129" t="s">
        <v>463</v>
      </c>
      <c r="B1242" s="129" t="s">
        <v>3005</v>
      </c>
    </row>
    <row r="1243" spans="1:2">
      <c r="A1243" s="129" t="s">
        <v>1616</v>
      </c>
      <c r="B1243" s="129" t="s">
        <v>2410</v>
      </c>
    </row>
    <row r="1244" spans="1:2">
      <c r="A1244" s="129" t="s">
        <v>1616</v>
      </c>
      <c r="B1244" s="129" t="s">
        <v>2159</v>
      </c>
    </row>
    <row r="1245" spans="1:2">
      <c r="A1245" s="129" t="s">
        <v>289</v>
      </c>
      <c r="B1245" s="129" t="s">
        <v>3005</v>
      </c>
    </row>
    <row r="1246" spans="1:2">
      <c r="A1246" s="129" t="s">
        <v>289</v>
      </c>
      <c r="B1246" s="129" t="s">
        <v>2153</v>
      </c>
    </row>
    <row r="1247" spans="1:2">
      <c r="A1247" s="129" t="s">
        <v>1726</v>
      </c>
      <c r="B1247" s="129" t="s">
        <v>2159</v>
      </c>
    </row>
    <row r="1248" spans="1:2">
      <c r="A1248" s="129" t="s">
        <v>1726</v>
      </c>
      <c r="B1248" s="129" t="s">
        <v>2410</v>
      </c>
    </row>
    <row r="1249" spans="1:2">
      <c r="A1249" s="129" t="s">
        <v>1624</v>
      </c>
      <c r="B1249" s="129" t="s">
        <v>2159</v>
      </c>
    </row>
    <row r="1250" spans="1:2">
      <c r="A1250" s="129" t="s">
        <v>1387</v>
      </c>
      <c r="B1250" s="129" t="s">
        <v>2417</v>
      </c>
    </row>
    <row r="1251" spans="1:2">
      <c r="A1251" s="129" t="s">
        <v>1128</v>
      </c>
      <c r="B1251" s="129" t="s">
        <v>2410</v>
      </c>
    </row>
    <row r="1252" spans="1:2">
      <c r="A1252" s="129" t="s">
        <v>2442</v>
      </c>
      <c r="B1252" s="129" t="s">
        <v>2410</v>
      </c>
    </row>
    <row r="1253" spans="1:2">
      <c r="A1253" s="129" t="s">
        <v>1748</v>
      </c>
      <c r="B1253" s="129" t="s">
        <v>2410</v>
      </c>
    </row>
    <row r="1254" spans="1:2">
      <c r="A1254" s="129" t="s">
        <v>1595</v>
      </c>
      <c r="B1254" s="129" t="s">
        <v>2159</v>
      </c>
    </row>
    <row r="1255" spans="1:2">
      <c r="A1255" s="129" t="s">
        <v>451</v>
      </c>
      <c r="B1255" s="129" t="s">
        <v>3005</v>
      </c>
    </row>
    <row r="1256" spans="1:2">
      <c r="A1256" s="129" t="s">
        <v>339</v>
      </c>
      <c r="B1256" s="129" t="s">
        <v>3005</v>
      </c>
    </row>
    <row r="1257" spans="1:2">
      <c r="A1257" s="129" t="s">
        <v>217</v>
      </c>
      <c r="B1257" s="129" t="s">
        <v>3005</v>
      </c>
    </row>
    <row r="1258" spans="1:2">
      <c r="A1258" s="129" t="s">
        <v>1802</v>
      </c>
      <c r="B1258" s="129" t="s">
        <v>2410</v>
      </c>
    </row>
    <row r="1259" spans="1:2">
      <c r="A1259" s="129" t="s">
        <v>1802</v>
      </c>
      <c r="B1259" s="129" t="s">
        <v>2159</v>
      </c>
    </row>
    <row r="1260" spans="1:2">
      <c r="A1260" s="129" t="s">
        <v>1224</v>
      </c>
      <c r="B1260" s="129" t="s">
        <v>3005</v>
      </c>
    </row>
    <row r="1261" spans="1:2">
      <c r="A1261" s="129" t="s">
        <v>1224</v>
      </c>
      <c r="B1261" s="129" t="s">
        <v>2153</v>
      </c>
    </row>
    <row r="1262" spans="1:2">
      <c r="A1262" s="129" t="s">
        <v>1878</v>
      </c>
      <c r="B1262" s="129" t="s">
        <v>2159</v>
      </c>
    </row>
    <row r="1263" spans="1:2">
      <c r="A1263" s="129" t="s">
        <v>1620</v>
      </c>
      <c r="B1263" s="129" t="s">
        <v>2159</v>
      </c>
    </row>
    <row r="1264" spans="1:2">
      <c r="A1264" s="129" t="s">
        <v>546</v>
      </c>
      <c r="B1264" s="129" t="s">
        <v>3005</v>
      </c>
    </row>
    <row r="1265" spans="1:2">
      <c r="A1265" s="129" t="s">
        <v>546</v>
      </c>
      <c r="B1265" s="129" t="s">
        <v>2153</v>
      </c>
    </row>
    <row r="1266" spans="1:2">
      <c r="A1266" s="129" t="s">
        <v>1378</v>
      </c>
      <c r="B1266" s="129" t="s">
        <v>2159</v>
      </c>
    </row>
    <row r="1267" spans="1:2">
      <c r="A1267" s="129" t="s">
        <v>2575</v>
      </c>
      <c r="B1267" s="129" t="s">
        <v>2159</v>
      </c>
    </row>
    <row r="1268" spans="1:2">
      <c r="A1268" s="129" t="s">
        <v>3233</v>
      </c>
      <c r="B1268" s="129" t="s">
        <v>2155</v>
      </c>
    </row>
    <row r="1269" spans="1:2">
      <c r="A1269" s="129" t="s">
        <v>3234</v>
      </c>
      <c r="B1269" s="129" t="s">
        <v>2159</v>
      </c>
    </row>
    <row r="1270" spans="1:2">
      <c r="A1270" s="129" t="s">
        <v>3235</v>
      </c>
      <c r="B1270" s="129" t="s">
        <v>2159</v>
      </c>
    </row>
    <row r="1271" spans="1:2">
      <c r="A1271" s="129" t="s">
        <v>3235</v>
      </c>
      <c r="B1271" s="129" t="s">
        <v>2410</v>
      </c>
    </row>
    <row r="1272" spans="1:2">
      <c r="A1272" s="129" t="s">
        <v>3236</v>
      </c>
      <c r="B1272" s="129" t="s">
        <v>2153</v>
      </c>
    </row>
    <row r="1273" spans="1:2">
      <c r="A1273" s="129" t="s">
        <v>2151</v>
      </c>
      <c r="B1273" s="129" t="s">
        <v>3005</v>
      </c>
    </row>
    <row r="1274" spans="1:2">
      <c r="A1274" s="129" t="s">
        <v>772</v>
      </c>
      <c r="B1274" s="129" t="s">
        <v>3005</v>
      </c>
    </row>
    <row r="1275" spans="1:2">
      <c r="A1275" s="129" t="s">
        <v>772</v>
      </c>
      <c r="B1275" s="129" t="s">
        <v>2153</v>
      </c>
    </row>
    <row r="1276" spans="1:2">
      <c r="A1276" s="129" t="s">
        <v>1602</v>
      </c>
      <c r="B1276" s="129" t="s">
        <v>2159</v>
      </c>
    </row>
    <row r="1277" spans="1:2">
      <c r="A1277" s="129" t="s">
        <v>3237</v>
      </c>
      <c r="B1277" s="129" t="s">
        <v>2153</v>
      </c>
    </row>
    <row r="1278" spans="1:2">
      <c r="A1278" s="129" t="s">
        <v>959</v>
      </c>
      <c r="B1278" s="129" t="s">
        <v>2410</v>
      </c>
    </row>
    <row r="1279" spans="1:2">
      <c r="A1279" s="129" t="s">
        <v>2296</v>
      </c>
      <c r="B1279" s="129" t="s">
        <v>3007</v>
      </c>
    </row>
    <row r="1280" spans="1:2">
      <c r="A1280" s="129" t="s">
        <v>3238</v>
      </c>
      <c r="B1280" s="129" t="s">
        <v>3005</v>
      </c>
    </row>
    <row r="1281" spans="1:2">
      <c r="A1281" s="129" t="s">
        <v>1513</v>
      </c>
      <c r="B1281" s="129" t="s">
        <v>2417</v>
      </c>
    </row>
    <row r="1282" spans="1:2">
      <c r="A1282" s="129" t="s">
        <v>3239</v>
      </c>
      <c r="B1282" s="129" t="s">
        <v>3005</v>
      </c>
    </row>
    <row r="1283" spans="1:2">
      <c r="A1283" s="129" t="s">
        <v>3239</v>
      </c>
      <c r="B1283" s="129" t="s">
        <v>2153</v>
      </c>
    </row>
    <row r="1284" spans="1:2">
      <c r="A1284" s="129" t="s">
        <v>3240</v>
      </c>
      <c r="B1284" s="129" t="s">
        <v>2153</v>
      </c>
    </row>
    <row r="1285" spans="1:2">
      <c r="A1285" s="129" t="s">
        <v>1017</v>
      </c>
      <c r="B1285" s="129" t="s">
        <v>2410</v>
      </c>
    </row>
    <row r="1286" spans="1:2">
      <c r="A1286" s="129" t="s">
        <v>1304</v>
      </c>
      <c r="B1286" s="129" t="s">
        <v>2159</v>
      </c>
    </row>
    <row r="1287" spans="1:2">
      <c r="A1287" s="129" t="s">
        <v>75</v>
      </c>
      <c r="B1287" s="129" t="s">
        <v>3007</v>
      </c>
    </row>
    <row r="1288" spans="1:2">
      <c r="A1288" s="129" t="s">
        <v>893</v>
      </c>
      <c r="B1288" s="129" t="s">
        <v>2410</v>
      </c>
    </row>
    <row r="1289" spans="1:2">
      <c r="A1289" s="129" t="s">
        <v>1863</v>
      </c>
      <c r="B1289" s="129" t="s">
        <v>2410</v>
      </c>
    </row>
    <row r="1290" spans="1:2">
      <c r="A1290" s="129" t="s">
        <v>1652</v>
      </c>
      <c r="B1290" s="129" t="s">
        <v>2410</v>
      </c>
    </row>
    <row r="1291" spans="1:2">
      <c r="A1291" s="129" t="s">
        <v>3241</v>
      </c>
      <c r="B1291" s="129" t="s">
        <v>2153</v>
      </c>
    </row>
    <row r="1292" spans="1:2">
      <c r="A1292" s="129" t="s">
        <v>2299</v>
      </c>
      <c r="B1292" s="129" t="s">
        <v>3007</v>
      </c>
    </row>
    <row r="1293" spans="1:2">
      <c r="A1293" s="129" t="s">
        <v>831</v>
      </c>
      <c r="B1293" s="129" t="s">
        <v>2410</v>
      </c>
    </row>
    <row r="1294" spans="1:2">
      <c r="A1294" s="129" t="s">
        <v>1898</v>
      </c>
      <c r="B1294" s="129" t="s">
        <v>2159</v>
      </c>
    </row>
    <row r="1295" spans="1:2">
      <c r="A1295" s="129" t="s">
        <v>1515</v>
      </c>
      <c r="B1295" s="129" t="s">
        <v>2417</v>
      </c>
    </row>
    <row r="1296" spans="1:2">
      <c r="A1296" s="129" t="s">
        <v>2265</v>
      </c>
      <c r="B1296" s="129" t="s">
        <v>2153</v>
      </c>
    </row>
    <row r="1297" spans="1:2">
      <c r="A1297" s="129" t="s">
        <v>2265</v>
      </c>
      <c r="B1297" s="129" t="s">
        <v>3005</v>
      </c>
    </row>
    <row r="1298" spans="1:2">
      <c r="A1298" s="129" t="s">
        <v>2390</v>
      </c>
      <c r="B1298" s="129" t="s">
        <v>2153</v>
      </c>
    </row>
    <row r="1299" spans="1:2">
      <c r="A1299" s="129" t="s">
        <v>2390</v>
      </c>
      <c r="B1299" s="129" t="s">
        <v>3005</v>
      </c>
    </row>
    <row r="1300" spans="1:2">
      <c r="A1300" s="129" t="s">
        <v>2160</v>
      </c>
      <c r="B1300" s="129" t="s">
        <v>2417</v>
      </c>
    </row>
    <row r="1301" spans="1:2">
      <c r="A1301" s="129" t="s">
        <v>1293</v>
      </c>
      <c r="B1301" s="129" t="s">
        <v>2417</v>
      </c>
    </row>
    <row r="1302" spans="1:2">
      <c r="A1302" s="129" t="s">
        <v>1293</v>
      </c>
      <c r="B1302" s="129" t="s">
        <v>2158</v>
      </c>
    </row>
    <row r="1303" spans="1:2">
      <c r="A1303" s="129" t="s">
        <v>484</v>
      </c>
      <c r="B1303" s="129" t="s">
        <v>2153</v>
      </c>
    </row>
    <row r="1304" spans="1:2">
      <c r="A1304" s="129" t="s">
        <v>2246</v>
      </c>
      <c r="B1304" s="129" t="s">
        <v>3005</v>
      </c>
    </row>
    <row r="1305" spans="1:2">
      <c r="A1305" s="129" t="s">
        <v>2246</v>
      </c>
      <c r="B1305" s="129" t="s">
        <v>2153</v>
      </c>
    </row>
    <row r="1306" spans="1:2">
      <c r="A1306" s="129" t="s">
        <v>3242</v>
      </c>
      <c r="B1306" s="129" t="s">
        <v>2159</v>
      </c>
    </row>
    <row r="1307" spans="1:2">
      <c r="A1307" s="129" t="s">
        <v>99</v>
      </c>
      <c r="B1307" s="129" t="s">
        <v>3086</v>
      </c>
    </row>
    <row r="1308" spans="1:2">
      <c r="A1308" s="129" t="s">
        <v>3243</v>
      </c>
      <c r="B1308" s="129" t="s">
        <v>2153</v>
      </c>
    </row>
    <row r="1309" spans="1:2">
      <c r="A1309" s="129" t="s">
        <v>1823</v>
      </c>
      <c r="B1309" s="129" t="s">
        <v>2410</v>
      </c>
    </row>
    <row r="1310" spans="1:2">
      <c r="A1310" s="129" t="s">
        <v>3244</v>
      </c>
      <c r="B1310" s="129" t="s">
        <v>2159</v>
      </c>
    </row>
    <row r="1311" spans="1:2">
      <c r="A1311" s="129" t="s">
        <v>3245</v>
      </c>
      <c r="B1311" s="129" t="s">
        <v>2159</v>
      </c>
    </row>
    <row r="1312" spans="1:2">
      <c r="A1312" s="129" t="s">
        <v>1635</v>
      </c>
      <c r="B1312" s="129" t="s">
        <v>2159</v>
      </c>
    </row>
    <row r="1313" spans="1:2">
      <c r="A1313" s="129" t="s">
        <v>1533</v>
      </c>
      <c r="B1313" s="129" t="s">
        <v>2410</v>
      </c>
    </row>
    <row r="1314" spans="1:2">
      <c r="A1314" s="129" t="s">
        <v>1089</v>
      </c>
      <c r="B1314" s="129" t="s">
        <v>2410</v>
      </c>
    </row>
    <row r="1315" spans="1:2">
      <c r="A1315" s="129" t="s">
        <v>1471</v>
      </c>
      <c r="B1315" s="129" t="s">
        <v>2159</v>
      </c>
    </row>
    <row r="1316" spans="1:2">
      <c r="A1316" s="129" t="s">
        <v>1471</v>
      </c>
      <c r="B1316" s="129" t="s">
        <v>2410</v>
      </c>
    </row>
    <row r="1317" spans="1:2">
      <c r="A1317" s="129" t="s">
        <v>1492</v>
      </c>
      <c r="B1317" s="129" t="s">
        <v>2159</v>
      </c>
    </row>
    <row r="1318" spans="1:2">
      <c r="A1318" s="129" t="s">
        <v>1735</v>
      </c>
      <c r="B1318" s="129" t="s">
        <v>3005</v>
      </c>
    </row>
    <row r="1319" spans="1:2">
      <c r="A1319" s="129" t="s">
        <v>3246</v>
      </c>
      <c r="B1319" s="129" t="s">
        <v>3005</v>
      </c>
    </row>
    <row r="1320" spans="1:2">
      <c r="A1320" s="129" t="s">
        <v>770</v>
      </c>
      <c r="B1320" s="129" t="s">
        <v>3005</v>
      </c>
    </row>
    <row r="1321" spans="1:2">
      <c r="A1321" s="129" t="s">
        <v>1149</v>
      </c>
      <c r="B1321" s="129" t="s">
        <v>3005</v>
      </c>
    </row>
    <row r="1322" spans="1:2">
      <c r="A1322" s="129" t="s">
        <v>1621</v>
      </c>
      <c r="B1322" s="129" t="s">
        <v>2159</v>
      </c>
    </row>
    <row r="1323" spans="1:2">
      <c r="A1323" s="129" t="s">
        <v>1671</v>
      </c>
      <c r="B1323" s="129" t="s">
        <v>3007</v>
      </c>
    </row>
    <row r="1324" spans="1:2">
      <c r="A1324" s="129" t="s">
        <v>1671</v>
      </c>
      <c r="B1324" s="129" t="s">
        <v>2155</v>
      </c>
    </row>
    <row r="1325" spans="1:2">
      <c r="A1325" s="129" t="s">
        <v>2199</v>
      </c>
      <c r="B1325" s="129" t="s">
        <v>2153</v>
      </c>
    </row>
    <row r="1326" spans="1:2">
      <c r="A1326" s="129" t="s">
        <v>420</v>
      </c>
      <c r="B1326" s="129" t="s">
        <v>3005</v>
      </c>
    </row>
    <row r="1327" spans="1:2">
      <c r="A1327" s="129" t="s">
        <v>1783</v>
      </c>
      <c r="B1327" s="129" t="s">
        <v>2417</v>
      </c>
    </row>
    <row r="1328" spans="1:2">
      <c r="A1328" s="129" t="s">
        <v>1689</v>
      </c>
      <c r="B1328" s="129" t="s">
        <v>2159</v>
      </c>
    </row>
    <row r="1329" spans="1:2">
      <c r="A1329" s="129" t="s">
        <v>2111</v>
      </c>
      <c r="B1329" s="129" t="s">
        <v>2410</v>
      </c>
    </row>
    <row r="1330" spans="1:2">
      <c r="A1330" s="129" t="s">
        <v>2536</v>
      </c>
      <c r="B1330" s="129" t="s">
        <v>3086</v>
      </c>
    </row>
    <row r="1331" spans="1:2">
      <c r="A1331" s="129" t="s">
        <v>319</v>
      </c>
      <c r="B1331" s="129" t="s">
        <v>2153</v>
      </c>
    </row>
    <row r="1332" spans="1:2">
      <c r="A1332" s="129" t="s">
        <v>319</v>
      </c>
      <c r="B1332" s="129" t="s">
        <v>3005</v>
      </c>
    </row>
    <row r="1333" spans="1:2">
      <c r="A1333" s="129" t="s">
        <v>233</v>
      </c>
      <c r="B1333" s="129" t="s">
        <v>3005</v>
      </c>
    </row>
    <row r="1334" spans="1:2">
      <c r="A1334" s="129" t="s">
        <v>1436</v>
      </c>
      <c r="B1334" s="129" t="s">
        <v>2410</v>
      </c>
    </row>
    <row r="1335" spans="1:2">
      <c r="A1335" s="129" t="s">
        <v>1307</v>
      </c>
      <c r="B1335" s="129" t="s">
        <v>2410</v>
      </c>
    </row>
    <row r="1336" spans="1:2">
      <c r="A1336" s="129" t="s">
        <v>1307</v>
      </c>
      <c r="B1336" s="129" t="s">
        <v>2159</v>
      </c>
    </row>
    <row r="1337" spans="1:2">
      <c r="A1337" s="129" t="s">
        <v>1591</v>
      </c>
      <c r="B1337" s="129" t="s">
        <v>2159</v>
      </c>
    </row>
    <row r="1338" spans="1:2">
      <c r="A1338" s="129" t="s">
        <v>1591</v>
      </c>
      <c r="B1338" s="129" t="s">
        <v>2410</v>
      </c>
    </row>
    <row r="1339" spans="1:2">
      <c r="A1339" s="129" t="s">
        <v>2492</v>
      </c>
      <c r="B1339" s="129" t="s">
        <v>3005</v>
      </c>
    </row>
    <row r="1340" spans="1:2">
      <c r="A1340" s="129" t="s">
        <v>2492</v>
      </c>
      <c r="B1340" s="129" t="s">
        <v>2153</v>
      </c>
    </row>
    <row r="1341" spans="1:2">
      <c r="A1341" s="129" t="s">
        <v>3247</v>
      </c>
      <c r="B1341" s="129" t="s">
        <v>2159</v>
      </c>
    </row>
    <row r="1342" spans="1:2">
      <c r="A1342" s="129" t="s">
        <v>3248</v>
      </c>
      <c r="B1342" s="129" t="s">
        <v>2159</v>
      </c>
    </row>
    <row r="1343" spans="1:2">
      <c r="A1343" s="129" t="s">
        <v>1146</v>
      </c>
      <c r="B1343" s="129" t="s">
        <v>3005</v>
      </c>
    </row>
    <row r="1344" spans="1:2">
      <c r="A1344" s="129" t="s">
        <v>2019</v>
      </c>
      <c r="B1344" s="129" t="s">
        <v>2410</v>
      </c>
    </row>
    <row r="1345" spans="1:2">
      <c r="A1345" s="129" t="s">
        <v>2019</v>
      </c>
      <c r="B1345" s="129" t="s">
        <v>2159</v>
      </c>
    </row>
    <row r="1346" spans="1:2">
      <c r="A1346" s="129" t="s">
        <v>2370</v>
      </c>
      <c r="B1346" s="129" t="s">
        <v>3007</v>
      </c>
    </row>
    <row r="1347" spans="1:2">
      <c r="A1347" s="129" t="s">
        <v>2369</v>
      </c>
      <c r="B1347" s="129" t="s">
        <v>2159</v>
      </c>
    </row>
    <row r="1348" spans="1:2">
      <c r="A1348" s="129" t="s">
        <v>1229</v>
      </c>
      <c r="B1348" s="129" t="s">
        <v>2410</v>
      </c>
    </row>
    <row r="1349" spans="1:2">
      <c r="A1349" s="129" t="s">
        <v>2395</v>
      </c>
      <c r="B1349" s="129" t="s">
        <v>2155</v>
      </c>
    </row>
    <row r="1350" spans="1:2">
      <c r="A1350" s="129" t="s">
        <v>3249</v>
      </c>
      <c r="B1350" s="129" t="s">
        <v>2155</v>
      </c>
    </row>
    <row r="1351" spans="1:2">
      <c r="A1351" s="129" t="s">
        <v>3250</v>
      </c>
      <c r="B1351" s="129" t="s">
        <v>3007</v>
      </c>
    </row>
    <row r="1352" spans="1:2">
      <c r="A1352" s="129" t="s">
        <v>3250</v>
      </c>
      <c r="B1352" s="129" t="s">
        <v>2155</v>
      </c>
    </row>
    <row r="1353" spans="1:2">
      <c r="A1353" s="129" t="s">
        <v>1340</v>
      </c>
      <c r="B1353" s="129" t="s">
        <v>2159</v>
      </c>
    </row>
    <row r="1354" spans="1:2">
      <c r="A1354" s="129" t="s">
        <v>1286</v>
      </c>
      <c r="B1354" s="129" t="s">
        <v>2158</v>
      </c>
    </row>
    <row r="1355" spans="1:2">
      <c r="A1355" s="129" t="s">
        <v>1286</v>
      </c>
      <c r="B1355" s="129" t="s">
        <v>2159</v>
      </c>
    </row>
    <row r="1356" spans="1:2">
      <c r="A1356" s="129" t="s">
        <v>1286</v>
      </c>
      <c r="B1356" s="129" t="s">
        <v>2410</v>
      </c>
    </row>
    <row r="1357" spans="1:2">
      <c r="A1357" s="129" t="s">
        <v>3251</v>
      </c>
      <c r="B1357" s="129" t="s">
        <v>2159</v>
      </c>
    </row>
    <row r="1358" spans="1:2">
      <c r="A1358" s="129" t="s">
        <v>689</v>
      </c>
      <c r="B1358" s="129" t="s">
        <v>3005</v>
      </c>
    </row>
    <row r="1359" spans="1:2">
      <c r="A1359" s="129" t="s">
        <v>1406</v>
      </c>
      <c r="B1359" s="129" t="s">
        <v>2410</v>
      </c>
    </row>
    <row r="1360" spans="1:2">
      <c r="A1360" s="129" t="s">
        <v>1406</v>
      </c>
      <c r="B1360" s="129" t="s">
        <v>2159</v>
      </c>
    </row>
    <row r="1361" spans="1:2">
      <c r="A1361" s="129" t="s">
        <v>1696</v>
      </c>
      <c r="B1361" s="129" t="s">
        <v>2410</v>
      </c>
    </row>
    <row r="1362" spans="1:2">
      <c r="A1362" s="129" t="s">
        <v>113</v>
      </c>
      <c r="B1362" s="129" t="s">
        <v>3007</v>
      </c>
    </row>
    <row r="1363" spans="1:2">
      <c r="A1363" s="129" t="s">
        <v>113</v>
      </c>
      <c r="B1363" s="129" t="s">
        <v>3005</v>
      </c>
    </row>
    <row r="1364" spans="1:2">
      <c r="A1364" s="129" t="s">
        <v>3252</v>
      </c>
      <c r="B1364" s="129" t="s">
        <v>2155</v>
      </c>
    </row>
    <row r="1365" spans="1:2">
      <c r="A1365" s="129" t="s">
        <v>375</v>
      </c>
      <c r="B1365" s="129" t="s">
        <v>3005</v>
      </c>
    </row>
    <row r="1366" spans="1:2">
      <c r="A1366" s="129" t="s">
        <v>3253</v>
      </c>
      <c r="B1366" s="129" t="s">
        <v>2159</v>
      </c>
    </row>
    <row r="1367" spans="1:2">
      <c r="A1367" s="129" t="s">
        <v>2214</v>
      </c>
      <c r="B1367" s="129" t="s">
        <v>3007</v>
      </c>
    </row>
    <row r="1368" spans="1:2">
      <c r="A1368" s="129" t="s">
        <v>2214</v>
      </c>
      <c r="B1368" s="129" t="s">
        <v>2410</v>
      </c>
    </row>
    <row r="1369" spans="1:2">
      <c r="A1369" s="129" t="s">
        <v>1782</v>
      </c>
      <c r="B1369" s="129" t="s">
        <v>2410</v>
      </c>
    </row>
    <row r="1370" spans="1:2">
      <c r="A1370" s="129" t="s">
        <v>1782</v>
      </c>
      <c r="B1370" s="129" t="s">
        <v>2159</v>
      </c>
    </row>
    <row r="1371" spans="1:2">
      <c r="A1371" s="129" t="s">
        <v>3254</v>
      </c>
      <c r="B1371" s="129" t="s">
        <v>2153</v>
      </c>
    </row>
    <row r="1372" spans="1:2">
      <c r="A1372" s="129" t="s">
        <v>3254</v>
      </c>
      <c r="B1372" s="129" t="s">
        <v>3005</v>
      </c>
    </row>
    <row r="1373" spans="1:2">
      <c r="A1373" s="129" t="s">
        <v>3255</v>
      </c>
      <c r="B1373" s="129" t="s">
        <v>3005</v>
      </c>
    </row>
    <row r="1374" spans="1:2">
      <c r="A1374" s="129" t="s">
        <v>3255</v>
      </c>
      <c r="B1374" s="129" t="s">
        <v>2153</v>
      </c>
    </row>
    <row r="1375" spans="1:2">
      <c r="A1375" s="129" t="s">
        <v>1646</v>
      </c>
      <c r="B1375" s="129" t="s">
        <v>2157</v>
      </c>
    </row>
    <row r="1376" spans="1:2">
      <c r="A1376" s="129" t="s">
        <v>2273</v>
      </c>
      <c r="B1376" s="129" t="s">
        <v>2159</v>
      </c>
    </row>
    <row r="1377" spans="1:2">
      <c r="A1377" s="129" t="s">
        <v>1507</v>
      </c>
      <c r="B1377" s="129" t="s">
        <v>2410</v>
      </c>
    </row>
    <row r="1378" spans="1:2">
      <c r="A1378" s="129" t="s">
        <v>1507</v>
      </c>
      <c r="B1378" s="129" t="s">
        <v>2159</v>
      </c>
    </row>
    <row r="1379" spans="1:2">
      <c r="A1379" s="129" t="s">
        <v>671</v>
      </c>
      <c r="B1379" s="129" t="s">
        <v>3005</v>
      </c>
    </row>
    <row r="1380" spans="1:2">
      <c r="A1380" s="129" t="s">
        <v>1344</v>
      </c>
      <c r="B1380" s="129" t="s">
        <v>2417</v>
      </c>
    </row>
    <row r="1381" spans="1:2">
      <c r="A1381" s="129" t="s">
        <v>1344</v>
      </c>
      <c r="B1381" s="129" t="s">
        <v>2158</v>
      </c>
    </row>
    <row r="1382" spans="1:2">
      <c r="A1382" s="129" t="s">
        <v>3256</v>
      </c>
      <c r="B1382" s="129" t="s">
        <v>2155</v>
      </c>
    </row>
    <row r="1383" spans="1:2">
      <c r="A1383" s="129" t="s">
        <v>2344</v>
      </c>
      <c r="B1383" s="129" t="s">
        <v>2159</v>
      </c>
    </row>
    <row r="1384" spans="1:2">
      <c r="A1384" s="129" t="s">
        <v>2300</v>
      </c>
      <c r="B1384" s="129" t="s">
        <v>2157</v>
      </c>
    </row>
    <row r="1385" spans="1:2">
      <c r="A1385" s="129" t="s">
        <v>2300</v>
      </c>
      <c r="B1385" s="129" t="s">
        <v>2159</v>
      </c>
    </row>
    <row r="1386" spans="1:2">
      <c r="A1386" s="129" t="s">
        <v>3257</v>
      </c>
      <c r="B1386" s="129" t="s">
        <v>2159</v>
      </c>
    </row>
    <row r="1387" spans="1:2">
      <c r="A1387" s="129" t="s">
        <v>3258</v>
      </c>
      <c r="B1387" s="129" t="s">
        <v>2159</v>
      </c>
    </row>
    <row r="1388" spans="1:2">
      <c r="A1388" s="129" t="s">
        <v>823</v>
      </c>
      <c r="B1388" s="129" t="s">
        <v>2410</v>
      </c>
    </row>
    <row r="1389" spans="1:2">
      <c r="A1389" s="129" t="s">
        <v>1151</v>
      </c>
      <c r="B1389" s="129" t="s">
        <v>2153</v>
      </c>
    </row>
    <row r="1390" spans="1:2">
      <c r="A1390" s="129" t="s">
        <v>1615</v>
      </c>
      <c r="B1390" s="129" t="s">
        <v>2410</v>
      </c>
    </row>
    <row r="1391" spans="1:2">
      <c r="A1391" s="129" t="s">
        <v>605</v>
      </c>
      <c r="B1391" s="129" t="s">
        <v>3005</v>
      </c>
    </row>
    <row r="1392" spans="1:2">
      <c r="A1392" s="129" t="s">
        <v>187</v>
      </c>
      <c r="B1392" s="129" t="s">
        <v>3007</v>
      </c>
    </row>
    <row r="1393" spans="1:2">
      <c r="A1393" s="129" t="s">
        <v>827</v>
      </c>
      <c r="B1393" s="129" t="s">
        <v>3005</v>
      </c>
    </row>
    <row r="1394" spans="1:2">
      <c r="A1394" s="129" t="s">
        <v>544</v>
      </c>
      <c r="B1394" s="129" t="s">
        <v>3005</v>
      </c>
    </row>
    <row r="1395" spans="1:2">
      <c r="A1395" s="129" t="s">
        <v>1868</v>
      </c>
      <c r="B1395" s="129" t="s">
        <v>2410</v>
      </c>
    </row>
    <row r="1396" spans="1:2">
      <c r="A1396" s="129" t="s">
        <v>866</v>
      </c>
      <c r="B1396" s="129" t="s">
        <v>3007</v>
      </c>
    </row>
    <row r="1397" spans="1:2">
      <c r="A1397" s="129" t="s">
        <v>874</v>
      </c>
      <c r="B1397" s="129" t="s">
        <v>2417</v>
      </c>
    </row>
    <row r="1398" spans="1:2">
      <c r="A1398" s="129" t="s">
        <v>2207</v>
      </c>
      <c r="B1398" s="129" t="s">
        <v>3005</v>
      </c>
    </row>
    <row r="1399" spans="1:2">
      <c r="A1399" s="129" t="s">
        <v>3259</v>
      </c>
      <c r="B1399" s="129" t="s">
        <v>2159</v>
      </c>
    </row>
    <row r="1400" spans="1:2">
      <c r="A1400" s="129" t="s">
        <v>388</v>
      </c>
      <c r="B1400" s="129" t="s">
        <v>3005</v>
      </c>
    </row>
    <row r="1401" spans="1:2">
      <c r="A1401" s="129" t="s">
        <v>1187</v>
      </c>
      <c r="B1401" s="129" t="s">
        <v>3005</v>
      </c>
    </row>
    <row r="1402" spans="1:2">
      <c r="A1402" s="129" t="s">
        <v>1144</v>
      </c>
      <c r="B1402" s="129" t="s">
        <v>2153</v>
      </c>
    </row>
    <row r="1403" spans="1:2">
      <c r="A1403" s="129" t="s">
        <v>3260</v>
      </c>
      <c r="B1403" s="129" t="s">
        <v>2159</v>
      </c>
    </row>
    <row r="1404" spans="1:2">
      <c r="A1404" s="129" t="s">
        <v>3261</v>
      </c>
      <c r="B1404" s="129" t="s">
        <v>2159</v>
      </c>
    </row>
    <row r="1405" spans="1:2">
      <c r="A1405" s="129" t="s">
        <v>427</v>
      </c>
      <c r="B1405" s="129" t="s">
        <v>3005</v>
      </c>
    </row>
    <row r="1406" spans="1:2">
      <c r="A1406" s="129" t="s">
        <v>558</v>
      </c>
      <c r="B1406" s="129" t="s">
        <v>3161</v>
      </c>
    </row>
    <row r="1407" spans="1:2">
      <c r="A1407" s="129" t="s">
        <v>3262</v>
      </c>
      <c r="B1407" s="129" t="s">
        <v>2155</v>
      </c>
    </row>
    <row r="1408" spans="1:2">
      <c r="A1408" s="129" t="s">
        <v>3262</v>
      </c>
      <c r="B1408" s="129" t="s">
        <v>2153</v>
      </c>
    </row>
    <row r="1409" spans="1:2">
      <c r="A1409" s="129" t="s">
        <v>3263</v>
      </c>
      <c r="B1409" s="129" t="s">
        <v>2155</v>
      </c>
    </row>
    <row r="1410" spans="1:2">
      <c r="A1410" s="129" t="s">
        <v>653</v>
      </c>
      <c r="B1410" s="129" t="s">
        <v>3005</v>
      </c>
    </row>
    <row r="1411" spans="1:2">
      <c r="A1411" s="129" t="s">
        <v>1861</v>
      </c>
      <c r="B1411" s="129" t="s">
        <v>2410</v>
      </c>
    </row>
    <row r="1412" spans="1:2">
      <c r="A1412" s="129" t="s">
        <v>806</v>
      </c>
      <c r="B1412" s="129" t="s">
        <v>3005</v>
      </c>
    </row>
    <row r="1413" spans="1:2">
      <c r="A1413" s="129" t="s">
        <v>806</v>
      </c>
      <c r="B1413" s="129" t="s">
        <v>2153</v>
      </c>
    </row>
    <row r="1414" spans="1:2">
      <c r="A1414" s="129" t="s">
        <v>286</v>
      </c>
      <c r="B1414" s="129" t="s">
        <v>3005</v>
      </c>
    </row>
    <row r="1415" spans="1:2">
      <c r="A1415" s="129" t="s">
        <v>286</v>
      </c>
      <c r="B1415" s="129" t="s">
        <v>2153</v>
      </c>
    </row>
    <row r="1416" spans="1:2">
      <c r="A1416" s="129" t="s">
        <v>842</v>
      </c>
      <c r="B1416" s="129" t="s">
        <v>2410</v>
      </c>
    </row>
    <row r="1417" spans="1:2">
      <c r="A1417" s="129" t="s">
        <v>1655</v>
      </c>
      <c r="B1417" s="129" t="s">
        <v>2159</v>
      </c>
    </row>
    <row r="1418" spans="1:2">
      <c r="A1418" s="129" t="s">
        <v>1240</v>
      </c>
      <c r="B1418" s="129" t="s">
        <v>2410</v>
      </c>
    </row>
    <row r="1419" spans="1:2">
      <c r="A1419" s="129" t="s">
        <v>3264</v>
      </c>
      <c r="B1419" s="129" t="s">
        <v>2155</v>
      </c>
    </row>
    <row r="1420" spans="1:2">
      <c r="A1420" s="129" t="s">
        <v>2365</v>
      </c>
      <c r="B1420" s="129" t="s">
        <v>3005</v>
      </c>
    </row>
    <row r="1421" spans="1:2">
      <c r="A1421" s="129" t="s">
        <v>687</v>
      </c>
      <c r="B1421" s="129" t="s">
        <v>3005</v>
      </c>
    </row>
    <row r="1422" spans="1:2">
      <c r="A1422" s="129" t="s">
        <v>2022</v>
      </c>
      <c r="B1422" s="129" t="s">
        <v>3086</v>
      </c>
    </row>
    <row r="1423" spans="1:2">
      <c r="A1423" s="129" t="s">
        <v>124</v>
      </c>
      <c r="B1423" s="129" t="s">
        <v>2153</v>
      </c>
    </row>
    <row r="1424" spans="1:2">
      <c r="A1424" s="129" t="s">
        <v>3265</v>
      </c>
      <c r="B1424" s="129" t="s">
        <v>2159</v>
      </c>
    </row>
    <row r="1425" spans="1:2">
      <c r="A1425" s="129" t="s">
        <v>532</v>
      </c>
      <c r="B1425" s="129" t="s">
        <v>3005</v>
      </c>
    </row>
    <row r="1426" spans="1:2">
      <c r="A1426" s="129" t="s">
        <v>532</v>
      </c>
      <c r="B1426" s="129" t="s">
        <v>2153</v>
      </c>
    </row>
    <row r="1427" spans="1:2">
      <c r="A1427" s="129" t="s">
        <v>1656</v>
      </c>
      <c r="B1427" s="129" t="s">
        <v>2159</v>
      </c>
    </row>
    <row r="1428" spans="1:2">
      <c r="A1428" s="129" t="s">
        <v>1904</v>
      </c>
      <c r="B1428" s="129" t="s">
        <v>3008</v>
      </c>
    </row>
    <row r="1429" spans="1:2">
      <c r="A1429" s="129" t="s">
        <v>1784</v>
      </c>
      <c r="B1429" s="129" t="s">
        <v>2410</v>
      </c>
    </row>
    <row r="1430" spans="1:2">
      <c r="A1430" s="129" t="s">
        <v>1784</v>
      </c>
      <c r="B1430" s="129" t="s">
        <v>2159</v>
      </c>
    </row>
    <row r="1431" spans="1:2">
      <c r="A1431" s="129" t="s">
        <v>327</v>
      </c>
      <c r="B1431" s="129" t="s">
        <v>3005</v>
      </c>
    </row>
    <row r="1432" spans="1:2">
      <c r="A1432" s="129" t="s">
        <v>327</v>
      </c>
      <c r="B1432" s="129" t="s">
        <v>2153</v>
      </c>
    </row>
    <row r="1433" spans="1:2">
      <c r="A1433" s="129" t="s">
        <v>2608</v>
      </c>
      <c r="B1433" s="129" t="s">
        <v>2159</v>
      </c>
    </row>
    <row r="1434" spans="1:2">
      <c r="A1434" s="129" t="s">
        <v>2303</v>
      </c>
      <c r="B1434" s="129" t="s">
        <v>2153</v>
      </c>
    </row>
    <row r="1435" spans="1:2">
      <c r="A1435" s="129" t="s">
        <v>2303</v>
      </c>
      <c r="B1435" s="129" t="s">
        <v>2158</v>
      </c>
    </row>
    <row r="1436" spans="1:2">
      <c r="A1436" s="129" t="s">
        <v>1423</v>
      </c>
      <c r="B1436" s="129" t="s">
        <v>2159</v>
      </c>
    </row>
    <row r="1437" spans="1:2">
      <c r="A1437" s="129" t="s">
        <v>651</v>
      </c>
      <c r="B1437" s="129" t="s">
        <v>3005</v>
      </c>
    </row>
    <row r="1438" spans="1:2">
      <c r="A1438" s="129" t="s">
        <v>3266</v>
      </c>
      <c r="B1438" s="129" t="s">
        <v>2159</v>
      </c>
    </row>
    <row r="1439" spans="1:2">
      <c r="A1439" s="129" t="s">
        <v>733</v>
      </c>
      <c r="B1439" s="129" t="s">
        <v>3005</v>
      </c>
    </row>
    <row r="1440" spans="1:2">
      <c r="A1440" s="129" t="s">
        <v>3267</v>
      </c>
      <c r="B1440" s="129" t="s">
        <v>2155</v>
      </c>
    </row>
    <row r="1441" spans="1:2">
      <c r="A1441" s="129" t="s">
        <v>840</v>
      </c>
      <c r="B1441" s="129" t="s">
        <v>3005</v>
      </c>
    </row>
    <row r="1442" spans="1:2">
      <c r="A1442" s="129" t="s">
        <v>3268</v>
      </c>
      <c r="B1442" s="129" t="s">
        <v>2153</v>
      </c>
    </row>
    <row r="1443" spans="1:2">
      <c r="A1443" s="129" t="s">
        <v>3269</v>
      </c>
      <c r="B1443" s="129" t="s">
        <v>2155</v>
      </c>
    </row>
    <row r="1444" spans="1:2">
      <c r="A1444" s="129" t="s">
        <v>3269</v>
      </c>
      <c r="B1444" s="129" t="s">
        <v>3007</v>
      </c>
    </row>
    <row r="1445" spans="1:2">
      <c r="A1445" s="129" t="s">
        <v>2497</v>
      </c>
      <c r="B1445" s="129" t="s">
        <v>2155</v>
      </c>
    </row>
    <row r="1446" spans="1:2">
      <c r="A1446" s="129" t="s">
        <v>3270</v>
      </c>
      <c r="B1446" s="129" t="s">
        <v>3007</v>
      </c>
    </row>
    <row r="1447" spans="1:2">
      <c r="A1447" s="129" t="s">
        <v>891</v>
      </c>
      <c r="B1447" s="129" t="s">
        <v>3005</v>
      </c>
    </row>
    <row r="1448" spans="1:2">
      <c r="A1448" s="129" t="s">
        <v>3271</v>
      </c>
      <c r="B1448" s="129" t="s">
        <v>2410</v>
      </c>
    </row>
    <row r="1449" spans="1:2">
      <c r="A1449" s="129" t="s">
        <v>3272</v>
      </c>
      <c r="B1449" s="129" t="s">
        <v>2155</v>
      </c>
    </row>
    <row r="1450" spans="1:2">
      <c r="A1450" s="129" t="s">
        <v>2495</v>
      </c>
      <c r="B1450" s="129" t="s">
        <v>2159</v>
      </c>
    </row>
    <row r="1451" spans="1:2">
      <c r="A1451" s="129" t="s">
        <v>2124</v>
      </c>
      <c r="B1451" s="129" t="s">
        <v>2159</v>
      </c>
    </row>
    <row r="1452" spans="1:2">
      <c r="A1452" s="129" t="s">
        <v>1324</v>
      </c>
      <c r="B1452" s="129" t="s">
        <v>2159</v>
      </c>
    </row>
    <row r="1453" spans="1:2">
      <c r="A1453" s="129" t="s">
        <v>1324</v>
      </c>
      <c r="B1453" s="129" t="s">
        <v>2410</v>
      </c>
    </row>
    <row r="1454" spans="1:2">
      <c r="A1454" s="129" t="s">
        <v>3273</v>
      </c>
      <c r="B1454" s="129" t="s">
        <v>2410</v>
      </c>
    </row>
    <row r="1455" spans="1:2">
      <c r="A1455" s="129" t="s">
        <v>3273</v>
      </c>
      <c r="B1455" s="129" t="s">
        <v>2159</v>
      </c>
    </row>
    <row r="1456" spans="1:2">
      <c r="A1456" s="129" t="s">
        <v>1064</v>
      </c>
      <c r="B1456" s="129" t="s">
        <v>2410</v>
      </c>
    </row>
    <row r="1457" spans="1:2">
      <c r="A1457" s="129" t="s">
        <v>575</v>
      </c>
      <c r="B1457" s="129" t="s">
        <v>3007</v>
      </c>
    </row>
    <row r="1458" spans="1:2">
      <c r="A1458" s="129" t="s">
        <v>1255</v>
      </c>
      <c r="B1458" s="129" t="s">
        <v>2159</v>
      </c>
    </row>
    <row r="1459" spans="1:2">
      <c r="A1459" s="129" t="s">
        <v>2305</v>
      </c>
      <c r="B1459" s="129" t="s">
        <v>2155</v>
      </c>
    </row>
    <row r="1460" spans="1:2">
      <c r="A1460" s="129" t="s">
        <v>2305</v>
      </c>
      <c r="B1460" s="129" t="s">
        <v>3007</v>
      </c>
    </row>
    <row r="1461" spans="1:2">
      <c r="A1461" s="129" t="s">
        <v>2412</v>
      </c>
      <c r="B1461" s="129" t="s">
        <v>2410</v>
      </c>
    </row>
    <row r="1462" spans="1:2">
      <c r="A1462" s="129" t="s">
        <v>2242</v>
      </c>
      <c r="B1462" s="129" t="s">
        <v>3007</v>
      </c>
    </row>
    <row r="1463" spans="1:2">
      <c r="A1463" s="129" t="s">
        <v>685</v>
      </c>
      <c r="B1463" s="129" t="s">
        <v>3005</v>
      </c>
    </row>
    <row r="1464" spans="1:2">
      <c r="A1464" s="129" t="s">
        <v>3274</v>
      </c>
      <c r="B1464" s="129" t="s">
        <v>2155</v>
      </c>
    </row>
    <row r="1465" spans="1:2">
      <c r="A1465" s="129" t="s">
        <v>117</v>
      </c>
      <c r="B1465" s="129" t="s">
        <v>3086</v>
      </c>
    </row>
    <row r="1466" spans="1:2">
      <c r="A1466" s="129" t="s">
        <v>117</v>
      </c>
      <c r="B1466" s="129" t="s">
        <v>3275</v>
      </c>
    </row>
    <row r="1467" spans="1:2">
      <c r="A1467" s="129" t="s">
        <v>725</v>
      </c>
      <c r="B1467" s="129" t="s">
        <v>3005</v>
      </c>
    </row>
    <row r="1468" spans="1:2">
      <c r="A1468" s="129" t="s">
        <v>3276</v>
      </c>
      <c r="B1468" s="129" t="s">
        <v>2155</v>
      </c>
    </row>
    <row r="1469" spans="1:2">
      <c r="A1469" s="129" t="s">
        <v>214</v>
      </c>
      <c r="B1469" s="129" t="s">
        <v>3005</v>
      </c>
    </row>
    <row r="1470" spans="1:2">
      <c r="A1470" s="129" t="s">
        <v>3277</v>
      </c>
      <c r="B1470" s="129" t="s">
        <v>2155</v>
      </c>
    </row>
    <row r="1471" spans="1:2">
      <c r="A1471" s="129" t="s">
        <v>1711</v>
      </c>
      <c r="B1471" s="129" t="s">
        <v>2410</v>
      </c>
    </row>
    <row r="1472" spans="1:2">
      <c r="A1472" s="129" t="s">
        <v>1711</v>
      </c>
      <c r="B1472" s="129" t="s">
        <v>2159</v>
      </c>
    </row>
    <row r="1473" spans="1:2">
      <c r="A1473" s="129" t="s">
        <v>3278</v>
      </c>
      <c r="B1473" s="129" t="s">
        <v>2155</v>
      </c>
    </row>
    <row r="1474" spans="1:2">
      <c r="A1474" s="129" t="s">
        <v>3279</v>
      </c>
      <c r="B1474" s="129" t="s">
        <v>2159</v>
      </c>
    </row>
    <row r="1475" spans="1:2">
      <c r="A1475" s="129" t="s">
        <v>681</v>
      </c>
      <c r="B1475" s="129" t="s">
        <v>3005</v>
      </c>
    </row>
    <row r="1476" spans="1:2">
      <c r="A1476" s="129" t="s">
        <v>3280</v>
      </c>
      <c r="B1476" s="129" t="s">
        <v>2155</v>
      </c>
    </row>
    <row r="1477" spans="1:2">
      <c r="A1477" s="129" t="s">
        <v>3281</v>
      </c>
      <c r="B1477" s="129" t="s">
        <v>2155</v>
      </c>
    </row>
    <row r="1478" spans="1:2">
      <c r="A1478" s="129" t="s">
        <v>118</v>
      </c>
      <c r="B1478" s="129" t="s">
        <v>3007</v>
      </c>
    </row>
    <row r="1479" spans="1:2">
      <c r="A1479" s="129" t="s">
        <v>1257</v>
      </c>
      <c r="B1479" s="129" t="s">
        <v>3008</v>
      </c>
    </row>
    <row r="1480" spans="1:2">
      <c r="A1480" s="129" t="s">
        <v>1257</v>
      </c>
      <c r="B1480" s="129" t="s">
        <v>2157</v>
      </c>
    </row>
    <row r="1481" spans="1:2">
      <c r="A1481" s="129" t="s">
        <v>570</v>
      </c>
      <c r="B1481" s="129" t="s">
        <v>3005</v>
      </c>
    </row>
    <row r="1482" spans="1:2">
      <c r="A1482" s="129" t="s">
        <v>2077</v>
      </c>
      <c r="B1482" s="129" t="s">
        <v>2417</v>
      </c>
    </row>
    <row r="1483" spans="1:2">
      <c r="A1483" s="129" t="s">
        <v>356</v>
      </c>
      <c r="B1483" s="129" t="s">
        <v>3005</v>
      </c>
    </row>
    <row r="1484" spans="1:2">
      <c r="A1484" s="129" t="s">
        <v>1889</v>
      </c>
      <c r="B1484" s="129" t="s">
        <v>2410</v>
      </c>
    </row>
    <row r="1485" spans="1:2">
      <c r="A1485" s="129" t="s">
        <v>1927</v>
      </c>
      <c r="B1485" s="129" t="s">
        <v>3008</v>
      </c>
    </row>
    <row r="1486" spans="1:2">
      <c r="A1486" s="129" t="s">
        <v>1383</v>
      </c>
      <c r="B1486" s="129" t="s">
        <v>2157</v>
      </c>
    </row>
    <row r="1487" spans="1:2">
      <c r="A1487" s="129" t="s">
        <v>1480</v>
      </c>
      <c r="B1487" s="129" t="s">
        <v>2159</v>
      </c>
    </row>
    <row r="1488" spans="1:2">
      <c r="A1488" s="129" t="s">
        <v>1480</v>
      </c>
      <c r="B1488" s="129" t="s">
        <v>2410</v>
      </c>
    </row>
    <row r="1489" spans="1:2">
      <c r="A1489" s="129" t="s">
        <v>3282</v>
      </c>
      <c r="B1489" s="129" t="s">
        <v>2159</v>
      </c>
    </row>
    <row r="1490" spans="1:2">
      <c r="A1490" s="129" t="s">
        <v>2286</v>
      </c>
      <c r="B1490" s="129" t="s">
        <v>2153</v>
      </c>
    </row>
    <row r="1491" spans="1:2">
      <c r="A1491" s="129" t="s">
        <v>2286</v>
      </c>
      <c r="B1491" s="129" t="s">
        <v>3005</v>
      </c>
    </row>
    <row r="1492" spans="1:2">
      <c r="A1492" s="129" t="s">
        <v>3283</v>
      </c>
      <c r="B1492" s="129" t="s">
        <v>2155</v>
      </c>
    </row>
    <row r="1493" spans="1:2">
      <c r="A1493" s="129" t="s">
        <v>2397</v>
      </c>
      <c r="B1493" s="129" t="s">
        <v>2155</v>
      </c>
    </row>
    <row r="1494" spans="1:2">
      <c r="A1494" s="129" t="s">
        <v>2397</v>
      </c>
      <c r="B1494" s="129" t="s">
        <v>3007</v>
      </c>
    </row>
    <row r="1495" spans="1:2">
      <c r="A1495" s="129" t="s">
        <v>1578</v>
      </c>
      <c r="B1495" s="129" t="s">
        <v>2159</v>
      </c>
    </row>
    <row r="1496" spans="1:2">
      <c r="A1496" s="129" t="s">
        <v>3284</v>
      </c>
      <c r="B1496" s="129" t="s">
        <v>2159</v>
      </c>
    </row>
    <row r="1497" spans="1:2">
      <c r="A1497" s="129" t="s">
        <v>231</v>
      </c>
      <c r="B1497" s="129" t="s">
        <v>3005</v>
      </c>
    </row>
    <row r="1498" spans="1:2">
      <c r="A1498" s="129" t="s">
        <v>231</v>
      </c>
      <c r="B1498" s="129" t="s">
        <v>2153</v>
      </c>
    </row>
    <row r="1499" spans="1:2">
      <c r="A1499" s="129" t="s">
        <v>3285</v>
      </c>
      <c r="B1499" s="129" t="s">
        <v>3005</v>
      </c>
    </row>
    <row r="1500" spans="1:2">
      <c r="A1500" s="129" t="s">
        <v>3285</v>
      </c>
      <c r="B1500" s="129" t="s">
        <v>2153</v>
      </c>
    </row>
    <row r="1501" spans="1:2">
      <c r="A1501" s="129" t="s">
        <v>1342</v>
      </c>
      <c r="B1501" s="129" t="s">
        <v>2417</v>
      </c>
    </row>
    <row r="1502" spans="1:2">
      <c r="A1502" s="129" t="s">
        <v>2539</v>
      </c>
      <c r="B1502" s="129" t="s">
        <v>2159</v>
      </c>
    </row>
    <row r="1503" spans="1:2">
      <c r="A1503" s="129" t="s">
        <v>1379</v>
      </c>
      <c r="B1503" s="129" t="s">
        <v>2159</v>
      </c>
    </row>
    <row r="1504" spans="1:2">
      <c r="A1504" s="129" t="s">
        <v>1379</v>
      </c>
      <c r="B1504" s="129" t="s">
        <v>2410</v>
      </c>
    </row>
    <row r="1505" spans="1:2">
      <c r="A1505" s="129" t="s">
        <v>1786</v>
      </c>
      <c r="B1505" s="129" t="s">
        <v>3008</v>
      </c>
    </row>
    <row r="1506" spans="1:2">
      <c r="A1506" s="129" t="s">
        <v>1703</v>
      </c>
      <c r="B1506" s="129" t="s">
        <v>2410</v>
      </c>
    </row>
    <row r="1507" spans="1:2">
      <c r="A1507" s="129" t="s">
        <v>1703</v>
      </c>
      <c r="B1507" s="129" t="s">
        <v>2159</v>
      </c>
    </row>
    <row r="1508" spans="1:2">
      <c r="A1508" s="129" t="s">
        <v>2109</v>
      </c>
      <c r="B1508" s="129" t="s">
        <v>2410</v>
      </c>
    </row>
    <row r="1509" spans="1:2">
      <c r="A1509" s="129" t="s">
        <v>3286</v>
      </c>
      <c r="B1509" s="129" t="s">
        <v>3005</v>
      </c>
    </row>
    <row r="1510" spans="1:2">
      <c r="A1510" s="129" t="s">
        <v>2406</v>
      </c>
      <c r="B1510" s="129" t="s">
        <v>3008</v>
      </c>
    </row>
    <row r="1511" spans="1:2">
      <c r="A1511" s="129" t="s">
        <v>2406</v>
      </c>
      <c r="B1511" s="129" t="s">
        <v>3005</v>
      </c>
    </row>
    <row r="1512" spans="1:2">
      <c r="A1512" s="129" t="s">
        <v>2406</v>
      </c>
      <c r="B1512" s="129" t="s">
        <v>2153</v>
      </c>
    </row>
    <row r="1513" spans="1:2">
      <c r="A1513" s="129" t="s">
        <v>2406</v>
      </c>
      <c r="B1513" s="129" t="s">
        <v>2157</v>
      </c>
    </row>
    <row r="1514" spans="1:2">
      <c r="A1514" s="129" t="s">
        <v>3287</v>
      </c>
      <c r="B1514" s="129" t="s">
        <v>2159</v>
      </c>
    </row>
    <row r="1515" spans="1:2">
      <c r="A1515" s="129" t="s">
        <v>635</v>
      </c>
      <c r="B1515" s="129" t="s">
        <v>3005</v>
      </c>
    </row>
    <row r="1516" spans="1:2">
      <c r="A1516" s="129" t="s">
        <v>657</v>
      </c>
      <c r="B1516" s="129" t="s">
        <v>3005</v>
      </c>
    </row>
    <row r="1517" spans="1:2">
      <c r="A1517" s="129" t="s">
        <v>784</v>
      </c>
      <c r="B1517" s="129" t="s">
        <v>3005</v>
      </c>
    </row>
    <row r="1518" spans="1:2">
      <c r="A1518" s="129" t="s">
        <v>1355</v>
      </c>
      <c r="B1518" s="129" t="s">
        <v>2410</v>
      </c>
    </row>
    <row r="1519" spans="1:2">
      <c r="A1519" s="129" t="s">
        <v>220</v>
      </c>
      <c r="B1519" s="129" t="s">
        <v>3005</v>
      </c>
    </row>
    <row r="1520" spans="1:2">
      <c r="A1520" s="129" t="s">
        <v>3288</v>
      </c>
      <c r="B1520" s="129" t="s">
        <v>3005</v>
      </c>
    </row>
    <row r="1521" spans="1:2">
      <c r="A1521" s="129" t="s">
        <v>3288</v>
      </c>
      <c r="B1521" s="129" t="s">
        <v>2153</v>
      </c>
    </row>
    <row r="1522" spans="1:2">
      <c r="A1522" s="129" t="s">
        <v>2287</v>
      </c>
      <c r="B1522" s="129" t="s">
        <v>2159</v>
      </c>
    </row>
    <row r="1523" spans="1:2">
      <c r="A1523" s="129" t="s">
        <v>204</v>
      </c>
      <c r="B1523" s="129" t="s">
        <v>3005</v>
      </c>
    </row>
    <row r="1524" spans="1:2">
      <c r="A1524" s="129" t="s">
        <v>3289</v>
      </c>
      <c r="B1524" s="129" t="s">
        <v>2410</v>
      </c>
    </row>
    <row r="1525" spans="1:2">
      <c r="A1525" s="129" t="s">
        <v>3289</v>
      </c>
      <c r="B1525" s="129" t="s">
        <v>2159</v>
      </c>
    </row>
    <row r="1526" spans="1:2">
      <c r="A1526" s="129" t="s">
        <v>321</v>
      </c>
      <c r="B1526" s="129" t="s">
        <v>3005</v>
      </c>
    </row>
    <row r="1527" spans="1:2">
      <c r="A1527" s="129" t="s">
        <v>1737</v>
      </c>
      <c r="B1527" s="129" t="s">
        <v>3005</v>
      </c>
    </row>
    <row r="1528" spans="1:2">
      <c r="A1528" s="129" t="s">
        <v>2488</v>
      </c>
      <c r="B1528" s="129" t="s">
        <v>3005</v>
      </c>
    </row>
    <row r="1529" spans="1:2">
      <c r="A1529" s="129" t="s">
        <v>109</v>
      </c>
      <c r="B1529" s="129" t="s">
        <v>3086</v>
      </c>
    </row>
    <row r="1530" spans="1:2">
      <c r="A1530" s="129" t="s">
        <v>3290</v>
      </c>
      <c r="B1530" s="129" t="s">
        <v>3005</v>
      </c>
    </row>
    <row r="1531" spans="1:2">
      <c r="A1531" s="129" t="s">
        <v>105</v>
      </c>
      <c r="B1531" s="129" t="s">
        <v>3007</v>
      </c>
    </row>
    <row r="1532" spans="1:2">
      <c r="A1532" s="129" t="s">
        <v>677</v>
      </c>
      <c r="B1532" s="129" t="s">
        <v>3005</v>
      </c>
    </row>
    <row r="1533" spans="1:2">
      <c r="A1533" s="129" t="s">
        <v>513</v>
      </c>
      <c r="B1533" s="129" t="s">
        <v>3005</v>
      </c>
    </row>
    <row r="1534" spans="1:2">
      <c r="A1534" s="129" t="s">
        <v>693</v>
      </c>
      <c r="B1534" s="129" t="s">
        <v>3005</v>
      </c>
    </row>
    <row r="1535" spans="1:2">
      <c r="A1535" s="129" t="s">
        <v>3291</v>
      </c>
      <c r="B1535" s="129" t="s">
        <v>2159</v>
      </c>
    </row>
    <row r="1536" spans="1:2">
      <c r="A1536" s="129" t="s">
        <v>1607</v>
      </c>
      <c r="B1536" s="129" t="s">
        <v>2159</v>
      </c>
    </row>
    <row r="1537" spans="1:2">
      <c r="A1537" s="129" t="s">
        <v>917</v>
      </c>
      <c r="B1537" s="129" t="s">
        <v>3005</v>
      </c>
    </row>
    <row r="1538" spans="1:2">
      <c r="A1538" s="129" t="s">
        <v>3292</v>
      </c>
      <c r="B1538" s="129" t="s">
        <v>2155</v>
      </c>
    </row>
    <row r="1539" spans="1:2">
      <c r="A1539" s="129" t="s">
        <v>3292</v>
      </c>
      <c r="B1539" s="129" t="s">
        <v>3007</v>
      </c>
    </row>
    <row r="1540" spans="1:2">
      <c r="A1540" s="129" t="s">
        <v>807</v>
      </c>
      <c r="B1540" s="129" t="s">
        <v>3007</v>
      </c>
    </row>
    <row r="1541" spans="1:2">
      <c r="A1541" s="129" t="s">
        <v>1633</v>
      </c>
      <c r="B1541" s="129" t="s">
        <v>2159</v>
      </c>
    </row>
    <row r="1542" spans="1:2">
      <c r="A1542" s="129" t="s">
        <v>325</v>
      </c>
      <c r="B1542" s="129" t="s">
        <v>3005</v>
      </c>
    </row>
    <row r="1543" spans="1:2">
      <c r="A1543" s="129" t="s">
        <v>3293</v>
      </c>
      <c r="B1543" s="129" t="s">
        <v>3008</v>
      </c>
    </row>
    <row r="1544" spans="1:2">
      <c r="A1544" s="129" t="s">
        <v>3293</v>
      </c>
      <c r="B1544" s="129" t="s">
        <v>2157</v>
      </c>
    </row>
    <row r="1545" spans="1:2">
      <c r="A1545" s="129" t="s">
        <v>3293</v>
      </c>
      <c r="B1545" s="129" t="s">
        <v>2153</v>
      </c>
    </row>
    <row r="1546" spans="1:2">
      <c r="A1546" s="129" t="s">
        <v>3293</v>
      </c>
      <c r="B1546" s="129" t="s">
        <v>3005</v>
      </c>
    </row>
    <row r="1547" spans="1:2">
      <c r="A1547" s="129" t="s">
        <v>114</v>
      </c>
      <c r="B1547" s="129" t="s">
        <v>3005</v>
      </c>
    </row>
    <row r="1548" spans="1:2">
      <c r="A1548" s="129" t="s">
        <v>114</v>
      </c>
      <c r="B1548" s="129" t="s">
        <v>2153</v>
      </c>
    </row>
    <row r="1549" spans="1:2">
      <c r="A1549" s="129" t="s">
        <v>1009</v>
      </c>
      <c r="B1549" s="129" t="s">
        <v>2410</v>
      </c>
    </row>
    <row r="1550" spans="1:2">
      <c r="A1550" s="129" t="s">
        <v>3294</v>
      </c>
      <c r="B1550" s="129" t="s">
        <v>2159</v>
      </c>
    </row>
    <row r="1551" spans="1:2">
      <c r="A1551" s="129" t="s">
        <v>3294</v>
      </c>
      <c r="B1551" s="129" t="s">
        <v>2410</v>
      </c>
    </row>
    <row r="1552" spans="1:2">
      <c r="A1552" s="129" t="s">
        <v>3295</v>
      </c>
      <c r="B1552" s="129" t="s">
        <v>2159</v>
      </c>
    </row>
    <row r="1553" spans="1:2">
      <c r="A1553" s="129" t="s">
        <v>2461</v>
      </c>
      <c r="B1553" s="129" t="s">
        <v>3005</v>
      </c>
    </row>
    <row r="1554" spans="1:2">
      <c r="A1554" s="129" t="s">
        <v>1669</v>
      </c>
      <c r="B1554" s="129" t="s">
        <v>2410</v>
      </c>
    </row>
    <row r="1555" spans="1:2">
      <c r="A1555" s="129" t="s">
        <v>1669</v>
      </c>
      <c r="B1555" s="129" t="s">
        <v>2159</v>
      </c>
    </row>
    <row r="1556" spans="1:2">
      <c r="A1556" s="129" t="s">
        <v>101</v>
      </c>
      <c r="B1556" s="129" t="s">
        <v>3161</v>
      </c>
    </row>
    <row r="1557" spans="1:2">
      <c r="A1557" s="129" t="s">
        <v>3296</v>
      </c>
      <c r="B1557" s="129" t="s">
        <v>2159</v>
      </c>
    </row>
    <row r="1558" spans="1:2">
      <c r="A1558" s="129" t="s">
        <v>3296</v>
      </c>
      <c r="B1558" s="129" t="s">
        <v>2410</v>
      </c>
    </row>
    <row r="1559" spans="1:2">
      <c r="A1559" s="129" t="s">
        <v>819</v>
      </c>
      <c r="B1559" s="129" t="s">
        <v>3005</v>
      </c>
    </row>
    <row r="1560" spans="1:2">
      <c r="A1560" s="129" t="s">
        <v>2455</v>
      </c>
      <c r="B1560" s="129" t="s">
        <v>2153</v>
      </c>
    </row>
    <row r="1561" spans="1:2">
      <c r="A1561" s="129" t="s">
        <v>2238</v>
      </c>
      <c r="B1561" s="129" t="s">
        <v>2410</v>
      </c>
    </row>
    <row r="1562" spans="1:2">
      <c r="A1562" s="129" t="s">
        <v>2238</v>
      </c>
      <c r="B1562" s="129" t="s">
        <v>2159</v>
      </c>
    </row>
    <row r="1563" spans="1:2">
      <c r="A1563" s="129" t="s">
        <v>1070</v>
      </c>
      <c r="B1563" s="129" t="s">
        <v>2410</v>
      </c>
    </row>
    <row r="1564" spans="1:2">
      <c r="A1564" s="129" t="s">
        <v>3297</v>
      </c>
      <c r="B1564" s="129" t="s">
        <v>2159</v>
      </c>
    </row>
    <row r="1565" spans="1:2">
      <c r="A1565" s="129" t="s">
        <v>1488</v>
      </c>
      <c r="B1565" s="129" t="s">
        <v>2159</v>
      </c>
    </row>
    <row r="1566" spans="1:2">
      <c r="A1566" s="129" t="s">
        <v>149</v>
      </c>
      <c r="B1566" s="129" t="s">
        <v>3007</v>
      </c>
    </row>
    <row r="1567" spans="1:2">
      <c r="A1567" s="129" t="s">
        <v>2607</v>
      </c>
      <c r="B1567" s="129" t="s">
        <v>2155</v>
      </c>
    </row>
    <row r="1568" spans="1:2">
      <c r="A1568" s="129" t="s">
        <v>1962</v>
      </c>
      <c r="B1568" s="129" t="s">
        <v>3008</v>
      </c>
    </row>
    <row r="1569" spans="1:2">
      <c r="A1569" s="129" t="s">
        <v>77</v>
      </c>
      <c r="B1569" s="129" t="s">
        <v>3007</v>
      </c>
    </row>
    <row r="1570" spans="1:2">
      <c r="A1570" s="129" t="s">
        <v>3298</v>
      </c>
      <c r="B1570" s="129" t="s">
        <v>3007</v>
      </c>
    </row>
    <row r="1571" spans="1:2">
      <c r="A1571" s="129" t="s">
        <v>745</v>
      </c>
      <c r="B1571" s="129" t="s">
        <v>3005</v>
      </c>
    </row>
    <row r="1572" spans="1:2">
      <c r="A1572" s="129" t="s">
        <v>1555</v>
      </c>
      <c r="B1572" s="129" t="s">
        <v>2410</v>
      </c>
    </row>
    <row r="1573" spans="1:2">
      <c r="A1573" s="129" t="s">
        <v>2570</v>
      </c>
      <c r="B1573" s="129" t="s">
        <v>2410</v>
      </c>
    </row>
    <row r="1574" spans="1:2">
      <c r="A1574" s="129" t="s">
        <v>2570</v>
      </c>
      <c r="B1574" s="129" t="s">
        <v>2159</v>
      </c>
    </row>
    <row r="1575" spans="1:2">
      <c r="A1575" s="129" t="s">
        <v>967</v>
      </c>
      <c r="B1575" s="129" t="s">
        <v>3005</v>
      </c>
    </row>
    <row r="1576" spans="1:2">
      <c r="A1576" s="129" t="s">
        <v>868</v>
      </c>
      <c r="B1576" s="129" t="s">
        <v>2410</v>
      </c>
    </row>
    <row r="1577" spans="1:2">
      <c r="A1577" s="129" t="s">
        <v>3299</v>
      </c>
      <c r="B1577" s="129" t="s">
        <v>2159</v>
      </c>
    </row>
    <row r="1578" spans="1:2">
      <c r="A1578" s="129" t="s">
        <v>3300</v>
      </c>
      <c r="B1578" s="129" t="s">
        <v>2410</v>
      </c>
    </row>
    <row r="1579" spans="1:2">
      <c r="A1579" s="129" t="s">
        <v>3300</v>
      </c>
      <c r="B1579" s="129" t="s">
        <v>2159</v>
      </c>
    </row>
    <row r="1580" spans="1:2">
      <c r="A1580" s="129" t="s">
        <v>3301</v>
      </c>
      <c r="B1580" s="129" t="s">
        <v>2159</v>
      </c>
    </row>
    <row r="1581" spans="1:2">
      <c r="A1581" s="129" t="s">
        <v>3301</v>
      </c>
      <c r="B1581" s="129" t="s">
        <v>2410</v>
      </c>
    </row>
    <row r="1582" spans="1:2">
      <c r="A1582" s="129" t="s">
        <v>1422</v>
      </c>
      <c r="B1582" s="129" t="s">
        <v>2159</v>
      </c>
    </row>
    <row r="1583" spans="1:2">
      <c r="A1583" s="129" t="s">
        <v>1422</v>
      </c>
      <c r="B1583" s="129" t="s">
        <v>2410</v>
      </c>
    </row>
    <row r="1584" spans="1:2">
      <c r="A1584" s="129" t="s">
        <v>1698</v>
      </c>
      <c r="B1584" s="129" t="s">
        <v>2155</v>
      </c>
    </row>
    <row r="1585" spans="1:2">
      <c r="A1585" s="129" t="s">
        <v>3302</v>
      </c>
      <c r="B1585" s="129" t="s">
        <v>2159</v>
      </c>
    </row>
    <row r="1586" spans="1:2">
      <c r="A1586" s="129" t="s">
        <v>3303</v>
      </c>
      <c r="B1586" s="129" t="s">
        <v>2159</v>
      </c>
    </row>
    <row r="1587" spans="1:2">
      <c r="A1587" s="129" t="s">
        <v>2334</v>
      </c>
      <c r="B1587" s="129" t="s">
        <v>2157</v>
      </c>
    </row>
    <row r="1588" spans="1:2">
      <c r="A1588" s="129" t="s">
        <v>2334</v>
      </c>
      <c r="B1588" s="129" t="s">
        <v>2153</v>
      </c>
    </row>
    <row r="1589" spans="1:2">
      <c r="A1589" s="129" t="s">
        <v>2334</v>
      </c>
      <c r="B1589" s="129" t="s">
        <v>3005</v>
      </c>
    </row>
    <row r="1590" spans="1:2">
      <c r="A1590" s="129" t="s">
        <v>2194</v>
      </c>
      <c r="B1590" s="129" t="s">
        <v>2153</v>
      </c>
    </row>
    <row r="1591" spans="1:2">
      <c r="A1591" s="129" t="s">
        <v>2194</v>
      </c>
      <c r="B1591" s="129" t="s">
        <v>3005</v>
      </c>
    </row>
    <row r="1592" spans="1:2">
      <c r="A1592" s="129" t="s">
        <v>957</v>
      </c>
      <c r="B1592" s="129" t="s">
        <v>3005</v>
      </c>
    </row>
    <row r="1593" spans="1:2">
      <c r="A1593" s="129" t="s">
        <v>3304</v>
      </c>
      <c r="B1593" s="129" t="s">
        <v>2155</v>
      </c>
    </row>
    <row r="1594" spans="1:2">
      <c r="A1594" s="129" t="s">
        <v>2146</v>
      </c>
      <c r="B1594" s="129" t="s">
        <v>3007</v>
      </c>
    </row>
    <row r="1595" spans="1:2">
      <c r="A1595" s="129" t="s">
        <v>1897</v>
      </c>
      <c r="B1595" s="129" t="s">
        <v>3008</v>
      </c>
    </row>
    <row r="1596" spans="1:2">
      <c r="A1596" s="129" t="s">
        <v>1897</v>
      </c>
      <c r="B1596" s="129" t="s">
        <v>3005</v>
      </c>
    </row>
    <row r="1597" spans="1:2">
      <c r="A1597" s="129" t="s">
        <v>1897</v>
      </c>
      <c r="B1597" s="129" t="s">
        <v>2153</v>
      </c>
    </row>
    <row r="1598" spans="1:2">
      <c r="A1598" s="129" t="s">
        <v>3305</v>
      </c>
      <c r="B1598" s="129" t="s">
        <v>3007</v>
      </c>
    </row>
    <row r="1599" spans="1:2">
      <c r="A1599" s="129" t="s">
        <v>2389</v>
      </c>
      <c r="B1599" s="129" t="s">
        <v>3007</v>
      </c>
    </row>
    <row r="1600" spans="1:2">
      <c r="A1600" s="129" t="s">
        <v>3306</v>
      </c>
      <c r="B1600" s="129" t="s">
        <v>3007</v>
      </c>
    </row>
    <row r="1601" spans="1:2">
      <c r="A1601" s="129" t="s">
        <v>3307</v>
      </c>
      <c r="B1601" s="129" t="s">
        <v>2155</v>
      </c>
    </row>
    <row r="1602" spans="1:2">
      <c r="A1602" s="129" t="s">
        <v>1563</v>
      </c>
      <c r="B1602" s="129" t="s">
        <v>2410</v>
      </c>
    </row>
    <row r="1603" spans="1:2">
      <c r="A1603" s="129" t="s">
        <v>665</v>
      </c>
      <c r="B1603" s="129" t="s">
        <v>3005</v>
      </c>
    </row>
    <row r="1604" spans="1:2">
      <c r="A1604" s="129" t="s">
        <v>111</v>
      </c>
      <c r="B1604" s="129" t="s">
        <v>3007</v>
      </c>
    </row>
    <row r="1605" spans="1:2">
      <c r="A1605" s="129" t="s">
        <v>1381</v>
      </c>
      <c r="B1605" s="129" t="s">
        <v>2410</v>
      </c>
    </row>
    <row r="1606" spans="1:2">
      <c r="A1606" s="129" t="s">
        <v>107</v>
      </c>
      <c r="B1606" s="129" t="s">
        <v>3007</v>
      </c>
    </row>
    <row r="1607" spans="1:2">
      <c r="A1607" s="129" t="s">
        <v>731</v>
      </c>
      <c r="B1607" s="129" t="s">
        <v>3005</v>
      </c>
    </row>
    <row r="1608" spans="1:2">
      <c r="A1608" s="129" t="s">
        <v>2075</v>
      </c>
      <c r="B1608" s="129" t="s">
        <v>2410</v>
      </c>
    </row>
    <row r="1609" spans="1:2">
      <c r="A1609" s="129" t="s">
        <v>3308</v>
      </c>
      <c r="B1609" s="129" t="s">
        <v>2159</v>
      </c>
    </row>
    <row r="1610" spans="1:2">
      <c r="A1610" s="129" t="s">
        <v>3308</v>
      </c>
      <c r="B1610" s="129" t="s">
        <v>2410</v>
      </c>
    </row>
    <row r="1611" spans="1:2">
      <c r="A1611" s="129" t="s">
        <v>2500</v>
      </c>
      <c r="B1611" s="129" t="s">
        <v>3007</v>
      </c>
    </row>
    <row r="1612" spans="1:2">
      <c r="A1612" s="129" t="s">
        <v>3309</v>
      </c>
      <c r="B1612" s="129" t="s">
        <v>2159</v>
      </c>
    </row>
    <row r="1613" spans="1:2">
      <c r="A1613" s="129" t="s">
        <v>1771</v>
      </c>
      <c r="B1613" s="129" t="s">
        <v>2417</v>
      </c>
    </row>
    <row r="1614" spans="1:2">
      <c r="A1614" s="129" t="s">
        <v>3310</v>
      </c>
      <c r="B1614" s="129" t="s">
        <v>2410</v>
      </c>
    </row>
    <row r="1615" spans="1:2">
      <c r="A1615" s="129" t="s">
        <v>3311</v>
      </c>
      <c r="B1615" s="129" t="s">
        <v>2410</v>
      </c>
    </row>
    <row r="1616" spans="1:2">
      <c r="A1616" s="129" t="s">
        <v>3312</v>
      </c>
      <c r="B1616" s="129" t="s">
        <v>2159</v>
      </c>
    </row>
    <row r="1617" spans="1:2">
      <c r="A1617" s="129" t="s">
        <v>1739</v>
      </c>
      <c r="B1617" s="129" t="s">
        <v>3005</v>
      </c>
    </row>
    <row r="1618" spans="1:2">
      <c r="A1618" s="129" t="s">
        <v>647</v>
      </c>
      <c r="B1618" s="129" t="s">
        <v>3005</v>
      </c>
    </row>
    <row r="1619" spans="1:2">
      <c r="A1619" s="129" t="s">
        <v>1298</v>
      </c>
      <c r="B1619" s="129" t="s">
        <v>2410</v>
      </c>
    </row>
    <row r="1620" spans="1:2">
      <c r="A1620" s="129" t="s">
        <v>1298</v>
      </c>
      <c r="B1620" s="129" t="s">
        <v>2159</v>
      </c>
    </row>
    <row r="1621" spans="1:2">
      <c r="A1621" s="129" t="s">
        <v>1299</v>
      </c>
      <c r="B1621" s="129" t="s">
        <v>2410</v>
      </c>
    </row>
    <row r="1622" spans="1:2">
      <c r="A1622" s="129" t="s">
        <v>1299</v>
      </c>
      <c r="B1622" s="129" t="s">
        <v>2159</v>
      </c>
    </row>
    <row r="1623" spans="1:2">
      <c r="A1623" s="129" t="s">
        <v>33</v>
      </c>
      <c r="B1623" s="129" t="s">
        <v>3005</v>
      </c>
    </row>
    <row r="1624" spans="1:2">
      <c r="A1624" s="129" t="s">
        <v>2292</v>
      </c>
      <c r="B1624" s="129" t="s">
        <v>3005</v>
      </c>
    </row>
    <row r="1625" spans="1:2">
      <c r="A1625" s="129" t="s">
        <v>2292</v>
      </c>
      <c r="B1625" s="129" t="s">
        <v>2153</v>
      </c>
    </row>
    <row r="1626" spans="1:2">
      <c r="A1626" s="129" t="s">
        <v>3313</v>
      </c>
      <c r="B1626" s="129" t="s">
        <v>2155</v>
      </c>
    </row>
    <row r="1627" spans="1:2">
      <c r="A1627" s="129" t="s">
        <v>1465</v>
      </c>
      <c r="B1627" s="129" t="s">
        <v>2159</v>
      </c>
    </row>
    <row r="1628" spans="1:2">
      <c r="A1628" s="129" t="s">
        <v>449</v>
      </c>
      <c r="B1628" s="129" t="s">
        <v>3005</v>
      </c>
    </row>
    <row r="1629" spans="1:2">
      <c r="A1629" s="129" t="s">
        <v>3314</v>
      </c>
      <c r="B1629" s="129" t="s">
        <v>2159</v>
      </c>
    </row>
    <row r="1630" spans="1:2">
      <c r="A1630" s="129" t="s">
        <v>2247</v>
      </c>
      <c r="B1630" s="129" t="s">
        <v>3007</v>
      </c>
    </row>
    <row r="1631" spans="1:2">
      <c r="A1631" s="129" t="s">
        <v>2247</v>
      </c>
      <c r="B1631" s="129" t="s">
        <v>2155</v>
      </c>
    </row>
    <row r="1632" spans="1:2">
      <c r="A1632" s="129" t="s">
        <v>3315</v>
      </c>
      <c r="B1632" s="129" t="s">
        <v>2159</v>
      </c>
    </row>
    <row r="1633" spans="1:2">
      <c r="A1633" s="129" t="s">
        <v>3316</v>
      </c>
      <c r="B1633" s="129" t="s">
        <v>2153</v>
      </c>
    </row>
    <row r="1634" spans="1:2">
      <c r="A1634" s="129" t="s">
        <v>1650</v>
      </c>
      <c r="B1634" s="129" t="s">
        <v>2410</v>
      </c>
    </row>
    <row r="1635" spans="1:2">
      <c r="A1635" s="129" t="s">
        <v>1907</v>
      </c>
      <c r="B1635" s="129" t="s">
        <v>2410</v>
      </c>
    </row>
    <row r="1636" spans="1:2">
      <c r="A1636" s="129" t="s">
        <v>1907</v>
      </c>
      <c r="B1636" s="129" t="s">
        <v>2159</v>
      </c>
    </row>
    <row r="1637" spans="1:2">
      <c r="A1637" s="129" t="s">
        <v>1617</v>
      </c>
      <c r="B1637" s="129" t="s">
        <v>2159</v>
      </c>
    </row>
    <row r="1638" spans="1:2">
      <c r="A1638" s="129" t="s">
        <v>945</v>
      </c>
      <c r="B1638" s="129" t="s">
        <v>3005</v>
      </c>
    </row>
    <row r="1639" spans="1:2">
      <c r="A1639" s="129" t="s">
        <v>1967</v>
      </c>
      <c r="B1639" s="129" t="s">
        <v>2410</v>
      </c>
    </row>
    <row r="1640" spans="1:2">
      <c r="A1640" s="129" t="s">
        <v>1967</v>
      </c>
      <c r="B1640" s="129" t="s">
        <v>2159</v>
      </c>
    </row>
    <row r="1641" spans="1:2">
      <c r="A1641" s="129" t="s">
        <v>1268</v>
      </c>
      <c r="B1641" s="129" t="s">
        <v>2159</v>
      </c>
    </row>
    <row r="1642" spans="1:2">
      <c r="A1642" s="129" t="s">
        <v>3317</v>
      </c>
      <c r="B1642" s="129" t="s">
        <v>2159</v>
      </c>
    </row>
    <row r="1643" spans="1:2">
      <c r="A1643" s="129" t="s">
        <v>2478</v>
      </c>
      <c r="B1643" s="129" t="s">
        <v>2159</v>
      </c>
    </row>
    <row r="1644" spans="1:2">
      <c r="A1644" s="129" t="s">
        <v>2312</v>
      </c>
      <c r="B1644" s="129" t="s">
        <v>2153</v>
      </c>
    </row>
    <row r="1645" spans="1:2">
      <c r="A1645" s="129" t="s">
        <v>947</v>
      </c>
      <c r="B1645" s="129" t="s">
        <v>3005</v>
      </c>
    </row>
    <row r="1646" spans="1:2">
      <c r="A1646" s="129" t="s">
        <v>1042</v>
      </c>
      <c r="B1646" s="129" t="s">
        <v>3005</v>
      </c>
    </row>
    <row r="1647" spans="1:2">
      <c r="A1647" s="129" t="s">
        <v>410</v>
      </c>
      <c r="B1647" s="129" t="s">
        <v>3005</v>
      </c>
    </row>
    <row r="1648" spans="1:2">
      <c r="A1648" s="129" t="s">
        <v>1713</v>
      </c>
      <c r="B1648" s="129" t="s">
        <v>2159</v>
      </c>
    </row>
    <row r="1649" spans="1:2">
      <c r="A1649" s="129" t="s">
        <v>86</v>
      </c>
      <c r="B1649" s="129" t="s">
        <v>3007</v>
      </c>
    </row>
    <row r="1650" spans="1:2">
      <c r="A1650" s="129" t="s">
        <v>2483</v>
      </c>
      <c r="B1650" s="129" t="s">
        <v>2410</v>
      </c>
    </row>
    <row r="1651" spans="1:2">
      <c r="A1651" s="129" t="s">
        <v>2483</v>
      </c>
      <c r="B1651" s="129" t="s">
        <v>2159</v>
      </c>
    </row>
    <row r="1652" spans="1:2">
      <c r="A1652" s="129" t="s">
        <v>3318</v>
      </c>
      <c r="B1652" s="129" t="s">
        <v>2155</v>
      </c>
    </row>
    <row r="1653" spans="1:2">
      <c r="A1653" s="129" t="s">
        <v>3318</v>
      </c>
      <c r="B1653" s="129" t="s">
        <v>3007</v>
      </c>
    </row>
    <row r="1654" spans="1:2">
      <c r="A1654" s="129" t="s">
        <v>3319</v>
      </c>
      <c r="B1654" s="129" t="s">
        <v>2155</v>
      </c>
    </row>
    <row r="1655" spans="1:2">
      <c r="A1655" s="129" t="s">
        <v>1983</v>
      </c>
      <c r="B1655" s="129" t="s">
        <v>3008</v>
      </c>
    </row>
    <row r="1656" spans="1:2">
      <c r="A1656" s="129" t="s">
        <v>1983</v>
      </c>
      <c r="B1656" s="129" t="s">
        <v>3005</v>
      </c>
    </row>
    <row r="1657" spans="1:2">
      <c r="A1657" s="129" t="s">
        <v>1983</v>
      </c>
      <c r="B1657" s="129" t="s">
        <v>2153</v>
      </c>
    </row>
    <row r="1658" spans="1:2">
      <c r="A1658" s="129" t="s">
        <v>1983</v>
      </c>
      <c r="B1658" s="129" t="s">
        <v>2157</v>
      </c>
    </row>
    <row r="1659" spans="1:2">
      <c r="A1659" s="129" t="s">
        <v>2149</v>
      </c>
      <c r="B1659" s="129" t="s">
        <v>3007</v>
      </c>
    </row>
    <row r="1660" spans="1:2">
      <c r="A1660" s="129" t="s">
        <v>2107</v>
      </c>
      <c r="B1660" s="129" t="s">
        <v>2417</v>
      </c>
    </row>
    <row r="1661" spans="1:2">
      <c r="A1661" s="129" t="s">
        <v>2107</v>
      </c>
      <c r="B1661" s="129" t="s">
        <v>2158</v>
      </c>
    </row>
    <row r="1662" spans="1:2">
      <c r="A1662" s="129" t="s">
        <v>3320</v>
      </c>
      <c r="B1662" s="129" t="s">
        <v>2153</v>
      </c>
    </row>
    <row r="1663" spans="1:2">
      <c r="A1663" s="129" t="s">
        <v>2437</v>
      </c>
      <c r="B1663" s="129" t="s">
        <v>3005</v>
      </c>
    </row>
    <row r="1664" spans="1:2">
      <c r="A1664" s="129" t="s">
        <v>2437</v>
      </c>
      <c r="B1664" s="129" t="s">
        <v>2153</v>
      </c>
    </row>
    <row r="1665" spans="1:2">
      <c r="A1665" s="129" t="s">
        <v>3321</v>
      </c>
      <c r="B1665" s="129" t="s">
        <v>2155</v>
      </c>
    </row>
    <row r="1666" spans="1:2">
      <c r="A1666" s="129" t="s">
        <v>175</v>
      </c>
      <c r="B1666" s="129" t="s">
        <v>3007</v>
      </c>
    </row>
    <row r="1667" spans="1:2">
      <c r="A1667" s="129" t="s">
        <v>175</v>
      </c>
      <c r="B1667" s="129" t="s">
        <v>2155</v>
      </c>
    </row>
    <row r="1668" spans="1:2">
      <c r="A1668" s="129" t="s">
        <v>743</v>
      </c>
      <c r="B1668" s="129" t="s">
        <v>3005</v>
      </c>
    </row>
    <row r="1669" spans="1:2">
      <c r="A1669" s="129" t="s">
        <v>1179</v>
      </c>
      <c r="B1669" s="129" t="s">
        <v>2410</v>
      </c>
    </row>
    <row r="1670" spans="1:2">
      <c r="A1670" s="129" t="s">
        <v>1499</v>
      </c>
      <c r="B1670" s="129" t="s">
        <v>2410</v>
      </c>
    </row>
    <row r="1671" spans="1:2">
      <c r="A1671" s="129" t="s">
        <v>1376</v>
      </c>
      <c r="B1671" s="129" t="s">
        <v>2159</v>
      </c>
    </row>
    <row r="1672" spans="1:2">
      <c r="A1672" s="129" t="s">
        <v>1490</v>
      </c>
      <c r="B1672" s="129" t="s">
        <v>2159</v>
      </c>
    </row>
    <row r="1673" spans="1:2">
      <c r="A1673" s="129" t="s">
        <v>3322</v>
      </c>
      <c r="B1673" s="129" t="s">
        <v>2155</v>
      </c>
    </row>
    <row r="1674" spans="1:2">
      <c r="A1674" s="129" t="s">
        <v>3322</v>
      </c>
      <c r="B1674" s="129" t="s">
        <v>3007</v>
      </c>
    </row>
    <row r="1675" spans="1:2">
      <c r="A1675" s="129" t="s">
        <v>609</v>
      </c>
      <c r="B1675" s="129" t="s">
        <v>3005</v>
      </c>
    </row>
    <row r="1676" spans="1:2">
      <c r="A1676" s="129" t="s">
        <v>139</v>
      </c>
      <c r="B1676" s="129" t="s">
        <v>3161</v>
      </c>
    </row>
    <row r="1677" spans="1:2">
      <c r="A1677" s="129" t="s">
        <v>3323</v>
      </c>
      <c r="B1677" s="129" t="s">
        <v>3007</v>
      </c>
    </row>
    <row r="1678" spans="1:2">
      <c r="A1678" s="129" t="s">
        <v>2616</v>
      </c>
      <c r="B1678" s="129" t="s">
        <v>3007</v>
      </c>
    </row>
    <row r="1679" spans="1:2">
      <c r="A1679" s="129" t="s">
        <v>2251</v>
      </c>
      <c r="B1679" s="129" t="s">
        <v>2153</v>
      </c>
    </row>
    <row r="1680" spans="1:2">
      <c r="A1680" s="129" t="s">
        <v>3324</v>
      </c>
      <c r="B1680" s="129" t="s">
        <v>2159</v>
      </c>
    </row>
    <row r="1681" spans="1:2">
      <c r="A1681" s="129" t="s">
        <v>3325</v>
      </c>
      <c r="B1681" s="129" t="s">
        <v>2155</v>
      </c>
    </row>
    <row r="1682" spans="1:2">
      <c r="A1682" s="129" t="s">
        <v>3325</v>
      </c>
      <c r="B1682" s="129" t="s">
        <v>3007</v>
      </c>
    </row>
    <row r="1683" spans="1:2">
      <c r="A1683" s="129" t="s">
        <v>3326</v>
      </c>
      <c r="B1683" s="129" t="s">
        <v>2155</v>
      </c>
    </row>
    <row r="1684" spans="1:2">
      <c r="A1684" s="129" t="s">
        <v>3326</v>
      </c>
      <c r="B1684" s="129" t="s">
        <v>3007</v>
      </c>
    </row>
    <row r="1685" spans="1:2">
      <c r="A1685" s="129" t="s">
        <v>3327</v>
      </c>
      <c r="B1685" s="129" t="s">
        <v>2155</v>
      </c>
    </row>
    <row r="1686" spans="1:2">
      <c r="A1686" s="129" t="s">
        <v>136</v>
      </c>
      <c r="B1686" s="129" t="s">
        <v>3007</v>
      </c>
    </row>
    <row r="1687" spans="1:2">
      <c r="A1687" s="129" t="s">
        <v>3328</v>
      </c>
      <c r="B1687" s="129" t="s">
        <v>3007</v>
      </c>
    </row>
    <row r="1688" spans="1:2">
      <c r="A1688" s="129" t="s">
        <v>1837</v>
      </c>
      <c r="B1688" s="129" t="s">
        <v>2159</v>
      </c>
    </row>
    <row r="1689" spans="1:2">
      <c r="A1689" s="129" t="s">
        <v>457</v>
      </c>
      <c r="B1689" s="129" t="s">
        <v>3005</v>
      </c>
    </row>
    <row r="1690" spans="1:2">
      <c r="A1690" s="129" t="s">
        <v>794</v>
      </c>
      <c r="B1690" s="129" t="s">
        <v>3005</v>
      </c>
    </row>
    <row r="1691" spans="1:2">
      <c r="A1691" s="129" t="s">
        <v>148</v>
      </c>
      <c r="B1691" s="129" t="s">
        <v>3007</v>
      </c>
    </row>
    <row r="1692" spans="1:2">
      <c r="A1692" s="129" t="s">
        <v>3329</v>
      </c>
      <c r="B1692" s="129" t="s">
        <v>2155</v>
      </c>
    </row>
    <row r="1693" spans="1:2">
      <c r="A1693" s="129" t="s">
        <v>3330</v>
      </c>
      <c r="B1693" s="129" t="s">
        <v>2159</v>
      </c>
    </row>
    <row r="1694" spans="1:2">
      <c r="A1694" s="129" t="s">
        <v>3330</v>
      </c>
      <c r="B1694" s="129" t="s">
        <v>2410</v>
      </c>
    </row>
    <row r="1695" spans="1:2">
      <c r="A1695" s="129" t="s">
        <v>3331</v>
      </c>
      <c r="B1695" s="129" t="s">
        <v>2159</v>
      </c>
    </row>
    <row r="1696" spans="1:2">
      <c r="A1696" s="129" t="s">
        <v>2073</v>
      </c>
      <c r="B1696" s="129" t="s">
        <v>3008</v>
      </c>
    </row>
    <row r="1697" spans="1:2">
      <c r="A1697" s="129" t="s">
        <v>1119</v>
      </c>
      <c r="B1697" s="129" t="s">
        <v>2410</v>
      </c>
    </row>
    <row r="1698" spans="1:2">
      <c r="A1698" s="129" t="s">
        <v>1660</v>
      </c>
      <c r="B1698" s="129" t="s">
        <v>3005</v>
      </c>
    </row>
    <row r="1699" spans="1:2">
      <c r="A1699" s="129" t="s">
        <v>1660</v>
      </c>
      <c r="B1699" s="129" t="s">
        <v>2153</v>
      </c>
    </row>
    <row r="1700" spans="1:2">
      <c r="A1700" s="129" t="s">
        <v>3332</v>
      </c>
      <c r="B1700" s="129" t="s">
        <v>3005</v>
      </c>
    </row>
    <row r="1701" spans="1:2">
      <c r="A1701" s="129" t="s">
        <v>3332</v>
      </c>
      <c r="B1701" s="129" t="s">
        <v>2153</v>
      </c>
    </row>
    <row r="1702" spans="1:2">
      <c r="A1702" s="129" t="s">
        <v>825</v>
      </c>
      <c r="B1702" s="129" t="s">
        <v>2410</v>
      </c>
    </row>
    <row r="1703" spans="1:2">
      <c r="A1703" s="129" t="s">
        <v>599</v>
      </c>
      <c r="B1703" s="129" t="s">
        <v>3005</v>
      </c>
    </row>
    <row r="1704" spans="1:2">
      <c r="A1704" s="129" t="s">
        <v>3333</v>
      </c>
      <c r="B1704" s="129" t="s">
        <v>3007</v>
      </c>
    </row>
    <row r="1705" spans="1:2">
      <c r="A1705" s="129" t="s">
        <v>2443</v>
      </c>
      <c r="B1705" s="129" t="s">
        <v>2410</v>
      </c>
    </row>
    <row r="1706" spans="1:2">
      <c r="A1706" s="129" t="s">
        <v>300</v>
      </c>
      <c r="B1706" s="129" t="s">
        <v>2153</v>
      </c>
    </row>
    <row r="1707" spans="1:2">
      <c r="A1707" s="129" t="s">
        <v>63</v>
      </c>
      <c r="B1707" s="129" t="s">
        <v>3007</v>
      </c>
    </row>
    <row r="1708" spans="1:2">
      <c r="A1708" s="129" t="s">
        <v>2143</v>
      </c>
      <c r="B1708" s="129" t="s">
        <v>2155</v>
      </c>
    </row>
    <row r="1709" spans="1:2">
      <c r="A1709" s="129" t="s">
        <v>61</v>
      </c>
      <c r="B1709" s="129" t="s">
        <v>3086</v>
      </c>
    </row>
    <row r="1710" spans="1:2">
      <c r="A1710" s="129" t="s">
        <v>3334</v>
      </c>
      <c r="B1710" s="129" t="s">
        <v>3005</v>
      </c>
    </row>
    <row r="1711" spans="1:2">
      <c r="A1711" s="129" t="s">
        <v>3334</v>
      </c>
      <c r="B1711" s="129" t="s">
        <v>2153</v>
      </c>
    </row>
    <row r="1712" spans="1:2">
      <c r="A1712" s="129" t="s">
        <v>3335</v>
      </c>
      <c r="B1712" s="129" t="s">
        <v>2155</v>
      </c>
    </row>
    <row r="1713" spans="1:2">
      <c r="A1713" s="129" t="s">
        <v>3336</v>
      </c>
      <c r="B1713" s="129" t="s">
        <v>3007</v>
      </c>
    </row>
    <row r="1714" spans="1:2">
      <c r="A1714" s="129" t="s">
        <v>3336</v>
      </c>
      <c r="B1714" s="129" t="s">
        <v>2155</v>
      </c>
    </row>
    <row r="1715" spans="1:2">
      <c r="A1715" s="129" t="s">
        <v>3337</v>
      </c>
      <c r="B1715" s="129" t="s">
        <v>3007</v>
      </c>
    </row>
    <row r="1716" spans="1:2">
      <c r="A1716" s="129" t="s">
        <v>3338</v>
      </c>
      <c r="B1716" s="129" t="s">
        <v>2159</v>
      </c>
    </row>
    <row r="1717" spans="1:2">
      <c r="A1717" s="129" t="s">
        <v>1685</v>
      </c>
      <c r="B1717" s="129" t="s">
        <v>2159</v>
      </c>
    </row>
    <row r="1718" spans="1:2">
      <c r="A1718" s="129" t="s">
        <v>1685</v>
      </c>
      <c r="B1718" s="129" t="s">
        <v>2410</v>
      </c>
    </row>
    <row r="1719" spans="1:2">
      <c r="A1719" s="129" t="s">
        <v>1972</v>
      </c>
      <c r="B1719" s="129" t="s">
        <v>3007</v>
      </c>
    </row>
    <row r="1720" spans="1:2">
      <c r="A1720" s="129" t="s">
        <v>3339</v>
      </c>
      <c r="B1720" s="129" t="s">
        <v>2155</v>
      </c>
    </row>
    <row r="1721" spans="1:2">
      <c r="A1721" s="129" t="s">
        <v>3340</v>
      </c>
      <c r="B1721" s="129" t="s">
        <v>3007</v>
      </c>
    </row>
    <row r="1722" spans="1:2">
      <c r="A1722" s="129" t="s">
        <v>3340</v>
      </c>
      <c r="B1722" s="129" t="s">
        <v>2155</v>
      </c>
    </row>
    <row r="1723" spans="1:2">
      <c r="A1723" s="129" t="s">
        <v>3341</v>
      </c>
      <c r="B1723" s="129" t="s">
        <v>2153</v>
      </c>
    </row>
    <row r="1724" spans="1:2">
      <c r="A1724" s="129" t="s">
        <v>2338</v>
      </c>
      <c r="B1724" s="129" t="s">
        <v>3007</v>
      </c>
    </row>
    <row r="1725" spans="1:2">
      <c r="A1725" s="129" t="s">
        <v>2338</v>
      </c>
      <c r="B1725" s="129" t="s">
        <v>2155</v>
      </c>
    </row>
    <row r="1726" spans="1:2">
      <c r="A1726" s="129" t="s">
        <v>297</v>
      </c>
      <c r="B1726" s="129" t="s">
        <v>3005</v>
      </c>
    </row>
    <row r="1727" spans="1:2">
      <c r="A1727" s="129" t="s">
        <v>701</v>
      </c>
      <c r="B1727" s="129" t="s">
        <v>3005</v>
      </c>
    </row>
    <row r="1728" spans="1:2">
      <c r="A1728" s="129" t="s">
        <v>1395</v>
      </c>
      <c r="B1728" s="129" t="s">
        <v>2410</v>
      </c>
    </row>
    <row r="1729" spans="1:2">
      <c r="A1729" s="129" t="s">
        <v>1308</v>
      </c>
      <c r="B1729" s="129" t="s">
        <v>2159</v>
      </c>
    </row>
    <row r="1730" spans="1:2">
      <c r="A1730" s="129" t="s">
        <v>2435</v>
      </c>
      <c r="B1730" s="129" t="s">
        <v>2410</v>
      </c>
    </row>
    <row r="1731" spans="1:2">
      <c r="A1731" s="129" t="s">
        <v>82</v>
      </c>
      <c r="B1731" s="129" t="s">
        <v>2155</v>
      </c>
    </row>
    <row r="1732" spans="1:2">
      <c r="A1732" s="129" t="s">
        <v>82</v>
      </c>
      <c r="B1732" s="129" t="s">
        <v>2153</v>
      </c>
    </row>
    <row r="1733" spans="1:2">
      <c r="A1733" s="129" t="s">
        <v>2346</v>
      </c>
      <c r="B1733" s="129" t="s">
        <v>2159</v>
      </c>
    </row>
    <row r="1734" spans="1:2">
      <c r="A1734" s="129" t="s">
        <v>643</v>
      </c>
      <c r="B1734" s="129" t="s">
        <v>3005</v>
      </c>
    </row>
    <row r="1735" spans="1:2">
      <c r="A1735" s="129" t="s">
        <v>913</v>
      </c>
      <c r="B1735" s="129" t="s">
        <v>3005</v>
      </c>
    </row>
    <row r="1736" spans="1:2">
      <c r="A1736" s="129" t="s">
        <v>1832</v>
      </c>
      <c r="B1736" s="129" t="s">
        <v>2417</v>
      </c>
    </row>
    <row r="1737" spans="1:2">
      <c r="A1737" s="129" t="s">
        <v>3342</v>
      </c>
      <c r="B1737" s="129" t="s">
        <v>2159</v>
      </c>
    </row>
    <row r="1738" spans="1:2">
      <c r="A1738" s="129" t="s">
        <v>971</v>
      </c>
      <c r="B1738" s="129" t="s">
        <v>3005</v>
      </c>
    </row>
    <row r="1739" spans="1:2">
      <c r="A1739" s="129" t="s">
        <v>1137</v>
      </c>
      <c r="B1739" s="129" t="s">
        <v>3005</v>
      </c>
    </row>
    <row r="1740" spans="1:2">
      <c r="A1740" s="129" t="s">
        <v>989</v>
      </c>
      <c r="B1740" s="129" t="s">
        <v>2410</v>
      </c>
    </row>
    <row r="1741" spans="1:2">
      <c r="A1741" s="129" t="s">
        <v>895</v>
      </c>
      <c r="B1741" s="129" t="s">
        <v>2410</v>
      </c>
    </row>
    <row r="1742" spans="1:2">
      <c r="A1742" s="129" t="s">
        <v>1504</v>
      </c>
      <c r="B1742" s="129" t="s">
        <v>2410</v>
      </c>
    </row>
    <row r="1743" spans="1:2">
      <c r="A1743" s="129" t="s">
        <v>152</v>
      </c>
      <c r="B1743" s="129" t="s">
        <v>3005</v>
      </c>
    </row>
    <row r="1744" spans="1:2">
      <c r="A1744" s="129" t="s">
        <v>3343</v>
      </c>
      <c r="B1744" s="129" t="s">
        <v>2410</v>
      </c>
    </row>
    <row r="1745" spans="1:2">
      <c r="A1745" s="129" t="s">
        <v>3343</v>
      </c>
      <c r="B1745" s="129" t="s">
        <v>2159</v>
      </c>
    </row>
    <row r="1746" spans="1:2">
      <c r="A1746" s="129" t="s">
        <v>3343</v>
      </c>
      <c r="B1746" s="129" t="s">
        <v>3008</v>
      </c>
    </row>
    <row r="1747" spans="1:2">
      <c r="A1747" s="129" t="s">
        <v>3343</v>
      </c>
      <c r="B1747" s="129" t="s">
        <v>2157</v>
      </c>
    </row>
    <row r="1748" spans="1:2">
      <c r="A1748" s="129" t="s">
        <v>1712</v>
      </c>
      <c r="B1748" s="129" t="s">
        <v>2159</v>
      </c>
    </row>
    <row r="1749" spans="1:2">
      <c r="A1749" s="129" t="s">
        <v>1712</v>
      </c>
      <c r="B1749" s="129" t="s">
        <v>2410</v>
      </c>
    </row>
    <row r="1750" spans="1:2">
      <c r="A1750" s="129" t="s">
        <v>2106</v>
      </c>
      <c r="B1750" s="129" t="s">
        <v>2410</v>
      </c>
    </row>
    <row r="1751" spans="1:2">
      <c r="A1751" s="129" t="s">
        <v>2285</v>
      </c>
      <c r="B1751" s="129" t="s">
        <v>2153</v>
      </c>
    </row>
    <row r="1752" spans="1:2">
      <c r="A1752" s="129" t="s">
        <v>862</v>
      </c>
      <c r="B1752" s="129" t="s">
        <v>2410</v>
      </c>
    </row>
    <row r="1753" spans="1:2">
      <c r="A1753" s="129" t="s">
        <v>1479</v>
      </c>
      <c r="B1753" s="129" t="s">
        <v>2159</v>
      </c>
    </row>
    <row r="1754" spans="1:2">
      <c r="A1754" s="129" t="s">
        <v>1891</v>
      </c>
      <c r="B1754" s="129" t="s">
        <v>2159</v>
      </c>
    </row>
    <row r="1755" spans="1:2">
      <c r="A1755" s="129" t="s">
        <v>1489</v>
      </c>
      <c r="B1755" s="129" t="s">
        <v>2159</v>
      </c>
    </row>
    <row r="1756" spans="1:2">
      <c r="A1756" s="129" t="s">
        <v>3344</v>
      </c>
      <c r="B1756" s="129" t="s">
        <v>2159</v>
      </c>
    </row>
    <row r="1757" spans="1:2">
      <c r="A1757" s="129" t="s">
        <v>1556</v>
      </c>
      <c r="B1757" s="129" t="s">
        <v>2159</v>
      </c>
    </row>
    <row r="1758" spans="1:2">
      <c r="A1758" s="129" t="s">
        <v>1945</v>
      </c>
      <c r="B1758" s="129" t="s">
        <v>3008</v>
      </c>
    </row>
    <row r="1759" spans="1:2">
      <c r="A1759" s="129" t="s">
        <v>360</v>
      </c>
      <c r="B1759" s="129" t="s">
        <v>3005</v>
      </c>
    </row>
    <row r="1760" spans="1:2">
      <c r="A1760" s="129" t="s">
        <v>2294</v>
      </c>
      <c r="B1760" s="129" t="s">
        <v>3005</v>
      </c>
    </row>
    <row r="1761" spans="1:2">
      <c r="A1761" s="129" t="s">
        <v>2294</v>
      </c>
      <c r="B1761" s="129" t="s">
        <v>2153</v>
      </c>
    </row>
    <row r="1762" spans="1:2">
      <c r="A1762" s="129" t="s">
        <v>2413</v>
      </c>
      <c r="B1762" s="129" t="s">
        <v>2159</v>
      </c>
    </row>
    <row r="1763" spans="1:2">
      <c r="A1763" s="129" t="s">
        <v>253</v>
      </c>
      <c r="B1763" s="129" t="s">
        <v>3005</v>
      </c>
    </row>
    <row r="1764" spans="1:2">
      <c r="A1764" s="129" t="s">
        <v>3345</v>
      </c>
      <c r="B1764" s="129" t="s">
        <v>2153</v>
      </c>
    </row>
    <row r="1765" spans="1:2">
      <c r="A1765" s="129" t="s">
        <v>122</v>
      </c>
      <c r="B1765" s="129" t="s">
        <v>3005</v>
      </c>
    </row>
    <row r="1766" spans="1:2">
      <c r="A1766" s="129" t="s">
        <v>122</v>
      </c>
      <c r="B1766" s="129" t="s">
        <v>2155</v>
      </c>
    </row>
    <row r="1767" spans="1:2">
      <c r="A1767" s="129" t="s">
        <v>122</v>
      </c>
      <c r="B1767" s="129" t="s">
        <v>2153</v>
      </c>
    </row>
    <row r="1768" spans="1:2">
      <c r="A1768" s="129" t="s">
        <v>122</v>
      </c>
      <c r="B1768" s="129" t="s">
        <v>3007</v>
      </c>
    </row>
    <row r="1769" spans="1:2">
      <c r="A1769" s="129" t="s">
        <v>1457</v>
      </c>
      <c r="B1769" s="129" t="s">
        <v>2159</v>
      </c>
    </row>
    <row r="1770" spans="1:2">
      <c r="A1770" s="129" t="s">
        <v>1266</v>
      </c>
      <c r="B1770" s="129" t="s">
        <v>2159</v>
      </c>
    </row>
    <row r="1771" spans="1:2">
      <c r="A1771" s="129" t="s">
        <v>1665</v>
      </c>
      <c r="B1771" s="129" t="s">
        <v>2159</v>
      </c>
    </row>
    <row r="1772" spans="1:2">
      <c r="A1772" s="129" t="s">
        <v>1955</v>
      </c>
      <c r="B1772" s="129" t="s">
        <v>2410</v>
      </c>
    </row>
    <row r="1773" spans="1:2">
      <c r="A1773" s="129" t="s">
        <v>1284</v>
      </c>
      <c r="B1773" s="129" t="s">
        <v>2159</v>
      </c>
    </row>
    <row r="1774" spans="1:2">
      <c r="A1774" s="129" t="s">
        <v>3346</v>
      </c>
      <c r="B1774" s="129" t="s">
        <v>2155</v>
      </c>
    </row>
    <row r="1775" spans="1:2">
      <c r="A1775" s="129" t="s">
        <v>3346</v>
      </c>
      <c r="B1775" s="129" t="s">
        <v>3007</v>
      </c>
    </row>
    <row r="1776" spans="1:2">
      <c r="A1776" s="129" t="s">
        <v>1963</v>
      </c>
      <c r="B1776" s="129" t="s">
        <v>2159</v>
      </c>
    </row>
    <row r="1777" spans="1:2">
      <c r="A1777" s="129" t="s">
        <v>1452</v>
      </c>
      <c r="B1777" s="129" t="s">
        <v>3008</v>
      </c>
    </row>
    <row r="1778" spans="1:2">
      <c r="A1778" s="129" t="s">
        <v>1452</v>
      </c>
      <c r="B1778" s="129" t="s">
        <v>3005</v>
      </c>
    </row>
    <row r="1779" spans="1:2">
      <c r="A1779" s="129" t="s">
        <v>1452</v>
      </c>
      <c r="B1779" s="129" t="s">
        <v>2153</v>
      </c>
    </row>
    <row r="1780" spans="1:2">
      <c r="A1780" s="129" t="s">
        <v>1452</v>
      </c>
      <c r="B1780" s="129" t="s">
        <v>2157</v>
      </c>
    </row>
    <row r="1781" spans="1:2">
      <c r="A1781" s="129" t="s">
        <v>1475</v>
      </c>
      <c r="B1781" s="129" t="s">
        <v>2410</v>
      </c>
    </row>
    <row r="1782" spans="1:2">
      <c r="A1782" s="129" t="s">
        <v>400</v>
      </c>
      <c r="B1782" s="129" t="s">
        <v>3005</v>
      </c>
    </row>
    <row r="1783" spans="1:2">
      <c r="A1783" s="129" t="s">
        <v>507</v>
      </c>
      <c r="B1783" s="129" t="s">
        <v>3005</v>
      </c>
    </row>
    <row r="1784" spans="1:2">
      <c r="A1784" s="129" t="s">
        <v>507</v>
      </c>
      <c r="B1784" s="129" t="s">
        <v>2153</v>
      </c>
    </row>
    <row r="1785" spans="1:2">
      <c r="A1785" s="129" t="s">
        <v>1432</v>
      </c>
      <c r="B1785" s="129" t="s">
        <v>2159</v>
      </c>
    </row>
    <row r="1786" spans="1:2">
      <c r="A1786" s="129" t="s">
        <v>1432</v>
      </c>
      <c r="B1786" s="129" t="s">
        <v>2410</v>
      </c>
    </row>
    <row r="1787" spans="1:2">
      <c r="A1787" s="129" t="s">
        <v>2071</v>
      </c>
      <c r="B1787" s="129" t="s">
        <v>2410</v>
      </c>
    </row>
    <row r="1788" spans="1:2">
      <c r="A1788" s="129" t="s">
        <v>1269</v>
      </c>
      <c r="B1788" s="129" t="s">
        <v>2410</v>
      </c>
    </row>
    <row r="1789" spans="1:2">
      <c r="A1789" s="129" t="s">
        <v>1812</v>
      </c>
      <c r="B1789" s="129" t="s">
        <v>2410</v>
      </c>
    </row>
    <row r="1790" spans="1:2">
      <c r="A1790" s="129" t="s">
        <v>1812</v>
      </c>
      <c r="B1790" s="129" t="s">
        <v>2159</v>
      </c>
    </row>
    <row r="1791" spans="1:2">
      <c r="A1791" s="129" t="s">
        <v>3347</v>
      </c>
      <c r="B1791" s="129" t="s">
        <v>2410</v>
      </c>
    </row>
    <row r="1792" spans="1:2">
      <c r="A1792" s="129" t="s">
        <v>3347</v>
      </c>
      <c r="B1792" s="129" t="s">
        <v>2159</v>
      </c>
    </row>
    <row r="1793" spans="1:2">
      <c r="A1793" s="129" t="s">
        <v>3348</v>
      </c>
      <c r="B1793" s="129" t="s">
        <v>2159</v>
      </c>
    </row>
    <row r="1794" spans="1:2">
      <c r="A1794" s="129" t="s">
        <v>2245</v>
      </c>
      <c r="B1794" s="129" t="s">
        <v>2153</v>
      </c>
    </row>
    <row r="1795" spans="1:2">
      <c r="A1795" s="129" t="s">
        <v>2245</v>
      </c>
      <c r="B1795" s="129" t="s">
        <v>3005</v>
      </c>
    </row>
    <row r="1796" spans="1:2">
      <c r="A1796" s="129" t="s">
        <v>1608</v>
      </c>
      <c r="B1796" s="129" t="s">
        <v>2159</v>
      </c>
    </row>
    <row r="1797" spans="1:2">
      <c r="A1797" s="129" t="s">
        <v>2491</v>
      </c>
      <c r="B1797" s="129" t="s">
        <v>2153</v>
      </c>
    </row>
    <row r="1798" spans="1:2">
      <c r="A1798" s="129" t="s">
        <v>1969</v>
      </c>
      <c r="B1798" s="129" t="s">
        <v>3008</v>
      </c>
    </row>
    <row r="1799" spans="1:2">
      <c r="A1799" s="129" t="s">
        <v>1969</v>
      </c>
      <c r="B1799" s="129" t="s">
        <v>2157</v>
      </c>
    </row>
    <row r="1800" spans="1:2">
      <c r="A1800" s="129" t="s">
        <v>641</v>
      </c>
      <c r="B1800" s="129" t="s">
        <v>3005</v>
      </c>
    </row>
    <row r="1801" spans="1:2">
      <c r="A1801" s="129" t="s">
        <v>1332</v>
      </c>
      <c r="B1801" s="129" t="s">
        <v>2410</v>
      </c>
    </row>
    <row r="1802" spans="1:2">
      <c r="A1802" s="129" t="s">
        <v>1332</v>
      </c>
      <c r="B1802" s="129" t="s">
        <v>2159</v>
      </c>
    </row>
    <row r="1803" spans="1:2">
      <c r="A1803" s="129" t="s">
        <v>645</v>
      </c>
      <c r="B1803" s="129" t="s">
        <v>3005</v>
      </c>
    </row>
    <row r="1804" spans="1:2">
      <c r="A1804" s="129" t="s">
        <v>1085</v>
      </c>
      <c r="B1804" s="129" t="s">
        <v>2159</v>
      </c>
    </row>
    <row r="1805" spans="1:2">
      <c r="A1805" s="129" t="s">
        <v>1085</v>
      </c>
      <c r="B1805" s="129" t="s">
        <v>2410</v>
      </c>
    </row>
    <row r="1806" spans="1:2">
      <c r="A1806" s="129" t="s">
        <v>3349</v>
      </c>
      <c r="B1806" s="129" t="s">
        <v>3007</v>
      </c>
    </row>
    <row r="1807" spans="1:2">
      <c r="A1807" s="129" t="s">
        <v>780</v>
      </c>
      <c r="B1807" s="129" t="s">
        <v>3008</v>
      </c>
    </row>
    <row r="1808" spans="1:2">
      <c r="A1808" s="129" t="s">
        <v>1291</v>
      </c>
      <c r="B1808" s="129" t="s">
        <v>2410</v>
      </c>
    </row>
    <row r="1809" spans="1:2">
      <c r="A1809" s="129" t="s">
        <v>2438</v>
      </c>
      <c r="B1809" s="129" t="s">
        <v>2153</v>
      </c>
    </row>
    <row r="1810" spans="1:2">
      <c r="A1810" s="129" t="s">
        <v>160</v>
      </c>
      <c r="B1810" s="129" t="s">
        <v>3007</v>
      </c>
    </row>
    <row r="1811" spans="1:2">
      <c r="A1811" s="129" t="s">
        <v>3350</v>
      </c>
      <c r="B1811" s="129" t="s">
        <v>2155</v>
      </c>
    </row>
    <row r="1812" spans="1:2">
      <c r="A1812" s="129" t="s">
        <v>505</v>
      </c>
      <c r="B1812" s="129" t="s">
        <v>3005</v>
      </c>
    </row>
    <row r="1813" spans="1:2">
      <c r="A1813" s="129" t="s">
        <v>505</v>
      </c>
      <c r="B1813" s="129" t="s">
        <v>2153</v>
      </c>
    </row>
    <row r="1814" spans="1:2">
      <c r="A1814" s="129" t="s">
        <v>1493</v>
      </c>
      <c r="B1814" s="129" t="s">
        <v>2159</v>
      </c>
    </row>
    <row r="1815" spans="1:2">
      <c r="A1815" s="129" t="s">
        <v>3351</v>
      </c>
      <c r="B1815" s="129" t="s">
        <v>2159</v>
      </c>
    </row>
    <row r="1816" spans="1:2">
      <c r="A1816" s="129" t="s">
        <v>3352</v>
      </c>
      <c r="B1816" s="129" t="s">
        <v>2159</v>
      </c>
    </row>
    <row r="1817" spans="1:2">
      <c r="A1817" s="129" t="s">
        <v>963</v>
      </c>
      <c r="B1817" s="129" t="s">
        <v>3005</v>
      </c>
    </row>
    <row r="1818" spans="1:2">
      <c r="A1818" s="129" t="s">
        <v>2123</v>
      </c>
      <c r="B1818" s="129" t="s">
        <v>2410</v>
      </c>
    </row>
    <row r="1819" spans="1:2">
      <c r="A1819" s="129" t="s">
        <v>3353</v>
      </c>
      <c r="B1819" s="129" t="s">
        <v>2153</v>
      </c>
    </row>
    <row r="1820" spans="1:2">
      <c r="A1820" s="129" t="s">
        <v>3354</v>
      </c>
      <c r="B1820" s="129" t="s">
        <v>2159</v>
      </c>
    </row>
    <row r="1821" spans="1:2">
      <c r="A1821" s="129" t="s">
        <v>2532</v>
      </c>
      <c r="B1821" s="129" t="s">
        <v>2159</v>
      </c>
    </row>
    <row r="1822" spans="1:2">
      <c r="A1822" s="129" t="s">
        <v>2479</v>
      </c>
      <c r="B1822" s="129" t="s">
        <v>2159</v>
      </c>
    </row>
    <row r="1823" spans="1:2">
      <c r="A1823" s="129" t="s">
        <v>1261</v>
      </c>
      <c r="B1823" s="129" t="s">
        <v>2157</v>
      </c>
    </row>
    <row r="1824" spans="1:2">
      <c r="A1824" s="129" t="s">
        <v>1261</v>
      </c>
      <c r="B1824" s="129" t="s">
        <v>2410</v>
      </c>
    </row>
    <row r="1825" spans="1:2">
      <c r="A1825" s="129" t="s">
        <v>1261</v>
      </c>
      <c r="B1825" s="129" t="s">
        <v>2159</v>
      </c>
    </row>
    <row r="1826" spans="1:2">
      <c r="A1826" s="129" t="s">
        <v>3355</v>
      </c>
      <c r="B1826" s="129" t="s">
        <v>2155</v>
      </c>
    </row>
    <row r="1827" spans="1:2">
      <c r="A1827" s="129" t="s">
        <v>3356</v>
      </c>
      <c r="B1827" s="129" t="s">
        <v>2155</v>
      </c>
    </row>
    <row r="1828" spans="1:2">
      <c r="A1828" s="129" t="s">
        <v>3357</v>
      </c>
      <c r="B1828" s="129" t="s">
        <v>2159</v>
      </c>
    </row>
    <row r="1829" spans="1:2">
      <c r="A1829" s="129" t="s">
        <v>3358</v>
      </c>
      <c r="B1829" s="129" t="s">
        <v>2159</v>
      </c>
    </row>
    <row r="1830" spans="1:2">
      <c r="A1830" s="129" t="s">
        <v>1874</v>
      </c>
      <c r="B1830" s="129" t="s">
        <v>2159</v>
      </c>
    </row>
    <row r="1831" spans="1:2">
      <c r="A1831" s="129" t="s">
        <v>2192</v>
      </c>
      <c r="B1831" s="129" t="s">
        <v>3005</v>
      </c>
    </row>
    <row r="1832" spans="1:2">
      <c r="A1832" s="129" t="s">
        <v>2171</v>
      </c>
      <c r="B1832" s="129" t="s">
        <v>2159</v>
      </c>
    </row>
    <row r="1833" spans="1:2">
      <c r="A1833" s="129" t="s">
        <v>1947</v>
      </c>
      <c r="B1833" s="129" t="s">
        <v>3008</v>
      </c>
    </row>
    <row r="1834" spans="1:2">
      <c r="A1834" s="129" t="s">
        <v>3359</v>
      </c>
      <c r="B1834" s="129" t="s">
        <v>2410</v>
      </c>
    </row>
    <row r="1835" spans="1:2">
      <c r="A1835" s="129" t="s">
        <v>379</v>
      </c>
      <c r="B1835" s="129" t="s">
        <v>2153</v>
      </c>
    </row>
    <row r="1836" spans="1:2">
      <c r="A1836" s="129" t="s">
        <v>379</v>
      </c>
      <c r="B1836" s="129" t="s">
        <v>3005</v>
      </c>
    </row>
    <row r="1837" spans="1:2">
      <c r="A1837" s="129" t="s">
        <v>903</v>
      </c>
      <c r="B1837" s="129" t="s">
        <v>2410</v>
      </c>
    </row>
    <row r="1838" spans="1:2">
      <c r="A1838" s="129" t="s">
        <v>2391</v>
      </c>
      <c r="B1838" s="129" t="s">
        <v>2153</v>
      </c>
    </row>
    <row r="1839" spans="1:2">
      <c r="A1839" s="129" t="s">
        <v>472</v>
      </c>
      <c r="B1839" s="129" t="s">
        <v>3005</v>
      </c>
    </row>
    <row r="1840" spans="1:2">
      <c r="A1840" s="129" t="s">
        <v>1984</v>
      </c>
      <c r="B1840" s="129" t="s">
        <v>2159</v>
      </c>
    </row>
    <row r="1841" spans="1:2">
      <c r="A1841" s="129" t="s">
        <v>1429</v>
      </c>
      <c r="B1841" s="129" t="s">
        <v>2159</v>
      </c>
    </row>
    <row r="1842" spans="1:2">
      <c r="A1842" s="129" t="s">
        <v>3360</v>
      </c>
      <c r="B1842" s="129" t="s">
        <v>2410</v>
      </c>
    </row>
    <row r="1843" spans="1:2">
      <c r="A1843" s="129" t="s">
        <v>3360</v>
      </c>
      <c r="B1843" s="129" t="s">
        <v>2159</v>
      </c>
    </row>
    <row r="1844" spans="1:2">
      <c r="A1844" s="129" t="s">
        <v>1628</v>
      </c>
      <c r="B1844" s="129" t="s">
        <v>2159</v>
      </c>
    </row>
    <row r="1845" spans="1:2">
      <c r="A1845" s="129" t="s">
        <v>1630</v>
      </c>
      <c r="B1845" s="129" t="s">
        <v>2159</v>
      </c>
    </row>
    <row r="1846" spans="1:2">
      <c r="A1846" s="129" t="s">
        <v>1629</v>
      </c>
      <c r="B1846" s="129" t="s">
        <v>2159</v>
      </c>
    </row>
    <row r="1847" spans="1:2">
      <c r="A1847" s="129" t="s">
        <v>2069</v>
      </c>
      <c r="B1847" s="129" t="s">
        <v>2159</v>
      </c>
    </row>
    <row r="1848" spans="1:2">
      <c r="A1848" s="129" t="s">
        <v>1594</v>
      </c>
      <c r="B1848" s="129" t="s">
        <v>2159</v>
      </c>
    </row>
    <row r="1849" spans="1:2">
      <c r="A1849" s="129" t="s">
        <v>1593</v>
      </c>
      <c r="B1849" s="129" t="s">
        <v>2159</v>
      </c>
    </row>
    <row r="1850" spans="1:2">
      <c r="A1850" s="129" t="s">
        <v>1759</v>
      </c>
      <c r="B1850" s="129" t="s">
        <v>3008</v>
      </c>
    </row>
    <row r="1851" spans="1:2">
      <c r="A1851" s="129" t="s">
        <v>1759</v>
      </c>
      <c r="B1851" s="129" t="s">
        <v>2157</v>
      </c>
    </row>
    <row r="1852" spans="1:2">
      <c r="A1852" s="129" t="s">
        <v>1254</v>
      </c>
      <c r="B1852" s="129" t="s">
        <v>2159</v>
      </c>
    </row>
    <row r="1853" spans="1:2">
      <c r="A1853" s="129" t="s">
        <v>1258</v>
      </c>
      <c r="B1853" s="129" t="s">
        <v>2159</v>
      </c>
    </row>
    <row r="1854" spans="1:2">
      <c r="A1854" s="129" t="s">
        <v>2263</v>
      </c>
      <c r="B1854" s="129" t="s">
        <v>2155</v>
      </c>
    </row>
    <row r="1855" spans="1:2">
      <c r="A1855" s="129" t="s">
        <v>2263</v>
      </c>
      <c r="B1855" s="129" t="s">
        <v>3007</v>
      </c>
    </row>
    <row r="1856" spans="1:2">
      <c r="A1856" s="129" t="s">
        <v>1986</v>
      </c>
      <c r="B1856" s="129" t="s">
        <v>3008</v>
      </c>
    </row>
    <row r="1857" spans="1:2">
      <c r="A1857" s="129" t="s">
        <v>1636</v>
      </c>
      <c r="B1857" s="129" t="s">
        <v>2159</v>
      </c>
    </row>
    <row r="1858" spans="1:2">
      <c r="A1858" s="129" t="s">
        <v>1622</v>
      </c>
      <c r="B1858" s="129" t="s">
        <v>2159</v>
      </c>
    </row>
    <row r="1859" spans="1:2">
      <c r="A1859" s="129" t="s">
        <v>3361</v>
      </c>
      <c r="B1859" s="129" t="s">
        <v>3005</v>
      </c>
    </row>
    <row r="1860" spans="1:2">
      <c r="A1860" s="129" t="s">
        <v>3362</v>
      </c>
      <c r="B1860" s="129" t="s">
        <v>2410</v>
      </c>
    </row>
    <row r="1861" spans="1:2">
      <c r="A1861" s="129" t="s">
        <v>3362</v>
      </c>
      <c r="B1861" s="129" t="s">
        <v>2159</v>
      </c>
    </row>
    <row r="1862" spans="1:2">
      <c r="A1862" s="129" t="s">
        <v>1494</v>
      </c>
      <c r="B1862" s="129" t="s">
        <v>2158</v>
      </c>
    </row>
    <row r="1863" spans="1:2">
      <c r="A1863" s="129" t="s">
        <v>167</v>
      </c>
      <c r="B1863" s="129" t="s">
        <v>3007</v>
      </c>
    </row>
    <row r="1864" spans="1:2">
      <c r="A1864" s="129" t="s">
        <v>119</v>
      </c>
      <c r="B1864" s="129" t="s">
        <v>3007</v>
      </c>
    </row>
    <row r="1865" spans="1:2">
      <c r="A1865" s="129" t="s">
        <v>2459</v>
      </c>
      <c r="B1865" s="129" t="s">
        <v>2159</v>
      </c>
    </row>
    <row r="1866" spans="1:2">
      <c r="A1866" s="129" t="s">
        <v>2224</v>
      </c>
      <c r="B1866" s="129" t="s">
        <v>2159</v>
      </c>
    </row>
    <row r="1867" spans="1:2">
      <c r="A1867" s="129" t="s">
        <v>2597</v>
      </c>
      <c r="B1867" s="129" t="s">
        <v>2159</v>
      </c>
    </row>
    <row r="1868" spans="1:2">
      <c r="A1868" s="129" t="s">
        <v>1926</v>
      </c>
      <c r="B1868" s="129" t="s">
        <v>2410</v>
      </c>
    </row>
    <row r="1869" spans="1:2">
      <c r="A1869" s="129" t="s">
        <v>3363</v>
      </c>
      <c r="B1869" s="129" t="s">
        <v>2159</v>
      </c>
    </row>
    <row r="1870" spans="1:2">
      <c r="A1870" s="129" t="s">
        <v>3364</v>
      </c>
      <c r="B1870" s="129" t="s">
        <v>2153</v>
      </c>
    </row>
    <row r="1871" spans="1:2">
      <c r="A1871" s="129" t="s">
        <v>2040</v>
      </c>
      <c r="B1871" s="129" t="s">
        <v>2153</v>
      </c>
    </row>
    <row r="1872" spans="1:2">
      <c r="A1872" s="129" t="s">
        <v>2181</v>
      </c>
      <c r="B1872" s="129" t="s">
        <v>2153</v>
      </c>
    </row>
    <row r="1873" spans="1:2">
      <c r="A1873" s="129" t="s">
        <v>2181</v>
      </c>
      <c r="B1873" s="129" t="s">
        <v>3005</v>
      </c>
    </row>
    <row r="1874" spans="1:2">
      <c r="A1874" s="129" t="s">
        <v>2121</v>
      </c>
      <c r="B1874" s="129" t="s">
        <v>3008</v>
      </c>
    </row>
    <row r="1875" spans="1:2">
      <c r="A1875" s="129" t="s">
        <v>2293</v>
      </c>
      <c r="B1875" s="129" t="s">
        <v>2153</v>
      </c>
    </row>
    <row r="1876" spans="1:2">
      <c r="A1876" s="129" t="s">
        <v>2293</v>
      </c>
      <c r="B1876" s="129" t="s">
        <v>3005</v>
      </c>
    </row>
    <row r="1877" spans="1:2">
      <c r="A1877" s="129" t="s">
        <v>308</v>
      </c>
      <c r="B1877" s="129" t="s">
        <v>3005</v>
      </c>
    </row>
    <row r="1878" spans="1:2">
      <c r="A1878" s="129" t="s">
        <v>308</v>
      </c>
      <c r="B1878" s="129" t="s">
        <v>2153</v>
      </c>
    </row>
    <row r="1879" spans="1:2">
      <c r="A1879" s="129" t="s">
        <v>83</v>
      </c>
      <c r="B1879" s="129" t="s">
        <v>2153</v>
      </c>
    </row>
    <row r="1880" spans="1:2">
      <c r="A1880" s="129" t="s">
        <v>1459</v>
      </c>
      <c r="B1880" s="129" t="s">
        <v>2410</v>
      </c>
    </row>
    <row r="1881" spans="1:2">
      <c r="A1881" s="129" t="s">
        <v>1459</v>
      </c>
      <c r="B1881" s="129" t="s">
        <v>2159</v>
      </c>
    </row>
    <row r="1882" spans="1:2">
      <c r="A1882" s="129" t="s">
        <v>1328</v>
      </c>
      <c r="B1882" s="129" t="s">
        <v>2410</v>
      </c>
    </row>
    <row r="1883" spans="1:2">
      <c r="A1883" s="129" t="s">
        <v>1328</v>
      </c>
      <c r="B1883" s="129" t="s">
        <v>2159</v>
      </c>
    </row>
    <row r="1884" spans="1:2">
      <c r="A1884" s="129" t="s">
        <v>2599</v>
      </c>
      <c r="B1884" s="129" t="s">
        <v>2155</v>
      </c>
    </row>
    <row r="1885" spans="1:2">
      <c r="A1885" s="129" t="s">
        <v>2210</v>
      </c>
      <c r="B1885" s="129" t="s">
        <v>3007</v>
      </c>
    </row>
    <row r="1886" spans="1:2">
      <c r="A1886" s="129" t="s">
        <v>2210</v>
      </c>
      <c r="B1886" s="129" t="s">
        <v>2155</v>
      </c>
    </row>
    <row r="1887" spans="1:2">
      <c r="A1887" s="129" t="s">
        <v>1454</v>
      </c>
      <c r="B1887" s="129" t="s">
        <v>2157</v>
      </c>
    </row>
    <row r="1888" spans="1:2">
      <c r="A1888" s="129" t="s">
        <v>1454</v>
      </c>
      <c r="B1888" s="129" t="s">
        <v>3008</v>
      </c>
    </row>
    <row r="1889" spans="1:2">
      <c r="A1889" s="129" t="s">
        <v>2576</v>
      </c>
      <c r="B1889" s="129" t="s">
        <v>3086</v>
      </c>
    </row>
    <row r="1890" spans="1:2">
      <c r="A1890" s="129" t="s">
        <v>2297</v>
      </c>
      <c r="B1890" s="129" t="s">
        <v>3007</v>
      </c>
    </row>
    <row r="1891" spans="1:2">
      <c r="A1891" s="129" t="s">
        <v>2345</v>
      </c>
      <c r="B1891" s="129" t="s">
        <v>3007</v>
      </c>
    </row>
    <row r="1892" spans="1:2">
      <c r="A1892" s="129" t="s">
        <v>1840</v>
      </c>
      <c r="B1892" s="129" t="s">
        <v>2159</v>
      </c>
    </row>
    <row r="1893" spans="1:2">
      <c r="A1893" s="129" t="s">
        <v>778</v>
      </c>
      <c r="B1893" s="129" t="s">
        <v>2410</v>
      </c>
    </row>
    <row r="1894" spans="1:2">
      <c r="A1894" s="129" t="s">
        <v>525</v>
      </c>
      <c r="B1894" s="129" t="s">
        <v>3005</v>
      </c>
    </row>
    <row r="1895" spans="1:2">
      <c r="A1895" s="129" t="s">
        <v>1029</v>
      </c>
      <c r="B1895" s="129" t="s">
        <v>2410</v>
      </c>
    </row>
    <row r="1896" spans="1:2">
      <c r="A1896" s="129" t="s">
        <v>663</v>
      </c>
      <c r="B1896" s="129" t="s">
        <v>3005</v>
      </c>
    </row>
    <row r="1897" spans="1:2">
      <c r="A1897" s="129" t="s">
        <v>84</v>
      </c>
      <c r="B1897" s="129" t="s">
        <v>3005</v>
      </c>
    </row>
    <row r="1898" spans="1:2">
      <c r="A1898" s="129" t="s">
        <v>84</v>
      </c>
      <c r="B1898" s="129" t="s">
        <v>2153</v>
      </c>
    </row>
    <row r="1899" spans="1:2">
      <c r="A1899" s="129" t="s">
        <v>194</v>
      </c>
      <c r="B1899" s="129" t="s">
        <v>3005</v>
      </c>
    </row>
    <row r="1900" spans="1:2">
      <c r="A1900" s="129" t="s">
        <v>2104</v>
      </c>
      <c r="B1900" s="129" t="s">
        <v>2410</v>
      </c>
    </row>
    <row r="1901" spans="1:2">
      <c r="A1901" s="129" t="s">
        <v>1327</v>
      </c>
      <c r="B1901" s="129" t="s">
        <v>2410</v>
      </c>
    </row>
    <row r="1902" spans="1:2">
      <c r="A1902" s="129" t="s">
        <v>1327</v>
      </c>
      <c r="B1902" s="129" t="s">
        <v>2159</v>
      </c>
    </row>
    <row r="1903" spans="1:2">
      <c r="A1903" s="129" t="s">
        <v>2445</v>
      </c>
      <c r="B1903" s="129" t="s">
        <v>2410</v>
      </c>
    </row>
    <row r="1904" spans="1:2">
      <c r="A1904" s="129" t="s">
        <v>2445</v>
      </c>
      <c r="B1904" s="129" t="s">
        <v>2159</v>
      </c>
    </row>
    <row r="1905" spans="1:2">
      <c r="A1905" s="129" t="s">
        <v>1683</v>
      </c>
      <c r="B1905" s="129" t="s">
        <v>3008</v>
      </c>
    </row>
    <row r="1906" spans="1:2">
      <c r="A1906" s="129" t="s">
        <v>2271</v>
      </c>
      <c r="B1906" s="129" t="s">
        <v>2159</v>
      </c>
    </row>
    <row r="1907" spans="1:2">
      <c r="A1907" s="129" t="s">
        <v>2271</v>
      </c>
      <c r="B1907" s="129" t="s">
        <v>2410</v>
      </c>
    </row>
    <row r="1908" spans="1:2">
      <c r="A1908" s="129" t="s">
        <v>1877</v>
      </c>
      <c r="B1908" s="129" t="s">
        <v>2410</v>
      </c>
    </row>
    <row r="1909" spans="1:2">
      <c r="A1909" s="129" t="s">
        <v>3365</v>
      </c>
      <c r="B1909" s="129" t="s">
        <v>2153</v>
      </c>
    </row>
    <row r="1910" spans="1:2">
      <c r="A1910" s="129" t="s">
        <v>1870</v>
      </c>
      <c r="B1910" s="129" t="s">
        <v>2410</v>
      </c>
    </row>
    <row r="1911" spans="1:2">
      <c r="A1911" s="129" t="s">
        <v>2051</v>
      </c>
      <c r="B1911" s="129" t="s">
        <v>3005</v>
      </c>
    </row>
    <row r="1912" spans="1:2">
      <c r="A1912" s="129" t="s">
        <v>2051</v>
      </c>
      <c r="B1912" s="129" t="s">
        <v>2153</v>
      </c>
    </row>
    <row r="1913" spans="1:2">
      <c r="A1913" s="129" t="s">
        <v>1814</v>
      </c>
      <c r="B1913" s="129" t="s">
        <v>2417</v>
      </c>
    </row>
    <row r="1914" spans="1:2">
      <c r="A1914" s="129" t="s">
        <v>2503</v>
      </c>
      <c r="B1914" s="129" t="s">
        <v>2153</v>
      </c>
    </row>
    <row r="1915" spans="1:2">
      <c r="A1915" s="129" t="s">
        <v>3366</v>
      </c>
      <c r="B1915" s="129" t="s">
        <v>2155</v>
      </c>
    </row>
    <row r="1916" spans="1:2">
      <c r="A1916" s="129" t="s">
        <v>3366</v>
      </c>
      <c r="B1916" s="129" t="s">
        <v>3007</v>
      </c>
    </row>
    <row r="1917" spans="1:2">
      <c r="A1917" s="129" t="s">
        <v>1500</v>
      </c>
      <c r="B1917" s="129" t="s">
        <v>3008</v>
      </c>
    </row>
    <row r="1918" spans="1:2">
      <c r="A1918" s="129" t="s">
        <v>1500</v>
      </c>
      <c r="B1918" s="129" t="s">
        <v>2157</v>
      </c>
    </row>
    <row r="1919" spans="1:2">
      <c r="A1919" s="129" t="s">
        <v>2368</v>
      </c>
      <c r="B1919" s="129" t="s">
        <v>3005</v>
      </c>
    </row>
    <row r="1920" spans="1:2">
      <c r="A1920" s="129" t="s">
        <v>2368</v>
      </c>
      <c r="B1920" s="129" t="s">
        <v>2153</v>
      </c>
    </row>
    <row r="1921" spans="1:2">
      <c r="A1921" s="129" t="s">
        <v>3367</v>
      </c>
      <c r="B1921" s="129" t="s">
        <v>3008</v>
      </c>
    </row>
    <row r="1922" spans="1:2">
      <c r="A1922" s="129" t="s">
        <v>1588</v>
      </c>
      <c r="B1922" s="129" t="s">
        <v>2159</v>
      </c>
    </row>
    <row r="1923" spans="1:2">
      <c r="A1923" s="129" t="s">
        <v>2351</v>
      </c>
      <c r="B1923" s="129" t="s">
        <v>2153</v>
      </c>
    </row>
    <row r="1924" spans="1:2">
      <c r="A1924" s="129" t="s">
        <v>2351</v>
      </c>
      <c r="B1924" s="129" t="s">
        <v>3005</v>
      </c>
    </row>
    <row r="1925" spans="1:2">
      <c r="A1925" s="129" t="s">
        <v>475</v>
      </c>
      <c r="B1925" s="129" t="s">
        <v>3005</v>
      </c>
    </row>
    <row r="1926" spans="1:2">
      <c r="A1926" s="129" t="s">
        <v>475</v>
      </c>
      <c r="B1926" s="129" t="s">
        <v>2153</v>
      </c>
    </row>
    <row r="1927" spans="1:2">
      <c r="A1927" s="129" t="s">
        <v>3368</v>
      </c>
      <c r="B1927" s="129" t="s">
        <v>2153</v>
      </c>
    </row>
    <row r="1928" spans="1:2">
      <c r="A1928" s="129" t="s">
        <v>941</v>
      </c>
      <c r="B1928" s="129" t="s">
        <v>3005</v>
      </c>
    </row>
    <row r="1929" spans="1:2">
      <c r="A1929" s="129" t="s">
        <v>329</v>
      </c>
      <c r="B1929" s="129" t="s">
        <v>3007</v>
      </c>
    </row>
    <row r="1930" spans="1:2">
      <c r="A1930" s="129" t="s">
        <v>329</v>
      </c>
      <c r="B1930" s="129" t="s">
        <v>2153</v>
      </c>
    </row>
    <row r="1931" spans="1:2">
      <c r="A1931" s="129" t="s">
        <v>329</v>
      </c>
      <c r="B1931" s="129" t="s">
        <v>3005</v>
      </c>
    </row>
    <row r="1932" spans="1:2">
      <c r="A1932" s="129" t="s">
        <v>3369</v>
      </c>
      <c r="B1932" s="129" t="s">
        <v>2153</v>
      </c>
    </row>
    <row r="1933" spans="1:2">
      <c r="A1933" s="129" t="s">
        <v>3369</v>
      </c>
      <c r="B1933" s="129" t="s">
        <v>3005</v>
      </c>
    </row>
    <row r="1934" spans="1:2">
      <c r="A1934" s="129" t="s">
        <v>1359</v>
      </c>
      <c r="B1934" s="129" t="s">
        <v>2410</v>
      </c>
    </row>
    <row r="1935" spans="1:2">
      <c r="A1935" s="129" t="s">
        <v>1062</v>
      </c>
      <c r="B1935" s="129" t="s">
        <v>2417</v>
      </c>
    </row>
    <row r="1936" spans="1:2">
      <c r="A1936" s="129" t="s">
        <v>1081</v>
      </c>
      <c r="B1936" s="129" t="s">
        <v>2410</v>
      </c>
    </row>
    <row r="1937" spans="1:2">
      <c r="A1937" s="129" t="s">
        <v>492</v>
      </c>
      <c r="B1937" s="129" t="s">
        <v>3005</v>
      </c>
    </row>
    <row r="1938" spans="1:2">
      <c r="A1938" s="129" t="s">
        <v>492</v>
      </c>
      <c r="B1938" s="129" t="s">
        <v>2153</v>
      </c>
    </row>
    <row r="1939" spans="1:2">
      <c r="A1939" s="129" t="s">
        <v>1644</v>
      </c>
      <c r="B1939" s="129" t="s">
        <v>2417</v>
      </c>
    </row>
    <row r="1940" spans="1:2">
      <c r="A1940" s="129" t="s">
        <v>1632</v>
      </c>
      <c r="B1940" s="129" t="s">
        <v>2159</v>
      </c>
    </row>
    <row r="1941" spans="1:2">
      <c r="A1941" s="129" t="s">
        <v>1317</v>
      </c>
      <c r="B1941" s="129" t="s">
        <v>2410</v>
      </c>
    </row>
    <row r="1942" spans="1:2">
      <c r="A1942" s="129" t="s">
        <v>1618</v>
      </c>
      <c r="B1942" s="129" t="s">
        <v>2159</v>
      </c>
    </row>
    <row r="1943" spans="1:2">
      <c r="A1943" s="129" t="s">
        <v>1350</v>
      </c>
      <c r="B1943" s="129" t="s">
        <v>2159</v>
      </c>
    </row>
    <row r="1944" spans="1:2">
      <c r="A1944" s="129" t="s">
        <v>1393</v>
      </c>
      <c r="B1944" s="129" t="s">
        <v>2159</v>
      </c>
    </row>
    <row r="1945" spans="1:2">
      <c r="A1945" s="129" t="s">
        <v>1751</v>
      </c>
      <c r="B1945" s="129" t="s">
        <v>2159</v>
      </c>
    </row>
    <row r="1946" spans="1:2">
      <c r="A1946" s="129" t="s">
        <v>3370</v>
      </c>
      <c r="B1946" s="129" t="s">
        <v>2155</v>
      </c>
    </row>
    <row r="1947" spans="1:2">
      <c r="A1947" s="129" t="s">
        <v>115</v>
      </c>
      <c r="B1947" s="129" t="s">
        <v>2155</v>
      </c>
    </row>
    <row r="1948" spans="1:2">
      <c r="A1948" s="129" t="s">
        <v>115</v>
      </c>
      <c r="B1948" s="129" t="s">
        <v>3007</v>
      </c>
    </row>
    <row r="1949" spans="1:2">
      <c r="A1949" s="129" t="s">
        <v>1966</v>
      </c>
      <c r="B1949" s="129" t="s">
        <v>2417</v>
      </c>
    </row>
    <row r="1950" spans="1:2">
      <c r="A1950" s="129" t="s">
        <v>362</v>
      </c>
      <c r="B1950" s="129" t="s">
        <v>3005</v>
      </c>
    </row>
    <row r="1951" spans="1:2">
      <c r="A1951" s="129" t="s">
        <v>362</v>
      </c>
      <c r="B1951" s="129" t="s">
        <v>2153</v>
      </c>
    </row>
    <row r="1952" spans="1:2">
      <c r="A1952" s="129" t="s">
        <v>2000</v>
      </c>
      <c r="B1952" s="129" t="s">
        <v>3005</v>
      </c>
    </row>
    <row r="1953" spans="1:2">
      <c r="A1953" s="129" t="s">
        <v>2000</v>
      </c>
      <c r="B1953" s="129" t="s">
        <v>2153</v>
      </c>
    </row>
    <row r="1954" spans="1:2">
      <c r="A1954" s="129" t="s">
        <v>3371</v>
      </c>
      <c r="B1954" s="129" t="s">
        <v>2155</v>
      </c>
    </row>
    <row r="1955" spans="1:2">
      <c r="A1955" s="129" t="s">
        <v>2119</v>
      </c>
      <c r="B1955" s="129" t="s">
        <v>2410</v>
      </c>
    </row>
    <row r="1956" spans="1:2">
      <c r="A1956" s="129" t="s">
        <v>2172</v>
      </c>
      <c r="B1956" s="129" t="s">
        <v>3005</v>
      </c>
    </row>
    <row r="1957" spans="1:2">
      <c r="A1957" s="129" t="s">
        <v>2172</v>
      </c>
      <c r="B1957" s="129" t="s">
        <v>2153</v>
      </c>
    </row>
    <row r="1958" spans="1:2">
      <c r="A1958" s="129" t="s">
        <v>2172</v>
      </c>
      <c r="B1958" s="129" t="s">
        <v>2157</v>
      </c>
    </row>
    <row r="1959" spans="1:2">
      <c r="A1959" s="129" t="s">
        <v>1473</v>
      </c>
      <c r="B1959" s="129" t="s">
        <v>3008</v>
      </c>
    </row>
    <row r="1960" spans="1:2">
      <c r="A1960" s="129" t="s">
        <v>402</v>
      </c>
      <c r="B1960" s="129" t="s">
        <v>2153</v>
      </c>
    </row>
    <row r="1961" spans="1:2">
      <c r="A1961" s="129" t="s">
        <v>589</v>
      </c>
      <c r="B1961" s="129" t="s">
        <v>3005</v>
      </c>
    </row>
    <row r="1962" spans="1:2">
      <c r="A1962" s="129" t="s">
        <v>1066</v>
      </c>
      <c r="B1962" s="129" t="s">
        <v>3005</v>
      </c>
    </row>
    <row r="1963" spans="1:2">
      <c r="A1963" s="129" t="s">
        <v>2180</v>
      </c>
      <c r="B1963" s="129" t="s">
        <v>2153</v>
      </c>
    </row>
    <row r="1964" spans="1:2">
      <c r="A1964" s="129" t="s">
        <v>2180</v>
      </c>
      <c r="B1964" s="129" t="s">
        <v>3007</v>
      </c>
    </row>
    <row r="1965" spans="1:2">
      <c r="A1965" s="129" t="s">
        <v>2180</v>
      </c>
      <c r="B1965" s="129" t="s">
        <v>3005</v>
      </c>
    </row>
    <row r="1966" spans="1:2">
      <c r="A1966" s="129" t="s">
        <v>2180</v>
      </c>
      <c r="B1966" s="129" t="s">
        <v>2155</v>
      </c>
    </row>
    <row r="1967" spans="1:2">
      <c r="A1967" s="129" t="s">
        <v>3372</v>
      </c>
      <c r="B1967" s="129" t="s">
        <v>2155</v>
      </c>
    </row>
    <row r="1968" spans="1:2">
      <c r="A1968" s="129" t="s">
        <v>383</v>
      </c>
      <c r="B1968" s="129" t="s">
        <v>3005</v>
      </c>
    </row>
    <row r="1969" spans="1:2">
      <c r="A1969" s="129" t="s">
        <v>383</v>
      </c>
      <c r="B1969" s="129" t="s">
        <v>2153</v>
      </c>
    </row>
    <row r="1970" spans="1:2">
      <c r="A1970" s="129" t="s">
        <v>2147</v>
      </c>
      <c r="B1970" s="129" t="s">
        <v>2159</v>
      </c>
    </row>
    <row r="1971" spans="1:2">
      <c r="A1971" s="129" t="s">
        <v>2147</v>
      </c>
      <c r="B1971" s="129" t="s">
        <v>2158</v>
      </c>
    </row>
    <row r="1972" spans="1:2">
      <c r="A1972" s="129" t="s">
        <v>2147</v>
      </c>
      <c r="B1972" s="129" t="s">
        <v>2410</v>
      </c>
    </row>
    <row r="1973" spans="1:2">
      <c r="A1973" s="129" t="s">
        <v>1643</v>
      </c>
      <c r="B1973" s="129" t="s">
        <v>2410</v>
      </c>
    </row>
    <row r="1974" spans="1:2">
      <c r="A1974" s="129" t="s">
        <v>1643</v>
      </c>
      <c r="B1974" s="129" t="s">
        <v>2159</v>
      </c>
    </row>
    <row r="1975" spans="1:2">
      <c r="A1975" s="129" t="s">
        <v>146</v>
      </c>
      <c r="B1975" s="129" t="s">
        <v>3005</v>
      </c>
    </row>
    <row r="1976" spans="1:2">
      <c r="A1976" s="129" t="s">
        <v>146</v>
      </c>
      <c r="B1976" s="129" t="s">
        <v>3007</v>
      </c>
    </row>
    <row r="1977" spans="1:2">
      <c r="A1977" s="129" t="s">
        <v>951</v>
      </c>
      <c r="B1977" s="129" t="s">
        <v>3005</v>
      </c>
    </row>
    <row r="1978" spans="1:2">
      <c r="A1978" s="129" t="s">
        <v>3373</v>
      </c>
      <c r="B1978" s="129" t="s">
        <v>2155</v>
      </c>
    </row>
    <row r="1979" spans="1:2">
      <c r="A1979" s="129" t="s">
        <v>1408</v>
      </c>
      <c r="B1979" s="129" t="s">
        <v>2159</v>
      </c>
    </row>
    <row r="1980" spans="1:2">
      <c r="A1980" s="129" t="s">
        <v>721</v>
      </c>
      <c r="B1980" s="129" t="s">
        <v>3005</v>
      </c>
    </row>
    <row r="1981" spans="1:2">
      <c r="A1981" s="129" t="s">
        <v>2501</v>
      </c>
      <c r="B1981" s="129" t="s">
        <v>3007</v>
      </c>
    </row>
    <row r="1982" spans="1:2">
      <c r="A1982" s="129" t="s">
        <v>2501</v>
      </c>
      <c r="B1982" s="129" t="s">
        <v>2155</v>
      </c>
    </row>
    <row r="1983" spans="1:2">
      <c r="A1983" s="129" t="s">
        <v>2009</v>
      </c>
      <c r="B1983" s="129" t="s">
        <v>2155</v>
      </c>
    </row>
    <row r="1984" spans="1:2">
      <c r="A1984" s="129" t="s">
        <v>3374</v>
      </c>
      <c r="B1984" s="129" t="s">
        <v>2155</v>
      </c>
    </row>
    <row r="1985" spans="1:2">
      <c r="A1985" s="129" t="s">
        <v>3375</v>
      </c>
      <c r="B1985" s="129" t="s">
        <v>2159</v>
      </c>
    </row>
    <row r="1986" spans="1:2">
      <c r="A1986" s="129" t="s">
        <v>314</v>
      </c>
      <c r="B1986" s="129" t="s">
        <v>3005</v>
      </c>
    </row>
    <row r="1987" spans="1:2">
      <c r="A1987" s="129" t="s">
        <v>132</v>
      </c>
      <c r="B1987" s="129" t="s">
        <v>3007</v>
      </c>
    </row>
    <row r="1988" spans="1:2">
      <c r="A1988" s="129" t="s">
        <v>132</v>
      </c>
      <c r="B1988" s="129" t="s">
        <v>2155</v>
      </c>
    </row>
    <row r="1989" spans="1:2">
      <c r="A1989" s="129" t="s">
        <v>1722</v>
      </c>
      <c r="B1989" s="129" t="s">
        <v>2410</v>
      </c>
    </row>
    <row r="1990" spans="1:2">
      <c r="A1990" s="129" t="s">
        <v>228</v>
      </c>
      <c r="B1990" s="129" t="s">
        <v>3005</v>
      </c>
    </row>
    <row r="1991" spans="1:2">
      <c r="A1991" s="129" t="s">
        <v>228</v>
      </c>
      <c r="B1991" s="129" t="s">
        <v>2153</v>
      </c>
    </row>
    <row r="1992" spans="1:2">
      <c r="A1992" s="129" t="s">
        <v>2550</v>
      </c>
      <c r="B1992" s="129" t="s">
        <v>2159</v>
      </c>
    </row>
    <row r="1993" spans="1:2">
      <c r="A1993" s="129" t="s">
        <v>2550</v>
      </c>
      <c r="B1993" s="129" t="s">
        <v>2410</v>
      </c>
    </row>
    <row r="1994" spans="1:2">
      <c r="A1994" s="129" t="s">
        <v>1444</v>
      </c>
      <c r="B1994" s="129" t="s">
        <v>2159</v>
      </c>
    </row>
    <row r="1995" spans="1:2">
      <c r="A1995" s="129" t="s">
        <v>1444</v>
      </c>
      <c r="B1995" s="129" t="s">
        <v>2410</v>
      </c>
    </row>
    <row r="1996" spans="1:2">
      <c r="A1996" s="129" t="s">
        <v>1131</v>
      </c>
      <c r="B1996" s="129" t="s">
        <v>2155</v>
      </c>
    </row>
    <row r="1997" spans="1:2">
      <c r="A1997" s="129" t="s">
        <v>162</v>
      </c>
      <c r="B1997" s="129" t="s">
        <v>3161</v>
      </c>
    </row>
    <row r="1998" spans="1:2">
      <c r="A1998" s="129" t="s">
        <v>162</v>
      </c>
      <c r="B1998" s="129" t="s">
        <v>2156</v>
      </c>
    </row>
    <row r="1999" spans="1:2">
      <c r="A1999" s="129" t="s">
        <v>188</v>
      </c>
      <c r="B1999" s="129" t="s">
        <v>3005</v>
      </c>
    </row>
    <row r="2000" spans="1:2">
      <c r="A2000" s="129" t="s">
        <v>188</v>
      </c>
      <c r="B2000" s="129" t="s">
        <v>3007</v>
      </c>
    </row>
    <row r="2001" spans="1:2">
      <c r="A2001" s="129" t="s">
        <v>415</v>
      </c>
      <c r="B2001" s="129" t="s">
        <v>3005</v>
      </c>
    </row>
    <row r="2002" spans="1:2">
      <c r="A2002" s="129" t="s">
        <v>2542</v>
      </c>
      <c r="B2002" s="129" t="s">
        <v>2159</v>
      </c>
    </row>
    <row r="2003" spans="1:2">
      <c r="A2003" s="129" t="s">
        <v>3376</v>
      </c>
      <c r="B2003" s="129" t="s">
        <v>2159</v>
      </c>
    </row>
    <row r="2004" spans="1:2">
      <c r="A2004" s="129" t="s">
        <v>1619</v>
      </c>
      <c r="B2004" s="129" t="s">
        <v>2159</v>
      </c>
    </row>
    <row r="2005" spans="1:2">
      <c r="A2005" s="129" t="s">
        <v>3377</v>
      </c>
      <c r="B2005" s="129" t="s">
        <v>2159</v>
      </c>
    </row>
    <row r="2006" spans="1:2">
      <c r="A2006" s="129" t="s">
        <v>2595</v>
      </c>
      <c r="B2006" s="129" t="s">
        <v>2159</v>
      </c>
    </row>
    <row r="2007" spans="1:2">
      <c r="A2007" s="129" t="s">
        <v>3378</v>
      </c>
      <c r="B2007" s="129" t="s">
        <v>2410</v>
      </c>
    </row>
    <row r="2008" spans="1:2">
      <c r="A2008" s="129" t="s">
        <v>3379</v>
      </c>
      <c r="B2008" s="129" t="s">
        <v>2155</v>
      </c>
    </row>
    <row r="2009" spans="1:2">
      <c r="A2009" s="129" t="s">
        <v>3380</v>
      </c>
      <c r="B2009" s="129" t="s">
        <v>2159</v>
      </c>
    </row>
    <row r="2010" spans="1:2">
      <c r="A2010" s="129" t="s">
        <v>3381</v>
      </c>
      <c r="B2010" s="129" t="s">
        <v>2159</v>
      </c>
    </row>
    <row r="2011" spans="1:2">
      <c r="A2011" s="129" t="s">
        <v>883</v>
      </c>
      <c r="B2011" s="129" t="s">
        <v>2417</v>
      </c>
    </row>
    <row r="2012" spans="1:2">
      <c r="A2012" s="129" t="s">
        <v>1572</v>
      </c>
      <c r="B2012" s="129" t="s">
        <v>2159</v>
      </c>
    </row>
    <row r="2013" spans="1:2">
      <c r="A2013" s="129" t="s">
        <v>1233</v>
      </c>
      <c r="B2013" s="129" t="s">
        <v>2410</v>
      </c>
    </row>
    <row r="2014" spans="1:2">
      <c r="A2014" s="129" t="s">
        <v>1054</v>
      </c>
      <c r="B2014" s="129" t="s">
        <v>3008</v>
      </c>
    </row>
    <row r="2015" spans="1:2">
      <c r="A2015" s="129" t="s">
        <v>2596</v>
      </c>
      <c r="B2015" s="129" t="s">
        <v>2159</v>
      </c>
    </row>
    <row r="2016" spans="1:2">
      <c r="A2016" s="129" t="s">
        <v>1539</v>
      </c>
      <c r="B2016" s="129" t="s">
        <v>2417</v>
      </c>
    </row>
    <row r="2017" spans="1:2">
      <c r="A2017" s="129" t="s">
        <v>1095</v>
      </c>
      <c r="B2017" s="129" t="s">
        <v>3005</v>
      </c>
    </row>
    <row r="2018" spans="1:2">
      <c r="A2018" s="129" t="s">
        <v>202</v>
      </c>
      <c r="B2018" s="129" t="s">
        <v>3005</v>
      </c>
    </row>
    <row r="2019" spans="1:2">
      <c r="A2019" s="129" t="s">
        <v>3382</v>
      </c>
      <c r="B2019" s="129" t="s">
        <v>2153</v>
      </c>
    </row>
    <row r="2020" spans="1:2">
      <c r="A2020" s="129" t="s">
        <v>3383</v>
      </c>
      <c r="B2020" s="129" t="s">
        <v>2153</v>
      </c>
    </row>
    <row r="2021" spans="1:2">
      <c r="A2021" s="129" t="s">
        <v>2361</v>
      </c>
      <c r="B2021" s="129" t="s">
        <v>2158</v>
      </c>
    </row>
    <row r="2022" spans="1:2">
      <c r="A2022" s="129" t="s">
        <v>2361</v>
      </c>
      <c r="B2022" s="129" t="s">
        <v>2153</v>
      </c>
    </row>
    <row r="2023" spans="1:2">
      <c r="A2023" s="129" t="s">
        <v>2361</v>
      </c>
      <c r="B2023" s="129" t="s">
        <v>2157</v>
      </c>
    </row>
    <row r="2024" spans="1:2">
      <c r="A2024" s="129" t="s">
        <v>1478</v>
      </c>
      <c r="B2024" s="129" t="s">
        <v>2159</v>
      </c>
    </row>
    <row r="2025" spans="1:2">
      <c r="A2025" s="129" t="s">
        <v>1487</v>
      </c>
      <c r="B2025" s="129" t="s">
        <v>2159</v>
      </c>
    </row>
    <row r="2026" spans="1:2">
      <c r="A2026" s="129" t="s">
        <v>1270</v>
      </c>
      <c r="B2026" s="129" t="s">
        <v>2159</v>
      </c>
    </row>
    <row r="2027" spans="1:2">
      <c r="A2027" s="129" t="s">
        <v>1270</v>
      </c>
      <c r="B2027" s="129" t="s">
        <v>2410</v>
      </c>
    </row>
    <row r="2028" spans="1:2">
      <c r="A2028" s="129" t="s">
        <v>2343</v>
      </c>
      <c r="B2028" s="129" t="s">
        <v>2159</v>
      </c>
    </row>
    <row r="2029" spans="1:2">
      <c r="A2029" s="129" t="s">
        <v>2269</v>
      </c>
      <c r="B2029" s="129" t="s">
        <v>2159</v>
      </c>
    </row>
    <row r="2030" spans="1:2">
      <c r="A2030" s="129" t="s">
        <v>2212</v>
      </c>
      <c r="B2030" s="129" t="s">
        <v>2159</v>
      </c>
    </row>
    <row r="2031" spans="1:2">
      <c r="A2031" s="129" t="s">
        <v>3384</v>
      </c>
      <c r="B2031" s="129" t="s">
        <v>3005</v>
      </c>
    </row>
    <row r="2032" spans="1:2">
      <c r="A2032" s="129" t="s">
        <v>3384</v>
      </c>
      <c r="B2032" s="129" t="s">
        <v>2153</v>
      </c>
    </row>
    <row r="2033" spans="1:2">
      <c r="A2033" s="129" t="s">
        <v>2309</v>
      </c>
      <c r="B2033" s="129" t="s">
        <v>2159</v>
      </c>
    </row>
    <row r="2034" spans="1:2">
      <c r="A2034" s="129" t="s">
        <v>2309</v>
      </c>
      <c r="B2034" s="129" t="s">
        <v>2410</v>
      </c>
    </row>
    <row r="2035" spans="1:2">
      <c r="A2035" s="129" t="s">
        <v>587</v>
      </c>
      <c r="B2035" s="129" t="s">
        <v>3005</v>
      </c>
    </row>
    <row r="2036" spans="1:2">
      <c r="A2036" s="129" t="s">
        <v>157</v>
      </c>
      <c r="B2036" s="129" t="s">
        <v>3007</v>
      </c>
    </row>
    <row r="2037" spans="1:2">
      <c r="A2037" s="129" t="s">
        <v>3385</v>
      </c>
      <c r="B2037" s="129" t="s">
        <v>3086</v>
      </c>
    </row>
    <row r="2038" spans="1:2">
      <c r="A2038" s="129" t="s">
        <v>3386</v>
      </c>
      <c r="B2038" s="129" t="s">
        <v>2159</v>
      </c>
    </row>
    <row r="2039" spans="1:2">
      <c r="A2039" s="129" t="s">
        <v>1662</v>
      </c>
      <c r="B2039" s="129" t="s">
        <v>3008</v>
      </c>
    </row>
    <row r="2040" spans="1:2">
      <c r="A2040" s="129" t="s">
        <v>1697</v>
      </c>
      <c r="B2040" s="129" t="s">
        <v>2159</v>
      </c>
    </row>
    <row r="2041" spans="1:2">
      <c r="A2041" s="129" t="s">
        <v>408</v>
      </c>
      <c r="B2041" s="129" t="s">
        <v>3005</v>
      </c>
    </row>
    <row r="2042" spans="1:2">
      <c r="A2042" s="129" t="s">
        <v>158</v>
      </c>
      <c r="B2042" s="129" t="s">
        <v>3086</v>
      </c>
    </row>
    <row r="2043" spans="1:2">
      <c r="A2043" s="129" t="s">
        <v>158</v>
      </c>
      <c r="B2043" s="129" t="s">
        <v>3387</v>
      </c>
    </row>
    <row r="2044" spans="1:2">
      <c r="A2044" s="129" t="s">
        <v>773</v>
      </c>
      <c r="B2044" s="129" t="s">
        <v>2153</v>
      </c>
    </row>
    <row r="2045" spans="1:2">
      <c r="A2045" s="129" t="s">
        <v>1420</v>
      </c>
      <c r="B2045" s="129" t="s">
        <v>2159</v>
      </c>
    </row>
    <row r="2046" spans="1:2">
      <c r="A2046" s="129" t="s">
        <v>759</v>
      </c>
      <c r="B2046" s="129" t="s">
        <v>3005</v>
      </c>
    </row>
    <row r="2047" spans="1:2">
      <c r="A2047" s="129" t="s">
        <v>3388</v>
      </c>
      <c r="B2047" s="129" t="s">
        <v>2159</v>
      </c>
    </row>
    <row r="2048" spans="1:2">
      <c r="A2048" s="129" t="s">
        <v>627</v>
      </c>
      <c r="B2048" s="129" t="s">
        <v>3005</v>
      </c>
    </row>
    <row r="2049" spans="1:2">
      <c r="A2049" s="129" t="s">
        <v>2331</v>
      </c>
      <c r="B2049" s="129" t="s">
        <v>2155</v>
      </c>
    </row>
    <row r="2050" spans="1:2">
      <c r="A2050" s="129" t="s">
        <v>142</v>
      </c>
      <c r="B2050" s="129" t="s">
        <v>3007</v>
      </c>
    </row>
    <row r="2051" spans="1:2">
      <c r="A2051" s="129" t="s">
        <v>3389</v>
      </c>
      <c r="B2051" s="129" t="s">
        <v>2159</v>
      </c>
    </row>
    <row r="2052" spans="1:2">
      <c r="A2052" s="129" t="s">
        <v>3389</v>
      </c>
      <c r="B2052" s="129" t="s">
        <v>2410</v>
      </c>
    </row>
    <row r="2053" spans="1:2">
      <c r="A2053" s="129" t="s">
        <v>1242</v>
      </c>
      <c r="B2053" s="129" t="s">
        <v>2410</v>
      </c>
    </row>
    <row r="2054" spans="1:2">
      <c r="A2054" s="129" t="s">
        <v>1242</v>
      </c>
      <c r="B2054" s="129" t="s">
        <v>2159</v>
      </c>
    </row>
    <row r="2055" spans="1:2">
      <c r="A2055" s="129" t="s">
        <v>3390</v>
      </c>
      <c r="B2055" s="129" t="s">
        <v>3005</v>
      </c>
    </row>
    <row r="2056" spans="1:2">
      <c r="A2056" s="129" t="s">
        <v>3390</v>
      </c>
      <c r="B2056" s="129" t="s">
        <v>2153</v>
      </c>
    </row>
    <row r="2057" spans="1:2">
      <c r="A2057" s="129" t="s">
        <v>1599</v>
      </c>
      <c r="B2057" s="129" t="s">
        <v>2410</v>
      </c>
    </row>
    <row r="2058" spans="1:2">
      <c r="A2058" s="129" t="s">
        <v>3391</v>
      </c>
      <c r="B2058" s="129" t="s">
        <v>2153</v>
      </c>
    </row>
    <row r="2059" spans="1:2">
      <c r="A2059" s="129" t="s">
        <v>585</v>
      </c>
      <c r="B2059" s="129" t="s">
        <v>3005</v>
      </c>
    </row>
    <row r="2060" spans="1:2">
      <c r="A2060" s="129" t="s">
        <v>240</v>
      </c>
      <c r="B2060" s="129" t="s">
        <v>3005</v>
      </c>
    </row>
    <row r="2061" spans="1:2">
      <c r="A2061" s="129" t="s">
        <v>1219</v>
      </c>
      <c r="B2061" s="129" t="s">
        <v>3005</v>
      </c>
    </row>
    <row r="2062" spans="1:2">
      <c r="A2062" s="129" t="s">
        <v>1219</v>
      </c>
      <c r="B2062" s="129" t="s">
        <v>2153</v>
      </c>
    </row>
    <row r="2063" spans="1:2">
      <c r="A2063" s="129" t="s">
        <v>1219</v>
      </c>
      <c r="B2063" s="129" t="s">
        <v>3007</v>
      </c>
    </row>
    <row r="2064" spans="1:2">
      <c r="A2064" s="129" t="s">
        <v>3392</v>
      </c>
      <c r="B2064" s="129" t="s">
        <v>2153</v>
      </c>
    </row>
    <row r="2065" spans="1:2">
      <c r="A2065" s="129" t="s">
        <v>3392</v>
      </c>
      <c r="B2065" s="129" t="s">
        <v>3005</v>
      </c>
    </row>
    <row r="2066" spans="1:2">
      <c r="A2066" s="129" t="s">
        <v>2307</v>
      </c>
      <c r="B2066" s="129" t="s">
        <v>3005</v>
      </c>
    </row>
    <row r="2067" spans="1:2">
      <c r="A2067" s="129" t="s">
        <v>2307</v>
      </c>
      <c r="B2067" s="129" t="s">
        <v>2153</v>
      </c>
    </row>
    <row r="2068" spans="1:2">
      <c r="A2068" s="129" t="s">
        <v>3393</v>
      </c>
      <c r="B2068" s="129" t="s">
        <v>2153</v>
      </c>
    </row>
    <row r="2069" spans="1:2">
      <c r="A2069" s="129" t="s">
        <v>3393</v>
      </c>
      <c r="B2069" s="129" t="s">
        <v>3005</v>
      </c>
    </row>
    <row r="2070" spans="1:2">
      <c r="A2070" s="129" t="s">
        <v>3394</v>
      </c>
      <c r="B2070" s="129" t="s">
        <v>2153</v>
      </c>
    </row>
    <row r="2071" spans="1:2">
      <c r="A2071" s="129" t="s">
        <v>3394</v>
      </c>
      <c r="B2071" s="129" t="s">
        <v>3005</v>
      </c>
    </row>
    <row r="2072" spans="1:2">
      <c r="A2072" s="129" t="s">
        <v>3395</v>
      </c>
      <c r="B2072" s="129" t="s">
        <v>2153</v>
      </c>
    </row>
    <row r="2073" spans="1:2">
      <c r="A2073" s="129" t="s">
        <v>3395</v>
      </c>
      <c r="B2073" s="129" t="s">
        <v>3005</v>
      </c>
    </row>
    <row r="2074" spans="1:2">
      <c r="A2074" s="129" t="s">
        <v>2454</v>
      </c>
      <c r="B2074" s="129" t="s">
        <v>2153</v>
      </c>
    </row>
    <row r="2075" spans="1:2">
      <c r="A2075" s="129" t="s">
        <v>3396</v>
      </c>
      <c r="B2075" s="129" t="s">
        <v>2153</v>
      </c>
    </row>
    <row r="2076" spans="1:2">
      <c r="A2076" s="129" t="s">
        <v>3396</v>
      </c>
      <c r="B2076" s="129" t="s">
        <v>3005</v>
      </c>
    </row>
    <row r="2077" spans="1:2">
      <c r="A2077" s="129" t="s">
        <v>3397</v>
      </c>
      <c r="B2077" s="129" t="s">
        <v>2153</v>
      </c>
    </row>
    <row r="2078" spans="1:2">
      <c r="A2078" s="129" t="s">
        <v>453</v>
      </c>
      <c r="B2078" s="129" t="s">
        <v>3005</v>
      </c>
    </row>
    <row r="2079" spans="1:2">
      <c r="A2079" s="129" t="s">
        <v>258</v>
      </c>
      <c r="B2079" s="129" t="s">
        <v>3005</v>
      </c>
    </row>
    <row r="2080" spans="1:2">
      <c r="A2080" s="129" t="s">
        <v>258</v>
      </c>
      <c r="B2080" s="129" t="s">
        <v>2153</v>
      </c>
    </row>
    <row r="2081" spans="1:2">
      <c r="A2081" s="129" t="s">
        <v>535</v>
      </c>
      <c r="B2081" s="129" t="s">
        <v>3005</v>
      </c>
    </row>
    <row r="2082" spans="1:2">
      <c r="A2082" s="129" t="s">
        <v>535</v>
      </c>
      <c r="B2082" s="129" t="s">
        <v>2153</v>
      </c>
    </row>
    <row r="2083" spans="1:2">
      <c r="A2083" s="129" t="s">
        <v>78</v>
      </c>
      <c r="B2083" s="129" t="s">
        <v>3007</v>
      </c>
    </row>
    <row r="2084" spans="1:2">
      <c r="A2084" s="129" t="s">
        <v>3398</v>
      </c>
      <c r="B2084" s="129" t="s">
        <v>2153</v>
      </c>
    </row>
    <row r="2085" spans="1:2">
      <c r="A2085" s="129" t="s">
        <v>1101</v>
      </c>
      <c r="B2085" s="129" t="s">
        <v>3005</v>
      </c>
    </row>
    <row r="2086" spans="1:2">
      <c r="A2086" s="129" t="s">
        <v>417</v>
      </c>
      <c r="B2086" s="129" t="s">
        <v>3005</v>
      </c>
    </row>
    <row r="2087" spans="1:2">
      <c r="A2087" s="129" t="s">
        <v>3399</v>
      </c>
      <c r="B2087" s="129" t="s">
        <v>2155</v>
      </c>
    </row>
    <row r="2088" spans="1:2">
      <c r="A2088" s="129" t="s">
        <v>1112</v>
      </c>
      <c r="B2088" s="129" t="s">
        <v>2410</v>
      </c>
    </row>
    <row r="2089" spans="1:2">
      <c r="A2089" s="129" t="s">
        <v>3400</v>
      </c>
      <c r="B2089" s="129" t="s">
        <v>3007</v>
      </c>
    </row>
    <row r="2090" spans="1:2">
      <c r="A2090" s="129" t="s">
        <v>3400</v>
      </c>
      <c r="B2090" s="129" t="s">
        <v>2155</v>
      </c>
    </row>
    <row r="2091" spans="1:2">
      <c r="A2091" s="129" t="s">
        <v>178</v>
      </c>
      <c r="B2091" s="129" t="s">
        <v>3007</v>
      </c>
    </row>
    <row r="2092" spans="1:2">
      <c r="A2092" s="129" t="s">
        <v>178</v>
      </c>
      <c r="B2092" s="129" t="s">
        <v>3005</v>
      </c>
    </row>
    <row r="2093" spans="1:2">
      <c r="A2093" s="129" t="s">
        <v>180</v>
      </c>
      <c r="B2093" s="129" t="s">
        <v>3007</v>
      </c>
    </row>
    <row r="2094" spans="1:2">
      <c r="A2094" s="129" t="s">
        <v>180</v>
      </c>
      <c r="B2094" s="129" t="s">
        <v>2410</v>
      </c>
    </row>
    <row r="2095" spans="1:2">
      <c r="A2095" s="129" t="s">
        <v>1060</v>
      </c>
      <c r="B2095" s="129" t="s">
        <v>2410</v>
      </c>
    </row>
    <row r="2096" spans="1:2">
      <c r="A2096" s="129" t="s">
        <v>975</v>
      </c>
      <c r="B2096" s="129" t="s">
        <v>2410</v>
      </c>
    </row>
    <row r="2097" spans="1:2">
      <c r="A2097" s="129" t="s">
        <v>1988</v>
      </c>
      <c r="B2097" s="129" t="s">
        <v>3008</v>
      </c>
    </row>
    <row r="2098" spans="1:2">
      <c r="A2098" s="129" t="s">
        <v>3401</v>
      </c>
      <c r="B2098" s="129" t="s">
        <v>2159</v>
      </c>
    </row>
    <row r="2099" spans="1:2">
      <c r="A2099" s="129" t="s">
        <v>365</v>
      </c>
      <c r="B2099" s="129" t="s">
        <v>3005</v>
      </c>
    </row>
    <row r="2100" spans="1:2">
      <c r="A2100" s="129" t="s">
        <v>3402</v>
      </c>
      <c r="B2100" s="129" t="s">
        <v>3007</v>
      </c>
    </row>
    <row r="2101" spans="1:2">
      <c r="A2101" s="129" t="s">
        <v>446</v>
      </c>
      <c r="B2101" s="129" t="s">
        <v>2153</v>
      </c>
    </row>
    <row r="2102" spans="1:2">
      <c r="A2102" s="129" t="s">
        <v>446</v>
      </c>
      <c r="B2102" s="129" t="s">
        <v>3005</v>
      </c>
    </row>
    <row r="2103" spans="1:2">
      <c r="A2103" s="129" t="s">
        <v>470</v>
      </c>
      <c r="B2103" s="129" t="s">
        <v>3005</v>
      </c>
    </row>
    <row r="2104" spans="1:2">
      <c r="A2104" s="129" t="s">
        <v>470</v>
      </c>
      <c r="B2104" s="129" t="s">
        <v>2153</v>
      </c>
    </row>
    <row r="2105" spans="1:2">
      <c r="A2105" s="129" t="s">
        <v>3403</v>
      </c>
      <c r="B2105" s="129" t="s">
        <v>3007</v>
      </c>
    </row>
    <row r="2106" spans="1:2">
      <c r="A2106" s="129" t="s">
        <v>3404</v>
      </c>
      <c r="B2106" s="129" t="s">
        <v>2155</v>
      </c>
    </row>
    <row r="2107" spans="1:2">
      <c r="A2107" s="129" t="s">
        <v>675</v>
      </c>
      <c r="B2107" s="129" t="s">
        <v>3005</v>
      </c>
    </row>
    <row r="2108" spans="1:2">
      <c r="A2108" s="129" t="s">
        <v>2489</v>
      </c>
      <c r="B2108" s="129" t="s">
        <v>2153</v>
      </c>
    </row>
    <row r="2109" spans="1:2">
      <c r="A2109" s="129" t="s">
        <v>464</v>
      </c>
      <c r="B2109" s="129" t="s">
        <v>3005</v>
      </c>
    </row>
    <row r="2110" spans="1:2">
      <c r="A2110" s="129" t="s">
        <v>440</v>
      </c>
      <c r="B2110" s="129" t="s">
        <v>3005</v>
      </c>
    </row>
    <row r="2111" spans="1:2">
      <c r="A2111" s="129" t="s">
        <v>611</v>
      </c>
      <c r="B2111" s="129" t="s">
        <v>3005</v>
      </c>
    </row>
    <row r="2112" spans="1:2">
      <c r="A2112" s="129" t="s">
        <v>2541</v>
      </c>
      <c r="B2112" s="129" t="s">
        <v>2159</v>
      </c>
    </row>
    <row r="2113" spans="1:2">
      <c r="A2113" s="129" t="s">
        <v>2541</v>
      </c>
      <c r="B2113" s="129" t="s">
        <v>2410</v>
      </c>
    </row>
    <row r="2114" spans="1:2">
      <c r="A2114" s="129" t="s">
        <v>1297</v>
      </c>
      <c r="B2114" s="129" t="s">
        <v>2159</v>
      </c>
    </row>
    <row r="2115" spans="1:2">
      <c r="A2115" s="129" t="s">
        <v>120</v>
      </c>
      <c r="B2115" s="129" t="s">
        <v>3007</v>
      </c>
    </row>
    <row r="2116" spans="1:2">
      <c r="A2116" s="129" t="s">
        <v>536</v>
      </c>
      <c r="B2116" s="129" t="s">
        <v>2155</v>
      </c>
    </row>
    <row r="2117" spans="1:2">
      <c r="A2117" s="129" t="s">
        <v>68</v>
      </c>
      <c r="B2117" s="129" t="s">
        <v>3007</v>
      </c>
    </row>
    <row r="2118" spans="1:2">
      <c r="A2118" s="129" t="s">
        <v>3405</v>
      </c>
      <c r="B2118" s="129" t="s">
        <v>2159</v>
      </c>
    </row>
    <row r="2119" spans="1:2">
      <c r="A2119" s="129" t="s">
        <v>2451</v>
      </c>
      <c r="B2119" s="129" t="s">
        <v>3007</v>
      </c>
    </row>
    <row r="2120" spans="1:2">
      <c r="A2120" s="129" t="s">
        <v>2451</v>
      </c>
      <c r="B2120" s="129" t="s">
        <v>2155</v>
      </c>
    </row>
    <row r="2121" spans="1:2">
      <c r="A2121" s="129" t="s">
        <v>2148</v>
      </c>
      <c r="B2121" s="129" t="s">
        <v>3007</v>
      </c>
    </row>
    <row r="2122" spans="1:2">
      <c r="A2122" s="129" t="s">
        <v>2148</v>
      </c>
      <c r="B2122" s="129" t="s">
        <v>2155</v>
      </c>
    </row>
    <row r="2123" spans="1:2">
      <c r="A2123" s="129" t="s">
        <v>290</v>
      </c>
      <c r="B2123" s="129" t="s">
        <v>3005</v>
      </c>
    </row>
    <row r="2124" spans="1:2">
      <c r="A2124" s="129" t="s">
        <v>290</v>
      </c>
      <c r="B2124" s="129" t="s">
        <v>2153</v>
      </c>
    </row>
    <row r="2125" spans="1:2">
      <c r="A2125" s="129" t="s">
        <v>2195</v>
      </c>
      <c r="B2125" s="129" t="s">
        <v>2159</v>
      </c>
    </row>
    <row r="2126" spans="1:2">
      <c r="A2126" s="129" t="s">
        <v>2195</v>
      </c>
      <c r="B2126" s="129" t="s">
        <v>2157</v>
      </c>
    </row>
    <row r="2127" spans="1:2">
      <c r="A2127" s="129" t="s">
        <v>3406</v>
      </c>
      <c r="B2127" s="129" t="s">
        <v>2153</v>
      </c>
    </row>
    <row r="2128" spans="1:2">
      <c r="A2128" s="129" t="s">
        <v>393</v>
      </c>
      <c r="B2128" s="129" t="s">
        <v>3005</v>
      </c>
    </row>
    <row r="2129" spans="1:2">
      <c r="A2129" s="129" t="s">
        <v>393</v>
      </c>
      <c r="B2129" s="129" t="s">
        <v>2153</v>
      </c>
    </row>
    <row r="2130" spans="1:2">
      <c r="A2130" s="129" t="s">
        <v>3407</v>
      </c>
      <c r="B2130" s="129" t="s">
        <v>2155</v>
      </c>
    </row>
    <row r="2131" spans="1:2">
      <c r="A2131" s="129" t="s">
        <v>2010</v>
      </c>
      <c r="B2131" s="129" t="s">
        <v>3005</v>
      </c>
    </row>
    <row r="2132" spans="1:2">
      <c r="A2132" s="129" t="s">
        <v>2010</v>
      </c>
      <c r="B2132" s="129" t="s">
        <v>2153</v>
      </c>
    </row>
    <row r="2133" spans="1:2">
      <c r="A2133" s="129" t="s">
        <v>2010</v>
      </c>
      <c r="B2133" s="129" t="s">
        <v>3007</v>
      </c>
    </row>
    <row r="2134" spans="1:2">
      <c r="A2134" s="129" t="s">
        <v>1103</v>
      </c>
      <c r="B2134" s="129" t="s">
        <v>2410</v>
      </c>
    </row>
    <row r="2135" spans="1:2">
      <c r="A2135" s="129" t="s">
        <v>244</v>
      </c>
      <c r="B2135" s="129" t="s">
        <v>3005</v>
      </c>
    </row>
    <row r="2136" spans="1:2">
      <c r="A2136" s="129" t="s">
        <v>1404</v>
      </c>
      <c r="B2136" s="129" t="s">
        <v>2159</v>
      </c>
    </row>
    <row r="2137" spans="1:2">
      <c r="A2137" s="129" t="s">
        <v>3408</v>
      </c>
      <c r="B2137" s="129" t="s">
        <v>2159</v>
      </c>
    </row>
    <row r="2138" spans="1:2">
      <c r="A2138" s="129" t="s">
        <v>1805</v>
      </c>
      <c r="B2138" s="129" t="s">
        <v>3005</v>
      </c>
    </row>
    <row r="2139" spans="1:2">
      <c r="A2139" s="129" t="s">
        <v>495</v>
      </c>
      <c r="B2139" s="129" t="s">
        <v>3005</v>
      </c>
    </row>
    <row r="2140" spans="1:2">
      <c r="A2140" s="129" t="s">
        <v>1007</v>
      </c>
      <c r="B2140" s="129" t="s">
        <v>2410</v>
      </c>
    </row>
    <row r="2141" spans="1:2">
      <c r="A2141" s="129" t="s">
        <v>1174</v>
      </c>
      <c r="B2141" s="129" t="s">
        <v>2155</v>
      </c>
    </row>
    <row r="2142" spans="1:2">
      <c r="A2142" s="129" t="s">
        <v>1174</v>
      </c>
      <c r="B2142" s="129" t="s">
        <v>3005</v>
      </c>
    </row>
    <row r="2143" spans="1:2">
      <c r="A2143" s="129" t="s">
        <v>1174</v>
      </c>
      <c r="B2143" s="129" t="s">
        <v>2153</v>
      </c>
    </row>
    <row r="2144" spans="1:2">
      <c r="A2144" s="129" t="s">
        <v>3409</v>
      </c>
      <c r="B2144" s="129" t="s">
        <v>3086</v>
      </c>
    </row>
    <row r="2145" spans="1:2">
      <c r="A2145" s="129" t="s">
        <v>3409</v>
      </c>
      <c r="B2145" s="129" t="s">
        <v>3007</v>
      </c>
    </row>
    <row r="2146" spans="1:2">
      <c r="A2146" s="129" t="s">
        <v>514</v>
      </c>
      <c r="B2146" s="129" t="s">
        <v>3005</v>
      </c>
    </row>
    <row r="2147" spans="1:2">
      <c r="A2147" s="129" t="s">
        <v>2129</v>
      </c>
      <c r="B2147" s="129" t="s">
        <v>2410</v>
      </c>
    </row>
    <row r="2148" spans="1:2">
      <c r="A2148" s="129" t="s">
        <v>2270</v>
      </c>
      <c r="B2148" s="129" t="s">
        <v>3005</v>
      </c>
    </row>
    <row r="2149" spans="1:2">
      <c r="A2149" s="129" t="s">
        <v>2270</v>
      </c>
      <c r="B2149" s="129" t="s">
        <v>3008</v>
      </c>
    </row>
    <row r="2150" spans="1:2">
      <c r="A2150" s="129" t="s">
        <v>2270</v>
      </c>
      <c r="B2150" s="129" t="s">
        <v>2157</v>
      </c>
    </row>
    <row r="2151" spans="1:2">
      <c r="A2151" s="129" t="s">
        <v>2270</v>
      </c>
      <c r="B2151" s="129" t="s">
        <v>2153</v>
      </c>
    </row>
    <row r="2152" spans="1:2">
      <c r="A2152" s="129" t="s">
        <v>1522</v>
      </c>
      <c r="B2152" s="129" t="s">
        <v>2410</v>
      </c>
    </row>
    <row r="2153" spans="1:2">
      <c r="A2153" s="129" t="s">
        <v>3410</v>
      </c>
      <c r="B2153" s="129" t="s">
        <v>2159</v>
      </c>
    </row>
    <row r="2154" spans="1:2">
      <c r="A2154" s="129" t="s">
        <v>1282</v>
      </c>
      <c r="B2154" s="129" t="s">
        <v>2159</v>
      </c>
    </row>
    <row r="2155" spans="1:2">
      <c r="A2155" s="129" t="s">
        <v>411</v>
      </c>
      <c r="B2155" s="129" t="s">
        <v>2153</v>
      </c>
    </row>
    <row r="2156" spans="1:2">
      <c r="A2156" s="129" t="s">
        <v>411</v>
      </c>
      <c r="B2156" s="129" t="s">
        <v>3005</v>
      </c>
    </row>
    <row r="2157" spans="1:2">
      <c r="A2157" s="129" t="s">
        <v>1753</v>
      </c>
      <c r="B2157" s="129" t="s">
        <v>2410</v>
      </c>
    </row>
    <row r="2158" spans="1:2">
      <c r="A2158" s="129" t="s">
        <v>1416</v>
      </c>
      <c r="B2158" s="129" t="s">
        <v>2410</v>
      </c>
    </row>
    <row r="2159" spans="1:2">
      <c r="A2159" s="129" t="s">
        <v>3411</v>
      </c>
      <c r="B2159" s="129" t="s">
        <v>2159</v>
      </c>
    </row>
    <row r="2160" spans="1:2">
      <c r="A2160" s="129" t="s">
        <v>1482</v>
      </c>
      <c r="B2160" s="129" t="s">
        <v>2417</v>
      </c>
    </row>
    <row r="2161" spans="1:2">
      <c r="A2161" s="129" t="s">
        <v>1482</v>
      </c>
      <c r="B2161" s="129" t="s">
        <v>2158</v>
      </c>
    </row>
    <row r="2162" spans="1:2">
      <c r="A2162" s="129" t="s">
        <v>3412</v>
      </c>
      <c r="B2162" s="129" t="s">
        <v>2158</v>
      </c>
    </row>
    <row r="2163" spans="1:2">
      <c r="A2163" s="129" t="s">
        <v>1462</v>
      </c>
      <c r="B2163" s="129" t="s">
        <v>2159</v>
      </c>
    </row>
    <row r="2164" spans="1:2">
      <c r="A2164" s="129" t="s">
        <v>1462</v>
      </c>
      <c r="B2164" s="129" t="s">
        <v>2158</v>
      </c>
    </row>
    <row r="2165" spans="1:2">
      <c r="A2165" s="129" t="s">
        <v>800</v>
      </c>
      <c r="B2165" s="129" t="s">
        <v>2410</v>
      </c>
    </row>
    <row r="2166" spans="1:2">
      <c r="A2166" s="129" t="s">
        <v>1472</v>
      </c>
      <c r="B2166" s="129" t="s">
        <v>2159</v>
      </c>
    </row>
    <row r="2167" spans="1:2">
      <c r="A2167" s="129" t="s">
        <v>1218</v>
      </c>
      <c r="B2167" s="129" t="s">
        <v>2153</v>
      </c>
    </row>
    <row r="2168" spans="1:2">
      <c r="A2168" s="129" t="s">
        <v>1218</v>
      </c>
      <c r="B2168" s="129" t="s">
        <v>3005</v>
      </c>
    </row>
    <row r="2169" spans="1:2">
      <c r="A2169" s="129" t="s">
        <v>1910</v>
      </c>
      <c r="B2169" s="129" t="s">
        <v>2159</v>
      </c>
    </row>
    <row r="2170" spans="1:2">
      <c r="A2170" s="129" t="s">
        <v>1546</v>
      </c>
      <c r="B2170" s="129" t="s">
        <v>3008</v>
      </c>
    </row>
    <row r="2171" spans="1:2">
      <c r="A2171" s="129" t="s">
        <v>1147</v>
      </c>
      <c r="B2171" s="129" t="s">
        <v>3005</v>
      </c>
    </row>
    <row r="2172" spans="1:2">
      <c r="A2172" s="129" t="s">
        <v>1147</v>
      </c>
      <c r="B2172" s="129" t="s">
        <v>2153</v>
      </c>
    </row>
    <row r="2173" spans="1:2">
      <c r="A2173" s="129" t="s">
        <v>3413</v>
      </c>
      <c r="B2173" s="129" t="s">
        <v>2153</v>
      </c>
    </row>
    <row r="2174" spans="1:2">
      <c r="A2174" s="129" t="s">
        <v>3414</v>
      </c>
      <c r="B2174" s="129" t="s">
        <v>2155</v>
      </c>
    </row>
    <row r="2175" spans="1:2">
      <c r="A2175" s="129" t="s">
        <v>3414</v>
      </c>
      <c r="B2175" s="129" t="s">
        <v>2410</v>
      </c>
    </row>
    <row r="2176" spans="1:2">
      <c r="A2176" s="129" t="s">
        <v>2594</v>
      </c>
      <c r="B2176" s="129" t="s">
        <v>3005</v>
      </c>
    </row>
    <row r="2177" spans="1:2">
      <c r="A2177" s="129" t="s">
        <v>2594</v>
      </c>
      <c r="B2177" s="129" t="s">
        <v>2153</v>
      </c>
    </row>
    <row r="2178" spans="1:2">
      <c r="A2178" s="129" t="s">
        <v>3415</v>
      </c>
      <c r="B2178" s="129" t="s">
        <v>2155</v>
      </c>
    </row>
    <row r="2179" spans="1:2">
      <c r="A2179" s="129" t="s">
        <v>3415</v>
      </c>
      <c r="B2179" s="129" t="s">
        <v>3007</v>
      </c>
    </row>
    <row r="2180" spans="1:2">
      <c r="A2180" s="129" t="s">
        <v>2169</v>
      </c>
      <c r="B2180" s="129" t="s">
        <v>3007</v>
      </c>
    </row>
    <row r="2181" spans="1:2">
      <c r="A2181" s="129" t="s">
        <v>3416</v>
      </c>
      <c r="B2181" s="129" t="s">
        <v>2155</v>
      </c>
    </row>
    <row r="2182" spans="1:2">
      <c r="A2182" s="129" t="s">
        <v>2301</v>
      </c>
      <c r="B2182" s="129" t="s">
        <v>3005</v>
      </c>
    </row>
    <row r="2183" spans="1:2">
      <c r="A2183" s="129" t="s">
        <v>2301</v>
      </c>
      <c r="B2183" s="129" t="s">
        <v>2153</v>
      </c>
    </row>
    <row r="2184" spans="1:2">
      <c r="A2184" s="129" t="s">
        <v>2230</v>
      </c>
      <c r="B2184" s="129" t="s">
        <v>2410</v>
      </c>
    </row>
    <row r="2185" spans="1:2">
      <c r="A2185" s="129" t="s">
        <v>3417</v>
      </c>
      <c r="B2185" s="129" t="s">
        <v>2153</v>
      </c>
    </row>
    <row r="2186" spans="1:2">
      <c r="A2186" s="129" t="s">
        <v>3417</v>
      </c>
      <c r="B2186" s="129" t="s">
        <v>3005</v>
      </c>
    </row>
    <row r="2187" spans="1:2">
      <c r="A2187" s="129" t="s">
        <v>3418</v>
      </c>
      <c r="B2187" s="129" t="s">
        <v>3007</v>
      </c>
    </row>
    <row r="2188" spans="1:2">
      <c r="A2188" s="129" t="s">
        <v>1584</v>
      </c>
      <c r="B2188" s="129" t="s">
        <v>2410</v>
      </c>
    </row>
    <row r="2189" spans="1:2">
      <c r="A2189" s="129" t="s">
        <v>1584</v>
      </c>
      <c r="B2189" s="129" t="s">
        <v>2159</v>
      </c>
    </row>
    <row r="2190" spans="1:2">
      <c r="A2190" s="129" t="s">
        <v>3419</v>
      </c>
      <c r="B2190" s="129" t="s">
        <v>2159</v>
      </c>
    </row>
    <row r="2191" spans="1:2">
      <c r="A2191" s="129" t="s">
        <v>3420</v>
      </c>
      <c r="B2191" s="129" t="s">
        <v>2159</v>
      </c>
    </row>
    <row r="2192" spans="1:2">
      <c r="A2192" s="129" t="s">
        <v>3421</v>
      </c>
      <c r="B2192" s="129" t="s">
        <v>2410</v>
      </c>
    </row>
    <row r="2193" spans="1:2">
      <c r="A2193" s="129" t="s">
        <v>3421</v>
      </c>
      <c r="B2193" s="129" t="s">
        <v>2159</v>
      </c>
    </row>
    <row r="2194" spans="1:2">
      <c r="A2194" s="129" t="s">
        <v>1890</v>
      </c>
      <c r="B2194" s="129" t="s">
        <v>2159</v>
      </c>
    </row>
    <row r="2195" spans="1:2">
      <c r="A2195" s="129" t="s">
        <v>461</v>
      </c>
      <c r="B2195" s="129" t="s">
        <v>3005</v>
      </c>
    </row>
    <row r="2196" spans="1:2">
      <c r="A2196" s="129" t="s">
        <v>1281</v>
      </c>
      <c r="B2196" s="129" t="s">
        <v>2410</v>
      </c>
    </row>
    <row r="2197" spans="1:2">
      <c r="A2197" s="129" t="s">
        <v>1281</v>
      </c>
      <c r="B2197" s="129" t="s">
        <v>2159</v>
      </c>
    </row>
    <row r="2198" spans="1:2">
      <c r="A2198" s="129" t="s">
        <v>1882</v>
      </c>
      <c r="B2198" s="129" t="s">
        <v>2410</v>
      </c>
    </row>
    <row r="2199" spans="1:2">
      <c r="A2199" s="129" t="s">
        <v>391</v>
      </c>
      <c r="B2199" s="129" t="s">
        <v>3005</v>
      </c>
    </row>
    <row r="2200" spans="1:2">
      <c r="A2200" s="129" t="s">
        <v>2068</v>
      </c>
      <c r="B2200" s="129" t="s">
        <v>2417</v>
      </c>
    </row>
    <row r="2201" spans="1:2">
      <c r="A2201" s="129" t="s">
        <v>2618</v>
      </c>
      <c r="B2201" s="129" t="s">
        <v>3005</v>
      </c>
    </row>
    <row r="2202" spans="1:2">
      <c r="A2202" s="129" t="s">
        <v>2618</v>
      </c>
      <c r="B2202" s="129" t="s">
        <v>2153</v>
      </c>
    </row>
    <row r="2203" spans="1:2">
      <c r="A2203" s="129" t="s">
        <v>1590</v>
      </c>
      <c r="B2203" s="129" t="s">
        <v>2410</v>
      </c>
    </row>
    <row r="2204" spans="1:2">
      <c r="A2204" s="129" t="s">
        <v>1590</v>
      </c>
      <c r="B2204" s="129" t="s">
        <v>2159</v>
      </c>
    </row>
    <row r="2205" spans="1:2">
      <c r="A2205" s="129" t="s">
        <v>1609</v>
      </c>
      <c r="B2205" s="129" t="s">
        <v>2159</v>
      </c>
    </row>
    <row r="2206" spans="1:2">
      <c r="A2206" s="129" t="s">
        <v>3422</v>
      </c>
      <c r="B2206" s="129" t="s">
        <v>2159</v>
      </c>
    </row>
    <row r="2207" spans="1:2">
      <c r="A2207" s="129" t="s">
        <v>2259</v>
      </c>
      <c r="B2207" s="129" t="s">
        <v>2159</v>
      </c>
    </row>
    <row r="2208" spans="1:2">
      <c r="A2208" s="129" t="s">
        <v>3423</v>
      </c>
      <c r="B2208" s="129" t="s">
        <v>2159</v>
      </c>
    </row>
    <row r="2209" spans="1:2">
      <c r="A2209" s="129" t="s">
        <v>2306</v>
      </c>
      <c r="B2209" s="129" t="s">
        <v>2159</v>
      </c>
    </row>
    <row r="2210" spans="1:2">
      <c r="A2210" s="129" t="s">
        <v>2048</v>
      </c>
      <c r="B2210" s="129" t="s">
        <v>2159</v>
      </c>
    </row>
    <row r="2211" spans="1:2">
      <c r="A2211" s="129" t="s">
        <v>381</v>
      </c>
      <c r="B2211" s="129" t="s">
        <v>3005</v>
      </c>
    </row>
    <row r="2212" spans="1:2">
      <c r="A2212" s="129" t="s">
        <v>2568</v>
      </c>
      <c r="B2212" s="129" t="s">
        <v>2159</v>
      </c>
    </row>
    <row r="2213" spans="1:2">
      <c r="A2213" s="129" t="s">
        <v>3424</v>
      </c>
      <c r="B2213" s="129" t="s">
        <v>2159</v>
      </c>
    </row>
    <row r="2214" spans="1:2">
      <c r="A2214" s="129" t="s">
        <v>3424</v>
      </c>
      <c r="B2214" s="129" t="s">
        <v>2410</v>
      </c>
    </row>
    <row r="2215" spans="1:2">
      <c r="A2215" s="129" t="s">
        <v>373</v>
      </c>
      <c r="B2215" s="129" t="s">
        <v>3005</v>
      </c>
    </row>
    <row r="2216" spans="1:2">
      <c r="A2216" s="129" t="s">
        <v>373</v>
      </c>
      <c r="B2216" s="129" t="s">
        <v>2153</v>
      </c>
    </row>
    <row r="2217" spans="1:2">
      <c r="A2217" s="129" t="s">
        <v>1335</v>
      </c>
      <c r="B2217" s="129" t="s">
        <v>2410</v>
      </c>
    </row>
    <row r="2218" spans="1:2">
      <c r="A2218" s="129" t="s">
        <v>3425</v>
      </c>
      <c r="B2218" s="129" t="s">
        <v>3007</v>
      </c>
    </row>
    <row r="2219" spans="1:2">
      <c r="A2219" s="129" t="s">
        <v>1990</v>
      </c>
      <c r="B2219" s="129" t="s">
        <v>2410</v>
      </c>
    </row>
    <row r="2220" spans="1:2">
      <c r="A2220" s="129" t="s">
        <v>2021</v>
      </c>
      <c r="B2220" s="129" t="s">
        <v>3005</v>
      </c>
    </row>
    <row r="2221" spans="1:2">
      <c r="A2221" s="129" t="s">
        <v>2021</v>
      </c>
      <c r="B2221" s="129" t="s">
        <v>2153</v>
      </c>
    </row>
    <row r="2222" spans="1:2">
      <c r="A2222" s="129" t="s">
        <v>551</v>
      </c>
      <c r="B2222" s="129" t="s">
        <v>3161</v>
      </c>
    </row>
    <row r="2223" spans="1:2">
      <c r="A2223" s="129" t="s">
        <v>1451</v>
      </c>
      <c r="B2223" s="129" t="s">
        <v>3005</v>
      </c>
    </row>
    <row r="2224" spans="1:2">
      <c r="A2224" s="129" t="s">
        <v>1451</v>
      </c>
      <c r="B2224" s="129" t="s">
        <v>2157</v>
      </c>
    </row>
    <row r="2225" spans="1:2">
      <c r="A2225" s="129" t="s">
        <v>1451</v>
      </c>
      <c r="B2225" s="129" t="s">
        <v>2153</v>
      </c>
    </row>
    <row r="2226" spans="1:2">
      <c r="A2226" s="129" t="s">
        <v>3426</v>
      </c>
      <c r="B2226" s="129" t="s">
        <v>2155</v>
      </c>
    </row>
    <row r="2227" spans="1:2">
      <c r="A2227" s="129" t="s">
        <v>135</v>
      </c>
      <c r="B2227" s="129" t="s">
        <v>3007</v>
      </c>
    </row>
    <row r="2228" spans="1:2">
      <c r="A2228" s="129" t="s">
        <v>1048</v>
      </c>
      <c r="B2228" s="129" t="s">
        <v>3008</v>
      </c>
    </row>
    <row r="2229" spans="1:2">
      <c r="A2229" s="129" t="s">
        <v>3427</v>
      </c>
      <c r="B2229" s="129" t="s">
        <v>2159</v>
      </c>
    </row>
    <row r="2230" spans="1:2">
      <c r="A2230" s="129" t="s">
        <v>767</v>
      </c>
      <c r="B2230" s="129" t="s">
        <v>3005</v>
      </c>
    </row>
    <row r="2231" spans="1:2">
      <c r="A2231" s="129" t="s">
        <v>2540</v>
      </c>
      <c r="B2231" s="129" t="s">
        <v>2159</v>
      </c>
    </row>
    <row r="2232" spans="1:2">
      <c r="A2232" s="129" t="s">
        <v>2540</v>
      </c>
      <c r="B2232" s="129" t="s">
        <v>2410</v>
      </c>
    </row>
    <row r="2233" spans="1:2">
      <c r="A2233" s="129" t="s">
        <v>2583</v>
      </c>
      <c r="B2233" s="129" t="s">
        <v>2155</v>
      </c>
    </row>
    <row r="2234" spans="1:2">
      <c r="A2234" s="129" t="s">
        <v>1991</v>
      </c>
      <c r="B2234" s="129" t="s">
        <v>2410</v>
      </c>
    </row>
    <row r="2235" spans="1:2">
      <c r="A2235" s="129" t="s">
        <v>1991</v>
      </c>
      <c r="B2235" s="129" t="s">
        <v>2159</v>
      </c>
    </row>
    <row r="2236" spans="1:2">
      <c r="A2236" s="129" t="s">
        <v>3428</v>
      </c>
      <c r="B2236" s="129" t="s">
        <v>2159</v>
      </c>
    </row>
    <row r="2237" spans="1:2">
      <c r="A2237" s="129" t="s">
        <v>3428</v>
      </c>
      <c r="B2237" s="129" t="s">
        <v>2410</v>
      </c>
    </row>
    <row r="2238" spans="1:2">
      <c r="A2238" s="129" t="s">
        <v>1762</v>
      </c>
      <c r="B2238" s="129" t="s">
        <v>2159</v>
      </c>
    </row>
    <row r="2239" spans="1:2">
      <c r="A2239" s="129" t="s">
        <v>2012</v>
      </c>
      <c r="B2239" s="129" t="s">
        <v>2159</v>
      </c>
    </row>
    <row r="2240" spans="1:2">
      <c r="A2240" s="129" t="s">
        <v>2012</v>
      </c>
      <c r="B2240" s="129" t="s">
        <v>2410</v>
      </c>
    </row>
    <row r="2241" spans="1:2">
      <c r="A2241" s="129" t="s">
        <v>1388</v>
      </c>
      <c r="B2241" s="129" t="s">
        <v>2410</v>
      </c>
    </row>
    <row r="2242" spans="1:2">
      <c r="A2242" s="129" t="s">
        <v>1388</v>
      </c>
      <c r="B2242" s="129" t="s">
        <v>2159</v>
      </c>
    </row>
    <row r="2243" spans="1:2">
      <c r="A2243" s="129" t="s">
        <v>2462</v>
      </c>
      <c r="B2243" s="129" t="s">
        <v>2153</v>
      </c>
    </row>
    <row r="2244" spans="1:2">
      <c r="A2244" s="129" t="s">
        <v>2139</v>
      </c>
      <c r="B2244" s="129" t="s">
        <v>2417</v>
      </c>
    </row>
    <row r="2245" spans="1:2">
      <c r="A2245" s="129" t="s">
        <v>1431</v>
      </c>
      <c r="B2245" s="129" t="s">
        <v>2410</v>
      </c>
    </row>
    <row r="2246" spans="1:2">
      <c r="A2246" s="129" t="s">
        <v>617</v>
      </c>
      <c r="B2246" s="129" t="s">
        <v>3005</v>
      </c>
    </row>
    <row r="2247" spans="1:2">
      <c r="A2247" s="129" t="s">
        <v>1725</v>
      </c>
      <c r="B2247" s="129" t="s">
        <v>2159</v>
      </c>
    </row>
    <row r="2248" spans="1:2">
      <c r="A2248" s="129" t="s">
        <v>3429</v>
      </c>
      <c r="B2248" s="129" t="s">
        <v>2155</v>
      </c>
    </row>
    <row r="2249" spans="1:2">
      <c r="A2249" s="129" t="s">
        <v>1509</v>
      </c>
      <c r="B2249" s="129" t="s">
        <v>3008</v>
      </c>
    </row>
    <row r="2250" spans="1:2">
      <c r="A2250" s="129" t="s">
        <v>691</v>
      </c>
      <c r="B2250" s="129" t="s">
        <v>3005</v>
      </c>
    </row>
    <row r="2251" spans="1:2">
      <c r="A2251" s="129" t="s">
        <v>631</v>
      </c>
      <c r="B2251" s="129" t="s">
        <v>3005</v>
      </c>
    </row>
    <row r="2252" spans="1:2">
      <c r="A2252" s="129" t="s">
        <v>3430</v>
      </c>
      <c r="B2252" s="129" t="s">
        <v>2153</v>
      </c>
    </row>
    <row r="2253" spans="1:2">
      <c r="A2253" s="129" t="s">
        <v>333</v>
      </c>
      <c r="B2253" s="129" t="s">
        <v>3005</v>
      </c>
    </row>
    <row r="2254" spans="1:2">
      <c r="A2254" s="129" t="s">
        <v>476</v>
      </c>
      <c r="B2254" s="129" t="s">
        <v>2153</v>
      </c>
    </row>
    <row r="2255" spans="1:2">
      <c r="A2255" s="129" t="s">
        <v>2586</v>
      </c>
      <c r="B2255" s="129" t="s">
        <v>2153</v>
      </c>
    </row>
    <row r="2256" spans="1:2">
      <c r="A2256" s="129" t="s">
        <v>1700</v>
      </c>
      <c r="B2256" s="129" t="s">
        <v>2159</v>
      </c>
    </row>
    <row r="2257" spans="1:2">
      <c r="A2257" s="129" t="s">
        <v>366</v>
      </c>
      <c r="B2257" s="129" t="s">
        <v>3005</v>
      </c>
    </row>
    <row r="2258" spans="1:2">
      <c r="A2258" s="129" t="s">
        <v>366</v>
      </c>
      <c r="B2258" s="129" t="s">
        <v>2153</v>
      </c>
    </row>
    <row r="2259" spans="1:2">
      <c r="A2259" s="129" t="s">
        <v>2197</v>
      </c>
      <c r="B2259" s="129" t="s">
        <v>2159</v>
      </c>
    </row>
    <row r="2260" spans="1:2">
      <c r="A2260" s="129" t="s">
        <v>1724</v>
      </c>
      <c r="B2260" s="129" t="s">
        <v>2417</v>
      </c>
    </row>
    <row r="2261" spans="1:2">
      <c r="A2261" s="129" t="s">
        <v>1724</v>
      </c>
      <c r="B2261" s="129" t="s">
        <v>2158</v>
      </c>
    </row>
    <row r="2262" spans="1:2">
      <c r="A2262" s="129" t="s">
        <v>3431</v>
      </c>
      <c r="B2262" s="129" t="s">
        <v>2159</v>
      </c>
    </row>
    <row r="2263" spans="1:2">
      <c r="A2263" s="129" t="s">
        <v>3432</v>
      </c>
      <c r="B2263" s="129" t="s">
        <v>2159</v>
      </c>
    </row>
    <row r="2264" spans="1:2">
      <c r="A2264" s="129" t="s">
        <v>3433</v>
      </c>
      <c r="B2264" s="129" t="s">
        <v>2157</v>
      </c>
    </row>
    <row r="2265" spans="1:2">
      <c r="A2265" s="129" t="s">
        <v>3433</v>
      </c>
      <c r="B2265" s="129" t="s">
        <v>2159</v>
      </c>
    </row>
    <row r="2266" spans="1:2">
      <c r="A2266" s="129" t="s">
        <v>3434</v>
      </c>
      <c r="B2266" s="129" t="s">
        <v>2159</v>
      </c>
    </row>
    <row r="2267" spans="1:2">
      <c r="A2267" s="129" t="s">
        <v>2166</v>
      </c>
      <c r="B2267" s="129" t="s">
        <v>2410</v>
      </c>
    </row>
    <row r="2268" spans="1:2">
      <c r="A2268" s="129" t="s">
        <v>2166</v>
      </c>
      <c r="B2268" s="129" t="s">
        <v>2159</v>
      </c>
    </row>
    <row r="2269" spans="1:2">
      <c r="A2269" s="129" t="s">
        <v>3435</v>
      </c>
      <c r="B2269" s="129" t="s">
        <v>2153</v>
      </c>
    </row>
    <row r="2270" spans="1:2">
      <c r="A2270" s="129" t="s">
        <v>1476</v>
      </c>
      <c r="B2270" s="129" t="s">
        <v>2410</v>
      </c>
    </row>
    <row r="2271" spans="1:2">
      <c r="A2271" s="129" t="s">
        <v>1476</v>
      </c>
      <c r="B2271" s="129" t="s">
        <v>2159</v>
      </c>
    </row>
    <row r="2272" spans="1:2">
      <c r="A2272" s="129" t="s">
        <v>557</v>
      </c>
      <c r="B2272" s="129" t="s">
        <v>3007</v>
      </c>
    </row>
    <row r="2273" spans="1:2">
      <c r="A2273" s="129" t="s">
        <v>331</v>
      </c>
      <c r="B2273" s="129" t="s">
        <v>3005</v>
      </c>
    </row>
    <row r="2274" spans="1:2">
      <c r="A2274" s="129" t="s">
        <v>2555</v>
      </c>
      <c r="B2274" s="129" t="s">
        <v>2159</v>
      </c>
    </row>
    <row r="2275" spans="1:2">
      <c r="A2275" s="129" t="s">
        <v>3436</v>
      </c>
      <c r="B2275" s="129" t="s">
        <v>2153</v>
      </c>
    </row>
    <row r="2276" spans="1:2">
      <c r="A2276" s="129" t="s">
        <v>1201</v>
      </c>
      <c r="B2276" s="129" t="s">
        <v>3005</v>
      </c>
    </row>
    <row r="2277" spans="1:2">
      <c r="A2277" s="129" t="s">
        <v>3437</v>
      </c>
      <c r="B2277" s="129" t="s">
        <v>3007</v>
      </c>
    </row>
    <row r="2278" spans="1:2">
      <c r="A2278" s="129" t="s">
        <v>3437</v>
      </c>
      <c r="B2278" s="129" t="s">
        <v>2155</v>
      </c>
    </row>
    <row r="2279" spans="1:2">
      <c r="A2279" s="129" t="s">
        <v>3438</v>
      </c>
      <c r="B2279" s="129" t="s">
        <v>2153</v>
      </c>
    </row>
    <row r="2280" spans="1:2">
      <c r="A2280" s="129" t="s">
        <v>3438</v>
      </c>
      <c r="B2280" s="129" t="s">
        <v>3005</v>
      </c>
    </row>
    <row r="2281" spans="1:2">
      <c r="A2281" s="129" t="s">
        <v>168</v>
      </c>
      <c r="B2281" s="129" t="s">
        <v>2153</v>
      </c>
    </row>
    <row r="2282" spans="1:2">
      <c r="A2282" s="129" t="s">
        <v>3439</v>
      </c>
      <c r="B2282" s="129" t="s">
        <v>2155</v>
      </c>
    </row>
    <row r="2283" spans="1:2">
      <c r="A2283" s="129" t="s">
        <v>935</v>
      </c>
      <c r="B2283" s="129" t="s">
        <v>3005</v>
      </c>
    </row>
    <row r="2284" spans="1:2">
      <c r="A2284" s="129" t="s">
        <v>1207</v>
      </c>
      <c r="B2284" s="129" t="s">
        <v>3005</v>
      </c>
    </row>
    <row r="2285" spans="1:2">
      <c r="A2285" s="129" t="s">
        <v>3440</v>
      </c>
      <c r="B2285" s="129" t="s">
        <v>2410</v>
      </c>
    </row>
    <row r="2286" spans="1:2">
      <c r="A2286" s="129" t="s">
        <v>3441</v>
      </c>
      <c r="B2286" s="129" t="s">
        <v>2153</v>
      </c>
    </row>
    <row r="2287" spans="1:2">
      <c r="A2287" s="129" t="s">
        <v>3441</v>
      </c>
      <c r="B2287" s="129" t="s">
        <v>3005</v>
      </c>
    </row>
    <row r="2288" spans="1:2">
      <c r="A2288" s="129" t="s">
        <v>573</v>
      </c>
      <c r="B2288" s="129" t="s">
        <v>2153</v>
      </c>
    </row>
    <row r="2289" spans="1:2">
      <c r="A2289" s="129" t="s">
        <v>2546</v>
      </c>
      <c r="B2289" s="129" t="s">
        <v>3005</v>
      </c>
    </row>
    <row r="2290" spans="1:2">
      <c r="A2290" s="129" t="s">
        <v>2546</v>
      </c>
      <c r="B2290" s="129" t="s">
        <v>2153</v>
      </c>
    </row>
    <row r="2291" spans="1:2">
      <c r="A2291" s="129" t="s">
        <v>2499</v>
      </c>
      <c r="B2291" s="129" t="s">
        <v>2153</v>
      </c>
    </row>
    <row r="2292" spans="1:2">
      <c r="A2292" s="129" t="s">
        <v>3442</v>
      </c>
      <c r="B2292" s="129" t="s">
        <v>2410</v>
      </c>
    </row>
    <row r="2293" spans="1:2">
      <c r="A2293" s="129" t="s">
        <v>3442</v>
      </c>
      <c r="B2293" s="129" t="s">
        <v>2159</v>
      </c>
    </row>
    <row r="2294" spans="1:2">
      <c r="A2294" s="129" t="s">
        <v>1601</v>
      </c>
      <c r="B2294" s="129" t="s">
        <v>2159</v>
      </c>
    </row>
    <row r="2295" spans="1:2">
      <c r="A2295" s="129" t="s">
        <v>273</v>
      </c>
      <c r="B2295" s="129" t="s">
        <v>3005</v>
      </c>
    </row>
    <row r="2296" spans="1:2">
      <c r="A2296" s="129" t="s">
        <v>273</v>
      </c>
      <c r="B2296" s="129" t="s">
        <v>2153</v>
      </c>
    </row>
    <row r="2297" spans="1:2">
      <c r="A2297" s="129" t="s">
        <v>377</v>
      </c>
      <c r="B2297" s="129" t="s">
        <v>3005</v>
      </c>
    </row>
    <row r="2298" spans="1:2">
      <c r="A2298" s="129" t="s">
        <v>1849</v>
      </c>
      <c r="B2298" s="129" t="s">
        <v>2410</v>
      </c>
    </row>
    <row r="2299" spans="1:2">
      <c r="A2299" s="129" t="s">
        <v>3443</v>
      </c>
      <c r="B2299" s="129" t="s">
        <v>3007</v>
      </c>
    </row>
    <row r="2300" spans="1:2">
      <c r="A2300" s="129" t="s">
        <v>2496</v>
      </c>
      <c r="B2300" s="129" t="s">
        <v>2159</v>
      </c>
    </row>
    <row r="2301" spans="1:2">
      <c r="A2301" s="129" t="s">
        <v>2496</v>
      </c>
      <c r="B2301" s="129" t="s">
        <v>2410</v>
      </c>
    </row>
    <row r="2302" spans="1:2">
      <c r="A2302" s="129" t="s">
        <v>3444</v>
      </c>
      <c r="B2302" s="129" t="s">
        <v>2410</v>
      </c>
    </row>
    <row r="2303" spans="1:2">
      <c r="A2303" s="129" t="s">
        <v>1439</v>
      </c>
      <c r="B2303" s="129" t="s">
        <v>2159</v>
      </c>
    </row>
    <row r="2304" spans="1:2">
      <c r="A2304" s="129" t="s">
        <v>3445</v>
      </c>
      <c r="B2304" s="129" t="s">
        <v>2155</v>
      </c>
    </row>
    <row r="2305" spans="1:2">
      <c r="A2305" s="129" t="s">
        <v>1853</v>
      </c>
      <c r="B2305" s="129" t="s">
        <v>3008</v>
      </c>
    </row>
    <row r="2306" spans="1:2">
      <c r="A2306" s="129" t="s">
        <v>1964</v>
      </c>
      <c r="B2306" s="129" t="s">
        <v>2159</v>
      </c>
    </row>
    <row r="2307" spans="1:2">
      <c r="A2307" s="129" t="s">
        <v>1964</v>
      </c>
      <c r="B2307" s="129" t="s">
        <v>2410</v>
      </c>
    </row>
    <row r="2308" spans="1:2">
      <c r="A2308" s="129" t="s">
        <v>3446</v>
      </c>
      <c r="B2308" s="129" t="s">
        <v>2159</v>
      </c>
    </row>
    <row r="2309" spans="1:2">
      <c r="A2309" s="129" t="s">
        <v>1163</v>
      </c>
      <c r="B2309" s="129" t="s">
        <v>2153</v>
      </c>
    </row>
    <row r="2310" spans="1:2">
      <c r="A2310" s="129" t="s">
        <v>2001</v>
      </c>
      <c r="B2310" s="129" t="s">
        <v>3005</v>
      </c>
    </row>
    <row r="2311" spans="1:2">
      <c r="A2311" s="129" t="s">
        <v>2001</v>
      </c>
      <c r="B2311" s="129" t="s">
        <v>2153</v>
      </c>
    </row>
    <row r="2312" spans="1:2">
      <c r="A2312" s="129" t="s">
        <v>1921</v>
      </c>
      <c r="B2312" s="129" t="s">
        <v>2153</v>
      </c>
    </row>
    <row r="2313" spans="1:2">
      <c r="A2313" s="129" t="s">
        <v>1921</v>
      </c>
      <c r="B2313" s="129" t="s">
        <v>3005</v>
      </c>
    </row>
    <row r="2314" spans="1:2">
      <c r="A2314" s="129" t="s">
        <v>1993</v>
      </c>
      <c r="B2314" s="129" t="s">
        <v>2158</v>
      </c>
    </row>
    <row r="2315" spans="1:2">
      <c r="A2315" s="129" t="s">
        <v>1993</v>
      </c>
      <c r="B2315" s="129" t="s">
        <v>2417</v>
      </c>
    </row>
    <row r="2316" spans="1:2">
      <c r="A2316" s="129" t="s">
        <v>3447</v>
      </c>
      <c r="B2316" s="129" t="s">
        <v>2159</v>
      </c>
    </row>
    <row r="2317" spans="1:2">
      <c r="A2317" s="129" t="s">
        <v>268</v>
      </c>
      <c r="B2317" s="129" t="s">
        <v>3005</v>
      </c>
    </row>
    <row r="2318" spans="1:2">
      <c r="A2318" s="129" t="s">
        <v>3448</v>
      </c>
      <c r="B2318" s="129" t="s">
        <v>2153</v>
      </c>
    </row>
    <row r="2319" spans="1:2">
      <c r="A2319" s="129" t="s">
        <v>493</v>
      </c>
      <c r="B2319" s="129" t="s">
        <v>2153</v>
      </c>
    </row>
    <row r="2320" spans="1:2">
      <c r="A2320" s="129" t="s">
        <v>1367</v>
      </c>
      <c r="B2320" s="129" t="s">
        <v>2158</v>
      </c>
    </row>
    <row r="2321" spans="1:2">
      <c r="A2321" s="129" t="s">
        <v>443</v>
      </c>
      <c r="B2321" s="129" t="s">
        <v>2153</v>
      </c>
    </row>
    <row r="2322" spans="1:2">
      <c r="A2322" s="129" t="s">
        <v>1604</v>
      </c>
      <c r="B2322" s="129" t="s">
        <v>2159</v>
      </c>
    </row>
    <row r="2323" spans="1:2">
      <c r="A2323" s="129" t="s">
        <v>2203</v>
      </c>
      <c r="B2323" s="129" t="s">
        <v>3007</v>
      </c>
    </row>
    <row r="2324" spans="1:2">
      <c r="A2324" s="129" t="s">
        <v>2203</v>
      </c>
      <c r="B2324" s="129" t="s">
        <v>2155</v>
      </c>
    </row>
    <row r="2325" spans="1:2">
      <c r="A2325" s="129" t="s">
        <v>3449</v>
      </c>
      <c r="B2325" s="129" t="s">
        <v>2155</v>
      </c>
    </row>
    <row r="2326" spans="1:2">
      <c r="A2326" s="129" t="s">
        <v>2035</v>
      </c>
      <c r="B2326" s="129" t="s">
        <v>3005</v>
      </c>
    </row>
    <row r="2327" spans="1:2">
      <c r="A2327" s="129" t="s">
        <v>2035</v>
      </c>
      <c r="B2327" s="129" t="s">
        <v>2153</v>
      </c>
    </row>
    <row r="2328" spans="1:2">
      <c r="A2328" s="129" t="s">
        <v>2035</v>
      </c>
      <c r="B2328" s="129" t="s">
        <v>2157</v>
      </c>
    </row>
    <row r="2329" spans="1:2">
      <c r="A2329" s="129" t="s">
        <v>2560</v>
      </c>
      <c r="B2329" s="129" t="s">
        <v>3005</v>
      </c>
    </row>
    <row r="2330" spans="1:2">
      <c r="A2330" s="129" t="s">
        <v>2560</v>
      </c>
      <c r="B2330" s="129" t="s">
        <v>2153</v>
      </c>
    </row>
    <row r="2331" spans="1:2">
      <c r="A2331" s="129" t="s">
        <v>1438</v>
      </c>
      <c r="B2331" s="129" t="s">
        <v>3008</v>
      </c>
    </row>
    <row r="2332" spans="1:2">
      <c r="A2332" s="129" t="s">
        <v>1438</v>
      </c>
      <c r="B2332" s="129" t="s">
        <v>2157</v>
      </c>
    </row>
    <row r="2333" spans="1:2">
      <c r="A2333" s="129" t="s">
        <v>1339</v>
      </c>
      <c r="B2333" s="129" t="s">
        <v>2159</v>
      </c>
    </row>
    <row r="2334" spans="1:2">
      <c r="A2334" s="129" t="s">
        <v>1339</v>
      </c>
      <c r="B2334" s="129" t="s">
        <v>2410</v>
      </c>
    </row>
    <row r="2335" spans="1:2">
      <c r="A2335" s="129" t="s">
        <v>848</v>
      </c>
      <c r="B2335" s="129" t="s">
        <v>3008</v>
      </c>
    </row>
    <row r="2336" spans="1:2">
      <c r="A2336" s="129" t="s">
        <v>1597</v>
      </c>
      <c r="B2336" s="129" t="s">
        <v>2159</v>
      </c>
    </row>
    <row r="2337" spans="1:2">
      <c r="A2337" s="129" t="s">
        <v>852</v>
      </c>
      <c r="B2337" s="129" t="s">
        <v>2410</v>
      </c>
    </row>
    <row r="2338" spans="1:2">
      <c r="A2338" s="129" t="s">
        <v>2439</v>
      </c>
      <c r="B2338" s="129" t="s">
        <v>2153</v>
      </c>
    </row>
    <row r="2339" spans="1:2">
      <c r="A2339" s="129" t="s">
        <v>2100</v>
      </c>
      <c r="B2339" s="129" t="s">
        <v>2410</v>
      </c>
    </row>
    <row r="2340" spans="1:2">
      <c r="A2340" s="129" t="s">
        <v>1400</v>
      </c>
      <c r="B2340" s="129" t="s">
        <v>2410</v>
      </c>
    </row>
    <row r="2341" spans="1:2">
      <c r="A2341" s="129" t="s">
        <v>1400</v>
      </c>
      <c r="B2341" s="129" t="s">
        <v>2159</v>
      </c>
    </row>
    <row r="2342" spans="1:2">
      <c r="A2342" s="129" t="s">
        <v>523</v>
      </c>
      <c r="B2342" s="129" t="s">
        <v>3005</v>
      </c>
    </row>
    <row r="2343" spans="1:2">
      <c r="A2343" s="129" t="s">
        <v>523</v>
      </c>
      <c r="B2343" s="129" t="s">
        <v>2153</v>
      </c>
    </row>
    <row r="2344" spans="1:2">
      <c r="A2344" s="129" t="s">
        <v>1403</v>
      </c>
      <c r="B2344" s="129" t="s">
        <v>2159</v>
      </c>
    </row>
    <row r="2345" spans="1:2">
      <c r="A2345" s="129" t="s">
        <v>1403</v>
      </c>
      <c r="B2345" s="129" t="s">
        <v>2410</v>
      </c>
    </row>
    <row r="2346" spans="1:2">
      <c r="A2346" s="129" t="s">
        <v>3450</v>
      </c>
      <c r="B2346" s="129" t="s">
        <v>2153</v>
      </c>
    </row>
    <row r="2347" spans="1:2">
      <c r="A2347" s="129" t="s">
        <v>3450</v>
      </c>
      <c r="B2347" s="129" t="s">
        <v>3005</v>
      </c>
    </row>
    <row r="2348" spans="1:2">
      <c r="A2348" s="129" t="s">
        <v>870</v>
      </c>
      <c r="B2348" s="129" t="s">
        <v>3008</v>
      </c>
    </row>
    <row r="2349" spans="1:2">
      <c r="A2349" s="129" t="s">
        <v>1553</v>
      </c>
      <c r="B2349" s="129" t="s">
        <v>2410</v>
      </c>
    </row>
    <row r="2350" spans="1:2">
      <c r="A2350" s="129" t="s">
        <v>2326</v>
      </c>
      <c r="B2350" s="129" t="s">
        <v>3005</v>
      </c>
    </row>
    <row r="2351" spans="1:2">
      <c r="A2351" s="129" t="s">
        <v>2326</v>
      </c>
      <c r="B2351" s="129" t="s">
        <v>2153</v>
      </c>
    </row>
    <row r="2352" spans="1:2">
      <c r="A2352" s="129" t="s">
        <v>2234</v>
      </c>
      <c r="B2352" s="129" t="s">
        <v>2159</v>
      </c>
    </row>
    <row r="2353" spans="1:2">
      <c r="A2353" s="129" t="s">
        <v>1557</v>
      </c>
      <c r="B2353" s="129" t="s">
        <v>2159</v>
      </c>
    </row>
    <row r="2354" spans="1:2">
      <c r="A2354" s="129" t="s">
        <v>3451</v>
      </c>
      <c r="B2354" s="129" t="s">
        <v>3007</v>
      </c>
    </row>
    <row r="2355" spans="1:2">
      <c r="A2355" s="129" t="s">
        <v>1567</v>
      </c>
      <c r="B2355" s="129" t="s">
        <v>2410</v>
      </c>
    </row>
    <row r="2356" spans="1:2">
      <c r="A2356" s="129" t="s">
        <v>1957</v>
      </c>
      <c r="B2356" s="129" t="s">
        <v>2417</v>
      </c>
    </row>
    <row r="2357" spans="1:2">
      <c r="A2357" s="129" t="s">
        <v>186</v>
      </c>
      <c r="B2357" s="129" t="s">
        <v>3007</v>
      </c>
    </row>
    <row r="2358" spans="1:2">
      <c r="A2358" s="129" t="s">
        <v>255</v>
      </c>
      <c r="B2358" s="129" t="s">
        <v>3005</v>
      </c>
    </row>
    <row r="2359" spans="1:2">
      <c r="A2359" s="129" t="s">
        <v>1911</v>
      </c>
      <c r="B2359" s="129" t="s">
        <v>3005</v>
      </c>
    </row>
    <row r="2360" spans="1:2">
      <c r="A2360" s="129" t="s">
        <v>1911</v>
      </c>
      <c r="B2360" s="129" t="s">
        <v>2153</v>
      </c>
    </row>
    <row r="2361" spans="1:2">
      <c r="A2361" s="129" t="s">
        <v>844</v>
      </c>
      <c r="B2361" s="129" t="s">
        <v>2410</v>
      </c>
    </row>
    <row r="2362" spans="1:2">
      <c r="A2362" s="129" t="s">
        <v>1273</v>
      </c>
      <c r="B2362" s="129" t="s">
        <v>3008</v>
      </c>
    </row>
    <row r="2363" spans="1:2">
      <c r="A2363" s="129" t="s">
        <v>2538</v>
      </c>
      <c r="B2363" s="129" t="s">
        <v>2159</v>
      </c>
    </row>
    <row r="2364" spans="1:2">
      <c r="A2364" s="129" t="s">
        <v>2538</v>
      </c>
      <c r="B2364" s="129" t="s">
        <v>2410</v>
      </c>
    </row>
    <row r="2365" spans="1:2">
      <c r="A2365" s="129" t="s">
        <v>2044</v>
      </c>
      <c r="B2365" s="129" t="s">
        <v>2159</v>
      </c>
    </row>
    <row r="2366" spans="1:2">
      <c r="A2366" s="129" t="s">
        <v>2221</v>
      </c>
      <c r="B2366" s="129" t="s">
        <v>2159</v>
      </c>
    </row>
    <row r="2367" spans="1:2">
      <c r="A2367" s="129" t="s">
        <v>395</v>
      </c>
      <c r="B2367" s="129" t="s">
        <v>2153</v>
      </c>
    </row>
    <row r="2368" spans="1:2">
      <c r="A2368" s="129" t="s">
        <v>2579</v>
      </c>
      <c r="B2368" s="129" t="s">
        <v>2155</v>
      </c>
    </row>
    <row r="2369" spans="1:2">
      <c r="A2369" s="129" t="s">
        <v>2579</v>
      </c>
      <c r="B2369" s="129" t="s">
        <v>3007</v>
      </c>
    </row>
    <row r="2370" spans="1:2">
      <c r="A2370" s="129" t="s">
        <v>3452</v>
      </c>
      <c r="B2370" s="129" t="s">
        <v>2153</v>
      </c>
    </row>
    <row r="2371" spans="1:2">
      <c r="A2371" s="129" t="s">
        <v>3452</v>
      </c>
      <c r="B2371" s="129" t="s">
        <v>3005</v>
      </c>
    </row>
    <row r="2372" spans="1:2">
      <c r="A2372" s="129" t="s">
        <v>3453</v>
      </c>
      <c r="B2372" s="129" t="s">
        <v>2153</v>
      </c>
    </row>
    <row r="2373" spans="1:2">
      <c r="A2373" s="129" t="s">
        <v>516</v>
      </c>
      <c r="B2373" s="129" t="s">
        <v>3005</v>
      </c>
    </row>
    <row r="2374" spans="1:2">
      <c r="A2374" s="129" t="s">
        <v>516</v>
      </c>
      <c r="B2374" s="129" t="s">
        <v>2153</v>
      </c>
    </row>
    <row r="2375" spans="1:2">
      <c r="A2375" s="129" t="s">
        <v>2578</v>
      </c>
      <c r="B2375" s="129" t="s">
        <v>2159</v>
      </c>
    </row>
    <row r="2376" spans="1:2">
      <c r="A2376" s="129" t="s">
        <v>655</v>
      </c>
      <c r="B2376" s="129" t="s">
        <v>3005</v>
      </c>
    </row>
    <row r="2377" spans="1:2">
      <c r="A2377" s="129" t="s">
        <v>1285</v>
      </c>
      <c r="B2377" s="129" t="s">
        <v>2159</v>
      </c>
    </row>
    <row r="2378" spans="1:2">
      <c r="A2378" s="129" t="s">
        <v>1285</v>
      </c>
      <c r="B2378" s="129" t="s">
        <v>2410</v>
      </c>
    </row>
    <row r="2379" spans="1:2">
      <c r="A2379" s="129" t="s">
        <v>3454</v>
      </c>
      <c r="B2379" s="129" t="s">
        <v>2155</v>
      </c>
    </row>
    <row r="2380" spans="1:2">
      <c r="A2380" s="129" t="s">
        <v>2209</v>
      </c>
      <c r="B2380" s="129" t="s">
        <v>2155</v>
      </c>
    </row>
    <row r="2381" spans="1:2">
      <c r="A2381" s="129" t="s">
        <v>1524</v>
      </c>
      <c r="B2381" s="129" t="s">
        <v>3008</v>
      </c>
    </row>
    <row r="2382" spans="1:2">
      <c r="A2382" s="129" t="s">
        <v>270</v>
      </c>
      <c r="B2382" s="129" t="s">
        <v>3005</v>
      </c>
    </row>
    <row r="2383" spans="1:2">
      <c r="A2383" s="129" t="s">
        <v>2367</v>
      </c>
      <c r="B2383" s="129" t="s">
        <v>2159</v>
      </c>
    </row>
    <row r="2384" spans="1:2">
      <c r="A2384" s="129" t="s">
        <v>3455</v>
      </c>
      <c r="B2384" s="129" t="s">
        <v>2159</v>
      </c>
    </row>
    <row r="2385" spans="1:2">
      <c r="A2385" s="129" t="s">
        <v>3456</v>
      </c>
      <c r="B2385" s="129" t="s">
        <v>2155</v>
      </c>
    </row>
    <row r="2386" spans="1:2">
      <c r="A2386" s="129" t="s">
        <v>1886</v>
      </c>
      <c r="B2386" s="129" t="s">
        <v>2410</v>
      </c>
    </row>
    <row r="2387" spans="1:2">
      <c r="A2387" s="129" t="s">
        <v>1818</v>
      </c>
      <c r="B2387" s="129" t="s">
        <v>2417</v>
      </c>
    </row>
    <row r="2388" spans="1:2">
      <c r="A2388" s="129" t="s">
        <v>1707</v>
      </c>
      <c r="B2388" s="129" t="s">
        <v>2159</v>
      </c>
    </row>
    <row r="2389" spans="1:2">
      <c r="A2389" s="129" t="s">
        <v>1707</v>
      </c>
      <c r="B2389" s="129" t="s">
        <v>2410</v>
      </c>
    </row>
    <row r="2390" spans="1:2">
      <c r="A2390" s="129" t="s">
        <v>367</v>
      </c>
      <c r="B2390" s="129" t="s">
        <v>3005</v>
      </c>
    </row>
    <row r="2391" spans="1:2">
      <c r="A2391" s="129" t="s">
        <v>981</v>
      </c>
      <c r="B2391" s="129" t="s">
        <v>3005</v>
      </c>
    </row>
    <row r="2392" spans="1:2">
      <c r="A2392" s="129" t="s">
        <v>3457</v>
      </c>
      <c r="B2392" s="129" t="s">
        <v>2155</v>
      </c>
    </row>
    <row r="2393" spans="1:2">
      <c r="A2393" s="129" t="s">
        <v>3458</v>
      </c>
      <c r="B2393" s="129" t="s">
        <v>3007</v>
      </c>
    </row>
    <row r="2394" spans="1:2">
      <c r="A2394" s="129" t="s">
        <v>1058</v>
      </c>
      <c r="B2394" s="129" t="s">
        <v>2417</v>
      </c>
    </row>
    <row r="2395" spans="1:2">
      <c r="A2395" s="129" t="s">
        <v>1582</v>
      </c>
      <c r="B2395" s="129" t="s">
        <v>2159</v>
      </c>
    </row>
    <row r="2396" spans="1:2">
      <c r="A2396" s="129" t="s">
        <v>2302</v>
      </c>
      <c r="B2396" s="129" t="s">
        <v>2159</v>
      </c>
    </row>
    <row r="2397" spans="1:2">
      <c r="A2397" s="129" t="s">
        <v>2458</v>
      </c>
      <c r="B2397" s="129" t="s">
        <v>2159</v>
      </c>
    </row>
    <row r="2398" spans="1:2">
      <c r="A2398" s="129" t="s">
        <v>3459</v>
      </c>
      <c r="B2398" s="129" t="s">
        <v>2159</v>
      </c>
    </row>
    <row r="2399" spans="1:2">
      <c r="A2399" s="129" t="s">
        <v>2606</v>
      </c>
      <c r="B2399" s="129" t="s">
        <v>2159</v>
      </c>
    </row>
    <row r="2400" spans="1:2">
      <c r="A2400" s="129" t="s">
        <v>2204</v>
      </c>
      <c r="B2400" s="129" t="s">
        <v>2159</v>
      </c>
    </row>
    <row r="2401" spans="1:2">
      <c r="A2401" s="129" t="s">
        <v>2127</v>
      </c>
      <c r="B2401" s="129" t="s">
        <v>2159</v>
      </c>
    </row>
    <row r="2402" spans="1:2">
      <c r="A2402" s="129" t="s">
        <v>3460</v>
      </c>
      <c r="B2402" s="129" t="s">
        <v>2159</v>
      </c>
    </row>
    <row r="2403" spans="1:2">
      <c r="A2403" s="129" t="s">
        <v>2565</v>
      </c>
      <c r="B2403" s="129" t="s">
        <v>2155</v>
      </c>
    </row>
    <row r="2404" spans="1:2">
      <c r="A2404" s="129" t="s">
        <v>1079</v>
      </c>
      <c r="B2404" s="129" t="s">
        <v>2410</v>
      </c>
    </row>
    <row r="2405" spans="1:2">
      <c r="A2405" s="129" t="s">
        <v>776</v>
      </c>
      <c r="B2405" s="129" t="s">
        <v>2410</v>
      </c>
    </row>
    <row r="2406" spans="1:2">
      <c r="A2406" s="129" t="s">
        <v>1873</v>
      </c>
      <c r="B2406" s="129" t="s">
        <v>2417</v>
      </c>
    </row>
    <row r="2407" spans="1:2">
      <c r="A2407" s="129" t="s">
        <v>2243</v>
      </c>
      <c r="B2407" s="129" t="s">
        <v>2155</v>
      </c>
    </row>
    <row r="2408" spans="1:2">
      <c r="A2408" s="129" t="s">
        <v>497</v>
      </c>
      <c r="B2408" s="129" t="s">
        <v>3005</v>
      </c>
    </row>
    <row r="2409" spans="1:2">
      <c r="A2409" s="129" t="s">
        <v>497</v>
      </c>
      <c r="B2409" s="129" t="s">
        <v>2153</v>
      </c>
    </row>
    <row r="2410" spans="1:2">
      <c r="A2410" s="129" t="s">
        <v>155</v>
      </c>
      <c r="B2410" s="129" t="s">
        <v>3086</v>
      </c>
    </row>
    <row r="2411" spans="1:2">
      <c r="A2411" s="129" t="s">
        <v>3461</v>
      </c>
      <c r="B2411" s="129" t="s">
        <v>3005</v>
      </c>
    </row>
    <row r="2412" spans="1:2">
      <c r="A2412" s="129" t="s">
        <v>3462</v>
      </c>
      <c r="B2412" s="129" t="s">
        <v>2155</v>
      </c>
    </row>
    <row r="2413" spans="1:2">
      <c r="A2413" s="129" t="s">
        <v>385</v>
      </c>
      <c r="B2413" s="129" t="s">
        <v>3005</v>
      </c>
    </row>
    <row r="2414" spans="1:2">
      <c r="A2414" s="129" t="s">
        <v>2290</v>
      </c>
      <c r="B2414" s="129" t="s">
        <v>2153</v>
      </c>
    </row>
    <row r="2415" spans="1:2">
      <c r="A2415" s="129" t="s">
        <v>2290</v>
      </c>
      <c r="B2415" s="129" t="s">
        <v>3005</v>
      </c>
    </row>
    <row r="2416" spans="1:2">
      <c r="A2416" s="129" t="s">
        <v>3463</v>
      </c>
      <c r="B2416" s="129" t="s">
        <v>2153</v>
      </c>
    </row>
    <row r="2417" spans="1:2">
      <c r="A2417" s="129" t="s">
        <v>2563</v>
      </c>
      <c r="B2417" s="129" t="s">
        <v>3007</v>
      </c>
    </row>
    <row r="2418" spans="1:2">
      <c r="A2418" s="129" t="s">
        <v>2563</v>
      </c>
      <c r="B2418" s="129" t="s">
        <v>2155</v>
      </c>
    </row>
    <row r="2419" spans="1:2">
      <c r="A2419" s="129" t="s">
        <v>2456</v>
      </c>
      <c r="B2419" s="129" t="s">
        <v>3007</v>
      </c>
    </row>
    <row r="2420" spans="1:2">
      <c r="A2420" s="129" t="s">
        <v>2456</v>
      </c>
      <c r="B2420" s="129" t="s">
        <v>2155</v>
      </c>
    </row>
    <row r="2421" spans="1:2">
      <c r="A2421" s="129" t="s">
        <v>2502</v>
      </c>
      <c r="B2421" s="129" t="s">
        <v>3007</v>
      </c>
    </row>
    <row r="2422" spans="1:2">
      <c r="A2422" s="129" t="s">
        <v>887</v>
      </c>
      <c r="B2422" s="129" t="s">
        <v>3005</v>
      </c>
    </row>
    <row r="2423" spans="1:2">
      <c r="A2423" s="129" t="s">
        <v>697</v>
      </c>
      <c r="B2423" s="129" t="s">
        <v>3005</v>
      </c>
    </row>
    <row r="2424" spans="1:2">
      <c r="A2424" s="129" t="s">
        <v>2055</v>
      </c>
      <c r="B2424" s="129" t="s">
        <v>2410</v>
      </c>
    </row>
    <row r="2425" spans="1:2">
      <c r="A2425" s="129" t="s">
        <v>3464</v>
      </c>
      <c r="B2425" s="129" t="s">
        <v>2159</v>
      </c>
    </row>
    <row r="2426" spans="1:2">
      <c r="A2426" s="129" t="s">
        <v>1214</v>
      </c>
      <c r="B2426" s="129" t="s">
        <v>3005</v>
      </c>
    </row>
    <row r="2427" spans="1:2">
      <c r="A2427" s="129" t="s">
        <v>1214</v>
      </c>
      <c r="B2427" s="129" t="s">
        <v>2153</v>
      </c>
    </row>
    <row r="2428" spans="1:2">
      <c r="A2428" s="129" t="s">
        <v>222</v>
      </c>
      <c r="B2428" s="129" t="s">
        <v>3005</v>
      </c>
    </row>
    <row r="2429" spans="1:2">
      <c r="A2429" s="129" t="s">
        <v>222</v>
      </c>
      <c r="B2429" s="129" t="s">
        <v>2153</v>
      </c>
    </row>
    <row r="2430" spans="1:2">
      <c r="A2430" s="129" t="s">
        <v>2260</v>
      </c>
      <c r="B2430" s="129" t="s">
        <v>2155</v>
      </c>
    </row>
    <row r="2431" spans="1:2">
      <c r="A2431" s="129" t="s">
        <v>909</v>
      </c>
      <c r="B2431" s="129" t="s">
        <v>3005</v>
      </c>
    </row>
    <row r="2432" spans="1:2">
      <c r="A2432" s="129" t="s">
        <v>1519</v>
      </c>
      <c r="B2432" s="129" t="s">
        <v>2417</v>
      </c>
    </row>
    <row r="2433" spans="1:2">
      <c r="A2433" s="129" t="s">
        <v>1025</v>
      </c>
      <c r="B2433" s="129" t="s">
        <v>3005</v>
      </c>
    </row>
    <row r="2434" spans="1:2">
      <c r="A2434" s="129" t="s">
        <v>3465</v>
      </c>
      <c r="B2434" s="129" t="s">
        <v>3007</v>
      </c>
    </row>
    <row r="2435" spans="1:2">
      <c r="A2435" s="129" t="s">
        <v>3466</v>
      </c>
      <c r="B2435" s="129" t="s">
        <v>2155</v>
      </c>
    </row>
    <row r="2436" spans="1:2">
      <c r="A2436" s="129" t="s">
        <v>3467</v>
      </c>
      <c r="B2436" s="129" t="s">
        <v>2155</v>
      </c>
    </row>
    <row r="2437" spans="1:2">
      <c r="A2437" s="129" t="s">
        <v>3468</v>
      </c>
      <c r="B2437" s="129" t="s">
        <v>2155</v>
      </c>
    </row>
    <row r="2438" spans="1:2">
      <c r="A2438" s="129" t="s">
        <v>1900</v>
      </c>
      <c r="B2438" s="129" t="s">
        <v>2159</v>
      </c>
    </row>
    <row r="2439" spans="1:2">
      <c r="A2439" s="129" t="s">
        <v>3469</v>
      </c>
      <c r="B2439" s="129" t="s">
        <v>2159</v>
      </c>
    </row>
    <row r="2440" spans="1:2">
      <c r="A2440" s="129" t="s">
        <v>817</v>
      </c>
      <c r="B2440" s="129" t="s">
        <v>2410</v>
      </c>
    </row>
    <row r="2441" spans="1:2">
      <c r="A2441" s="129" t="s">
        <v>1295</v>
      </c>
      <c r="B2441" s="129" t="s">
        <v>2159</v>
      </c>
    </row>
    <row r="2442" spans="1:2">
      <c r="A2442" s="129" t="s">
        <v>1295</v>
      </c>
      <c r="B2442" s="129" t="s">
        <v>2410</v>
      </c>
    </row>
    <row r="2443" spans="1:2">
      <c r="A2443" s="129" t="s">
        <v>1994</v>
      </c>
      <c r="B2443" s="129" t="s">
        <v>3008</v>
      </c>
    </row>
    <row r="2444" spans="1:2">
      <c r="A2444" s="129" t="s">
        <v>282</v>
      </c>
      <c r="B2444" s="129" t="s">
        <v>3005</v>
      </c>
    </row>
    <row r="2445" spans="1:2">
      <c r="A2445" s="129" t="s">
        <v>1757</v>
      </c>
      <c r="B2445" s="129" t="s">
        <v>2417</v>
      </c>
    </row>
    <row r="2446" spans="1:2">
      <c r="A2446" s="129" t="s">
        <v>3470</v>
      </c>
      <c r="B2446" s="129" t="s">
        <v>2155</v>
      </c>
    </row>
    <row r="2447" spans="1:2">
      <c r="A2447" s="129" t="s">
        <v>3471</v>
      </c>
      <c r="B2447" s="129" t="s">
        <v>2159</v>
      </c>
    </row>
    <row r="2448" spans="1:2">
      <c r="A2448" s="129" t="s">
        <v>3472</v>
      </c>
      <c r="B2448" s="129" t="s">
        <v>2159</v>
      </c>
    </row>
    <row r="2449" spans="1:2">
      <c r="A2449" s="129" t="s">
        <v>1727</v>
      </c>
      <c r="B2449" s="129" t="s">
        <v>2159</v>
      </c>
    </row>
    <row r="2450" spans="1:2">
      <c r="A2450" s="129" t="s">
        <v>1761</v>
      </c>
      <c r="B2450" s="129" t="s">
        <v>2410</v>
      </c>
    </row>
    <row r="2451" spans="1:2">
      <c r="A2451" s="129" t="s">
        <v>1894</v>
      </c>
      <c r="B2451" s="129" t="s">
        <v>2410</v>
      </c>
    </row>
    <row r="2452" spans="1:2">
      <c r="A2452" s="129" t="s">
        <v>1894</v>
      </c>
      <c r="B2452" s="129" t="s">
        <v>2159</v>
      </c>
    </row>
    <row r="2453" spans="1:2">
      <c r="A2453" s="129" t="s">
        <v>1392</v>
      </c>
      <c r="B2453" s="129" t="s">
        <v>3008</v>
      </c>
    </row>
    <row r="2454" spans="1:2">
      <c r="A2454" s="129" t="s">
        <v>1392</v>
      </c>
      <c r="B2454" s="129" t="s">
        <v>2157</v>
      </c>
    </row>
    <row r="2455" spans="1:2">
      <c r="A2455" s="129" t="s">
        <v>150</v>
      </c>
      <c r="B2455" s="129" t="s">
        <v>3007</v>
      </c>
    </row>
    <row r="2456" spans="1:2">
      <c r="A2456" s="129" t="s">
        <v>1959</v>
      </c>
      <c r="B2456" s="129" t="s">
        <v>2410</v>
      </c>
    </row>
    <row r="2457" spans="1:2">
      <c r="A2457" s="129" t="s">
        <v>1916</v>
      </c>
      <c r="B2457" s="129" t="s">
        <v>2159</v>
      </c>
    </row>
    <row r="2458" spans="1:2">
      <c r="A2458" s="129" t="s">
        <v>1953</v>
      </c>
      <c r="B2458" s="129" t="s">
        <v>3008</v>
      </c>
    </row>
    <row r="2459" spans="1:2">
      <c r="A2459" s="129" t="s">
        <v>850</v>
      </c>
      <c r="B2459" s="129" t="s">
        <v>3008</v>
      </c>
    </row>
    <row r="2460" spans="1:2">
      <c r="A2460" s="129" t="s">
        <v>1924</v>
      </c>
      <c r="B2460" s="129" t="s">
        <v>3007</v>
      </c>
    </row>
    <row r="2461" spans="1:2">
      <c r="A2461" s="129" t="s">
        <v>1924</v>
      </c>
      <c r="B2461" s="129" t="s">
        <v>3005</v>
      </c>
    </row>
    <row r="2462" spans="1:2">
      <c r="A2462" s="129" t="s">
        <v>2098</v>
      </c>
      <c r="B2462" s="129" t="s">
        <v>2410</v>
      </c>
    </row>
    <row r="2463" spans="1:2">
      <c r="A2463" s="129" t="s">
        <v>3473</v>
      </c>
      <c r="B2463" s="129" t="s">
        <v>2155</v>
      </c>
    </row>
    <row r="2464" spans="1:2">
      <c r="A2464" s="129" t="s">
        <v>2545</v>
      </c>
      <c r="B2464" s="129" t="s">
        <v>2159</v>
      </c>
    </row>
    <row r="2465" spans="1:2">
      <c r="A2465" s="129" t="s">
        <v>1171</v>
      </c>
      <c r="B2465" s="129" t="s">
        <v>3005</v>
      </c>
    </row>
    <row r="2466" spans="1:2">
      <c r="A2466" s="129" t="s">
        <v>1809</v>
      </c>
      <c r="B2466" s="129" t="s">
        <v>3005</v>
      </c>
    </row>
    <row r="2467" spans="1:2">
      <c r="A2467" s="129" t="s">
        <v>1809</v>
      </c>
      <c r="B2467" s="129" t="s">
        <v>2153</v>
      </c>
    </row>
    <row r="2468" spans="1:2">
      <c r="A2468" s="129" t="s">
        <v>1908</v>
      </c>
      <c r="B2468" s="129" t="s">
        <v>2159</v>
      </c>
    </row>
    <row r="2469" spans="1:2">
      <c r="A2469" s="129" t="s">
        <v>552</v>
      </c>
      <c r="B2469" s="129" t="s">
        <v>3007</v>
      </c>
    </row>
    <row r="2470" spans="1:2">
      <c r="A2470" s="129" t="s">
        <v>1274</v>
      </c>
      <c r="B2470" s="129" t="s">
        <v>2159</v>
      </c>
    </row>
    <row r="2471" spans="1:2">
      <c r="A2471" s="129" t="s">
        <v>3474</v>
      </c>
      <c r="B2471" s="129" t="s">
        <v>2155</v>
      </c>
    </row>
    <row r="2472" spans="1:2">
      <c r="A2472" s="129" t="s">
        <v>1183</v>
      </c>
      <c r="B2472" s="129" t="s">
        <v>2410</v>
      </c>
    </row>
    <row r="2473" spans="1:2">
      <c r="A2473" s="129" t="s">
        <v>1272</v>
      </c>
      <c r="B2473" s="129" t="s">
        <v>3005</v>
      </c>
    </row>
    <row r="2474" spans="1:2">
      <c r="A2474" s="129" t="s">
        <v>1272</v>
      </c>
      <c r="B2474" s="129" t="s">
        <v>2153</v>
      </c>
    </row>
    <row r="2475" spans="1:2">
      <c r="A2475" s="129" t="s">
        <v>1272</v>
      </c>
      <c r="B2475" s="129" t="s">
        <v>2157</v>
      </c>
    </row>
    <row r="2476" spans="1:2">
      <c r="A2476" s="129" t="s">
        <v>2222</v>
      </c>
      <c r="B2476" s="129" t="s">
        <v>2159</v>
      </c>
    </row>
    <row r="2477" spans="1:2">
      <c r="A2477" s="129" t="s">
        <v>3475</v>
      </c>
      <c r="B2477" s="129" t="s">
        <v>2155</v>
      </c>
    </row>
    <row r="2478" spans="1:2">
      <c r="A2478" s="129" t="s">
        <v>2050</v>
      </c>
      <c r="B2478" s="129" t="s">
        <v>2155</v>
      </c>
    </row>
    <row r="2479" spans="1:2">
      <c r="A2479" s="129" t="s">
        <v>1830</v>
      </c>
      <c r="B2479" s="129" t="s">
        <v>2158</v>
      </c>
    </row>
    <row r="2480" spans="1:2">
      <c r="A2480" s="129" t="s">
        <v>1830</v>
      </c>
      <c r="B2480" s="129" t="s">
        <v>2159</v>
      </c>
    </row>
    <row r="2481" spans="1:2">
      <c r="A2481" s="129" t="s">
        <v>3476</v>
      </c>
      <c r="B2481" s="129" t="s">
        <v>2157</v>
      </c>
    </row>
    <row r="2482" spans="1:2">
      <c r="A2482" s="129" t="s">
        <v>3476</v>
      </c>
      <c r="B2482" s="129" t="s">
        <v>2159</v>
      </c>
    </row>
    <row r="2483" spans="1:2">
      <c r="A2483" s="129" t="s">
        <v>3476</v>
      </c>
      <c r="B2483" s="129" t="s">
        <v>3005</v>
      </c>
    </row>
    <row r="2484" spans="1:2">
      <c r="A2484" s="129" t="s">
        <v>3476</v>
      </c>
      <c r="B2484" s="129" t="s">
        <v>2410</v>
      </c>
    </row>
    <row r="2485" spans="1:2">
      <c r="A2485" s="129" t="s">
        <v>3476</v>
      </c>
      <c r="B2485" s="129" t="s">
        <v>2417</v>
      </c>
    </row>
    <row r="2486" spans="1:2">
      <c r="A2486" s="129" t="s">
        <v>2168</v>
      </c>
      <c r="B2486" s="129" t="s">
        <v>2157</v>
      </c>
    </row>
    <row r="2487" spans="1:2">
      <c r="A2487" s="129" t="s">
        <v>2168</v>
      </c>
      <c r="B2487" s="129" t="s">
        <v>2159</v>
      </c>
    </row>
    <row r="2488" spans="1:2">
      <c r="A2488" s="129" t="s">
        <v>2168</v>
      </c>
      <c r="B2488" s="129" t="s">
        <v>2417</v>
      </c>
    </row>
    <row r="2489" spans="1:2">
      <c r="A2489" s="129" t="s">
        <v>2013</v>
      </c>
      <c r="B2489" s="129" t="s">
        <v>2159</v>
      </c>
    </row>
    <row r="2490" spans="1:2">
      <c r="A2490" s="129" t="s">
        <v>3477</v>
      </c>
      <c r="B2490" s="129" t="s">
        <v>3005</v>
      </c>
    </row>
    <row r="2491" spans="1:2">
      <c r="A2491" s="129" t="s">
        <v>3477</v>
      </c>
      <c r="B2491" s="129" t="s">
        <v>2153</v>
      </c>
    </row>
    <row r="2492" spans="1:2">
      <c r="A2492" s="129" t="s">
        <v>673</v>
      </c>
      <c r="B2492" s="129" t="s">
        <v>3005</v>
      </c>
    </row>
    <row r="2493" spans="1:2">
      <c r="A2493" s="129" t="s">
        <v>3478</v>
      </c>
      <c r="B2493" s="129" t="s">
        <v>2155</v>
      </c>
    </row>
    <row r="2494" spans="1:2">
      <c r="A2494" s="129" t="s">
        <v>133</v>
      </c>
      <c r="B2494" s="129" t="s">
        <v>3007</v>
      </c>
    </row>
    <row r="2495" spans="1:2">
      <c r="A2495" s="129" t="s">
        <v>931</v>
      </c>
      <c r="B2495" s="129" t="s">
        <v>3005</v>
      </c>
    </row>
    <row r="2496" spans="1:2">
      <c r="A2496" s="129" t="s">
        <v>3479</v>
      </c>
      <c r="B2496" s="129" t="s">
        <v>2153</v>
      </c>
    </row>
    <row r="2497" spans="1:2">
      <c r="A2497" s="129" t="s">
        <v>2096</v>
      </c>
      <c r="B2497" s="129" t="s">
        <v>2410</v>
      </c>
    </row>
    <row r="2498" spans="1:2">
      <c r="A2498" s="129" t="s">
        <v>206</v>
      </c>
      <c r="B2498" s="129" t="s">
        <v>3005</v>
      </c>
    </row>
    <row r="2499" spans="1:2">
      <c r="A2499" s="129" t="s">
        <v>206</v>
      </c>
      <c r="B2499" s="129" t="s">
        <v>2153</v>
      </c>
    </row>
    <row r="2500" spans="1:2">
      <c r="A2500" s="129" t="s">
        <v>628</v>
      </c>
      <c r="B2500" s="129" t="s">
        <v>2153</v>
      </c>
    </row>
    <row r="2501" spans="1:2">
      <c r="A2501" s="129" t="s">
        <v>628</v>
      </c>
      <c r="B2501" s="129" t="s">
        <v>3005</v>
      </c>
    </row>
    <row r="2502" spans="1:2">
      <c r="A2502" s="129" t="s">
        <v>3480</v>
      </c>
      <c r="B2502" s="129" t="s">
        <v>2153</v>
      </c>
    </row>
    <row r="2503" spans="1:2">
      <c r="A2503" s="129" t="s">
        <v>561</v>
      </c>
      <c r="B2503" s="129" t="s">
        <v>2153</v>
      </c>
    </row>
    <row r="2504" spans="1:2">
      <c r="A2504" s="129" t="s">
        <v>561</v>
      </c>
      <c r="B2504" s="129" t="s">
        <v>3005</v>
      </c>
    </row>
    <row r="2505" spans="1:2">
      <c r="A2505" s="129" t="s">
        <v>1427</v>
      </c>
      <c r="B2505" s="129" t="s">
        <v>3005</v>
      </c>
    </row>
    <row r="2506" spans="1:2">
      <c r="A2506" s="129" t="s">
        <v>1427</v>
      </c>
      <c r="B2506" s="129" t="s">
        <v>2158</v>
      </c>
    </row>
    <row r="2507" spans="1:2">
      <c r="A2507" s="129" t="s">
        <v>1427</v>
      </c>
      <c r="B2507" s="129" t="s">
        <v>2153</v>
      </c>
    </row>
    <row r="2508" spans="1:2">
      <c r="A2508" s="129" t="s">
        <v>51</v>
      </c>
      <c r="B2508" s="129" t="s">
        <v>3007</v>
      </c>
    </row>
    <row r="2509" spans="1:2">
      <c r="A2509" s="129" t="s">
        <v>306</v>
      </c>
      <c r="B2509" s="129" t="s">
        <v>3005</v>
      </c>
    </row>
    <row r="2510" spans="1:2">
      <c r="A2510" s="129" t="s">
        <v>1850</v>
      </c>
      <c r="B2510" s="129" t="s">
        <v>2159</v>
      </c>
    </row>
    <row r="2511" spans="1:2">
      <c r="A2511" s="129" t="s">
        <v>2450</v>
      </c>
      <c r="B2511" s="129" t="s">
        <v>2159</v>
      </c>
    </row>
    <row r="2512" spans="1:2">
      <c r="A2512" s="129" t="s">
        <v>323</v>
      </c>
      <c r="B2512" s="129" t="s">
        <v>3005</v>
      </c>
    </row>
    <row r="2513" spans="1:2">
      <c r="A2513" s="129" t="s">
        <v>323</v>
      </c>
      <c r="B2513" s="129" t="s">
        <v>2153</v>
      </c>
    </row>
    <row r="2514" spans="1:2">
      <c r="A2514" s="129" t="s">
        <v>3481</v>
      </c>
      <c r="B2514" s="129" t="s">
        <v>2153</v>
      </c>
    </row>
    <row r="2515" spans="1:2">
      <c r="A2515" s="129" t="s">
        <v>2444</v>
      </c>
      <c r="B2515" s="129" t="s">
        <v>2410</v>
      </c>
    </row>
    <row r="2516" spans="1:2">
      <c r="A2516" s="129" t="s">
        <v>2444</v>
      </c>
      <c r="B2516" s="129" t="s">
        <v>2159</v>
      </c>
    </row>
    <row r="2517" spans="1:2">
      <c r="A2517" s="129" t="s">
        <v>2372</v>
      </c>
      <c r="B2517" s="129" t="s">
        <v>2153</v>
      </c>
    </row>
    <row r="2518" spans="1:2">
      <c r="A2518" s="129" t="s">
        <v>1108</v>
      </c>
      <c r="B2518" s="129" t="s">
        <v>3007</v>
      </c>
    </row>
    <row r="2519" spans="1:2">
      <c r="A2519" s="129" t="s">
        <v>1108</v>
      </c>
      <c r="B2519" s="129" t="s">
        <v>2155</v>
      </c>
    </row>
    <row r="2520" spans="1:2">
      <c r="A2520" s="129" t="s">
        <v>2179</v>
      </c>
      <c r="B2520" s="129" t="s">
        <v>2153</v>
      </c>
    </row>
    <row r="2521" spans="1:2">
      <c r="A2521" s="129" t="s">
        <v>2179</v>
      </c>
      <c r="B2521" s="129" t="s">
        <v>3005</v>
      </c>
    </row>
    <row r="2522" spans="1:2">
      <c r="A2522" s="129" t="s">
        <v>3482</v>
      </c>
      <c r="B2522" s="129" t="s">
        <v>2155</v>
      </c>
    </row>
    <row r="2523" spans="1:2">
      <c r="A2523" s="129" t="s">
        <v>3483</v>
      </c>
      <c r="B2523" s="129" t="s">
        <v>2155</v>
      </c>
    </row>
    <row r="2524" spans="1:2">
      <c r="A2524" s="129" t="s">
        <v>3484</v>
      </c>
      <c r="B2524" s="129" t="s">
        <v>2153</v>
      </c>
    </row>
    <row r="2525" spans="1:2">
      <c r="A2525" s="129" t="s">
        <v>1996</v>
      </c>
      <c r="B2525" s="129" t="s">
        <v>2417</v>
      </c>
    </row>
    <row r="2526" spans="1:2">
      <c r="A2526" s="129" t="s">
        <v>1331</v>
      </c>
      <c r="B2526" s="129" t="s">
        <v>2159</v>
      </c>
    </row>
    <row r="2527" spans="1:2">
      <c r="A2527" s="129" t="s">
        <v>1331</v>
      </c>
      <c r="B2527" s="129" t="s">
        <v>2410</v>
      </c>
    </row>
    <row r="2528" spans="1:2">
      <c r="A2528" s="129" t="s">
        <v>1275</v>
      </c>
      <c r="B2528" s="129" t="s">
        <v>2159</v>
      </c>
    </row>
    <row r="2529" spans="1:2">
      <c r="A2529" s="129" t="s">
        <v>1275</v>
      </c>
      <c r="B2529" s="129" t="s">
        <v>2410</v>
      </c>
    </row>
    <row r="2530" spans="1:2">
      <c r="A2530" s="129" t="s">
        <v>1278</v>
      </c>
      <c r="B2530" s="129" t="s">
        <v>2159</v>
      </c>
    </row>
    <row r="2531" spans="1:2">
      <c r="A2531" s="129" t="s">
        <v>1139</v>
      </c>
      <c r="B2531" s="129" t="s">
        <v>3005</v>
      </c>
    </row>
    <row r="2532" spans="1:2">
      <c r="A2532" s="129" t="s">
        <v>1211</v>
      </c>
      <c r="B2532" s="129" t="s">
        <v>3008</v>
      </c>
    </row>
    <row r="2533" spans="1:2">
      <c r="A2533" s="129" t="s">
        <v>3485</v>
      </c>
      <c r="B2533" s="129" t="s">
        <v>2155</v>
      </c>
    </row>
    <row r="2534" spans="1:2">
      <c r="A2534" s="129" t="s">
        <v>1353</v>
      </c>
      <c r="B2534" s="129" t="s">
        <v>2417</v>
      </c>
    </row>
    <row r="2535" spans="1:2">
      <c r="A2535" s="129" t="s">
        <v>2484</v>
      </c>
      <c r="B2535" s="129" t="s">
        <v>2155</v>
      </c>
    </row>
    <row r="2536" spans="1:2">
      <c r="A2536" s="129" t="s">
        <v>1199</v>
      </c>
      <c r="B2536" s="129" t="s">
        <v>3005</v>
      </c>
    </row>
    <row r="2537" spans="1:2">
      <c r="A2537" s="129" t="s">
        <v>447</v>
      </c>
      <c r="B2537" s="129" t="s">
        <v>2153</v>
      </c>
    </row>
    <row r="2538" spans="1:2">
      <c r="A2538" s="129" t="s">
        <v>447</v>
      </c>
      <c r="B2538" s="129" t="s">
        <v>3005</v>
      </c>
    </row>
    <row r="2539" spans="1:2">
      <c r="A2539" s="129" t="s">
        <v>3486</v>
      </c>
      <c r="B2539" s="129" t="s">
        <v>2159</v>
      </c>
    </row>
    <row r="2540" spans="1:2">
      <c r="A2540" s="129" t="s">
        <v>501</v>
      </c>
      <c r="B2540" s="129" t="s">
        <v>3005</v>
      </c>
    </row>
    <row r="2541" spans="1:2">
      <c r="A2541" s="129" t="s">
        <v>1872</v>
      </c>
      <c r="B2541" s="129" t="s">
        <v>3008</v>
      </c>
    </row>
    <row r="2542" spans="1:2">
      <c r="A2542" s="129" t="s">
        <v>1781</v>
      </c>
      <c r="B2542" s="129" t="s">
        <v>2158</v>
      </c>
    </row>
    <row r="2543" spans="1:2">
      <c r="A2543" s="129" t="s">
        <v>1702</v>
      </c>
      <c r="B2543" s="129" t="s">
        <v>2157</v>
      </c>
    </row>
    <row r="2544" spans="1:2">
      <c r="A2544" s="129" t="s">
        <v>2613</v>
      </c>
      <c r="B2544" s="129" t="s">
        <v>3007</v>
      </c>
    </row>
    <row r="2545" spans="1:2">
      <c r="A2545" s="129" t="s">
        <v>2613</v>
      </c>
      <c r="B2545" s="129" t="s">
        <v>3005</v>
      </c>
    </row>
    <row r="2546" spans="1:2">
      <c r="A2546" s="129" t="s">
        <v>2613</v>
      </c>
      <c r="B2546" s="129" t="s">
        <v>2153</v>
      </c>
    </row>
    <row r="2547" spans="1:2">
      <c r="A2547" s="129" t="s">
        <v>2613</v>
      </c>
      <c r="B2547" s="129" t="s">
        <v>2155</v>
      </c>
    </row>
    <row r="2548" spans="1:2">
      <c r="A2548" s="129" t="s">
        <v>3487</v>
      </c>
      <c r="B2548" s="129" t="s">
        <v>2159</v>
      </c>
    </row>
    <row r="2549" spans="1:2">
      <c r="A2549" s="129" t="s">
        <v>3488</v>
      </c>
      <c r="B2549" s="129" t="s">
        <v>2159</v>
      </c>
    </row>
    <row r="2550" spans="1:2">
      <c r="A2550" s="129" t="s">
        <v>1226</v>
      </c>
      <c r="B2550" s="129" t="s">
        <v>3007</v>
      </c>
    </row>
    <row r="2551" spans="1:2">
      <c r="A2551" s="129" t="s">
        <v>1226</v>
      </c>
      <c r="B2551" s="129" t="s">
        <v>2155</v>
      </c>
    </row>
    <row r="2552" spans="1:2">
      <c r="A2552" s="129" t="s">
        <v>1162</v>
      </c>
      <c r="B2552" s="129" t="s">
        <v>3005</v>
      </c>
    </row>
    <row r="2553" spans="1:2">
      <c r="A2553" s="129" t="s">
        <v>1162</v>
      </c>
      <c r="B2553" s="129" t="s">
        <v>2153</v>
      </c>
    </row>
    <row r="2554" spans="1:2">
      <c r="A2554" s="129" t="s">
        <v>2047</v>
      </c>
      <c r="B2554" s="129" t="s">
        <v>2410</v>
      </c>
    </row>
    <row r="2555" spans="1:2">
      <c r="A2555" s="129" t="s">
        <v>3489</v>
      </c>
      <c r="B2555" s="129" t="s">
        <v>2155</v>
      </c>
    </row>
    <row r="2556" spans="1:2">
      <c r="A2556" s="129" t="s">
        <v>1205</v>
      </c>
      <c r="B2556" s="129" t="s">
        <v>3005</v>
      </c>
    </row>
    <row r="2557" spans="1:2">
      <c r="A2557" s="129" t="s">
        <v>987</v>
      </c>
      <c r="B2557" s="129" t="s">
        <v>3008</v>
      </c>
    </row>
    <row r="2558" spans="1:2">
      <c r="A2558" s="129" t="s">
        <v>2494</v>
      </c>
      <c r="B2558" s="129" t="s">
        <v>2153</v>
      </c>
    </row>
    <row r="2559" spans="1:2">
      <c r="A2559" s="129" t="s">
        <v>2494</v>
      </c>
      <c r="B2559" s="129" t="s">
        <v>3005</v>
      </c>
    </row>
    <row r="2560" spans="1:2">
      <c r="A2560" s="129" t="s">
        <v>2636</v>
      </c>
      <c r="B2560" s="129" t="s">
        <v>3005</v>
      </c>
    </row>
    <row r="2561" spans="1:2">
      <c r="A2561" s="129" t="s">
        <v>2636</v>
      </c>
      <c r="B2561" s="129" t="s">
        <v>3007</v>
      </c>
    </row>
    <row r="2562" spans="1:2">
      <c r="A2562" s="129" t="s">
        <v>768</v>
      </c>
      <c r="B2562" s="129" t="s">
        <v>2153</v>
      </c>
    </row>
    <row r="2563" spans="1:2">
      <c r="A2563" s="129" t="s">
        <v>768</v>
      </c>
      <c r="B2563" s="129" t="s">
        <v>3005</v>
      </c>
    </row>
    <row r="2564" spans="1:2">
      <c r="A2564" s="129" t="s">
        <v>165</v>
      </c>
      <c r="B2564" s="129" t="s">
        <v>3005</v>
      </c>
    </row>
    <row r="2565" spans="1:2">
      <c r="A2565" s="129" t="s">
        <v>165</v>
      </c>
      <c r="B2565" s="129" t="s">
        <v>2153</v>
      </c>
    </row>
    <row r="2566" spans="1:2">
      <c r="A2566" s="129" t="s">
        <v>1661</v>
      </c>
      <c r="B2566" s="129" t="s">
        <v>2153</v>
      </c>
    </row>
    <row r="2567" spans="1:2">
      <c r="A2567" s="129" t="s">
        <v>1661</v>
      </c>
      <c r="B2567" s="129" t="s">
        <v>3005</v>
      </c>
    </row>
    <row r="2568" spans="1:2">
      <c r="A2568" s="129" t="s">
        <v>138</v>
      </c>
      <c r="B2568" s="129" t="s">
        <v>3086</v>
      </c>
    </row>
    <row r="2569" spans="1:2">
      <c r="A2569" s="129" t="s">
        <v>3490</v>
      </c>
      <c r="B2569" s="129" t="s">
        <v>2155</v>
      </c>
    </row>
    <row r="2570" spans="1:2">
      <c r="A2570" s="129" t="s">
        <v>757</v>
      </c>
      <c r="B2570" s="129" t="s">
        <v>3005</v>
      </c>
    </row>
    <row r="2571" spans="1:2">
      <c r="A2571" s="129" t="s">
        <v>3491</v>
      </c>
      <c r="B2571" s="129" t="s">
        <v>3007</v>
      </c>
    </row>
    <row r="2572" spans="1:2">
      <c r="A2572" s="129" t="s">
        <v>3492</v>
      </c>
      <c r="B2572" s="129" t="s">
        <v>2153</v>
      </c>
    </row>
    <row r="2573" spans="1:2">
      <c r="A2573" s="129" t="s">
        <v>1325</v>
      </c>
      <c r="B2573" s="129" t="s">
        <v>2157</v>
      </c>
    </row>
    <row r="2574" spans="1:2">
      <c r="A2574" s="129" t="s">
        <v>1325</v>
      </c>
      <c r="B2574" s="129" t="s">
        <v>2153</v>
      </c>
    </row>
    <row r="2575" spans="1:2">
      <c r="A2575" s="129" t="s">
        <v>1745</v>
      </c>
      <c r="B2575" s="129" t="s">
        <v>2417</v>
      </c>
    </row>
    <row r="2576" spans="1:2">
      <c r="A2576" s="129" t="s">
        <v>3493</v>
      </c>
      <c r="B2576" s="129" t="s">
        <v>2153</v>
      </c>
    </row>
    <row r="2577" spans="1:2">
      <c r="A2577" s="129" t="s">
        <v>1239</v>
      </c>
      <c r="B2577" s="129" t="s">
        <v>2410</v>
      </c>
    </row>
    <row r="2578" spans="1:2">
      <c r="A2578" s="129" t="s">
        <v>1239</v>
      </c>
      <c r="B2578" s="129" t="s">
        <v>2159</v>
      </c>
    </row>
    <row r="2579" spans="1:2">
      <c r="A2579" s="129" t="s">
        <v>1110</v>
      </c>
      <c r="B2579" s="129" t="s">
        <v>2410</v>
      </c>
    </row>
    <row r="2580" spans="1:2">
      <c r="A2580" s="129" t="s">
        <v>1405</v>
      </c>
      <c r="B2580" s="129" t="s">
        <v>2158</v>
      </c>
    </row>
    <row r="2581" spans="1:2">
      <c r="A2581" s="129" t="s">
        <v>3494</v>
      </c>
      <c r="B2581" s="129" t="s">
        <v>2159</v>
      </c>
    </row>
    <row r="2582" spans="1:2">
      <c r="A2582" s="129" t="s">
        <v>3495</v>
      </c>
      <c r="B2582" s="129" t="s">
        <v>2153</v>
      </c>
    </row>
    <row r="2583" spans="1:2">
      <c r="A2583" s="129" t="s">
        <v>1935</v>
      </c>
      <c r="B2583" s="129" t="s">
        <v>2410</v>
      </c>
    </row>
    <row r="2584" spans="1:2">
      <c r="A2584" s="129" t="s">
        <v>3496</v>
      </c>
      <c r="B2584" s="129" t="s">
        <v>2158</v>
      </c>
    </row>
    <row r="2585" spans="1:2">
      <c r="A2585" s="129" t="s">
        <v>3496</v>
      </c>
      <c r="B2585" s="129" t="s">
        <v>2153</v>
      </c>
    </row>
    <row r="2586" spans="1:2">
      <c r="A2586" s="129" t="s">
        <v>1087</v>
      </c>
      <c r="B2586" s="129" t="s">
        <v>2410</v>
      </c>
    </row>
    <row r="2587" spans="1:2">
      <c r="A2587" s="129" t="s">
        <v>2558</v>
      </c>
      <c r="B2587" s="129" t="s">
        <v>2159</v>
      </c>
    </row>
    <row r="2588" spans="1:2">
      <c r="A2588" s="129" t="s">
        <v>208</v>
      </c>
      <c r="B2588" s="129" t="s">
        <v>3005</v>
      </c>
    </row>
    <row r="2589" spans="1:2">
      <c r="A2589" s="129" t="s">
        <v>3497</v>
      </c>
      <c r="B2589" s="129" t="s">
        <v>2153</v>
      </c>
    </row>
    <row r="2590" spans="1:2">
      <c r="A2590" s="129" t="s">
        <v>3498</v>
      </c>
      <c r="B2590" s="129" t="s">
        <v>3005</v>
      </c>
    </row>
    <row r="2591" spans="1:2">
      <c r="A2591" s="129" t="s">
        <v>2244</v>
      </c>
      <c r="B2591" s="129" t="s">
        <v>2410</v>
      </c>
    </row>
    <row r="2592" spans="1:2">
      <c r="A2592" s="129" t="s">
        <v>2244</v>
      </c>
      <c r="B2592" s="129" t="s">
        <v>2159</v>
      </c>
    </row>
    <row r="2593" spans="1:2">
      <c r="A2593" s="129" t="s">
        <v>3499</v>
      </c>
      <c r="B2593" s="129" t="s">
        <v>2159</v>
      </c>
    </row>
    <row r="2594" spans="1:2">
      <c r="A2594" s="129" t="s">
        <v>3500</v>
      </c>
      <c r="B2594" s="129" t="s">
        <v>2159</v>
      </c>
    </row>
    <row r="2595" spans="1:2">
      <c r="A2595" s="129" t="s">
        <v>856</v>
      </c>
      <c r="B2595" s="129" t="s">
        <v>2417</v>
      </c>
    </row>
    <row r="2596" spans="1:2">
      <c r="A2596" s="129" t="s">
        <v>2043</v>
      </c>
      <c r="B2596" s="129" t="s">
        <v>2417</v>
      </c>
    </row>
    <row r="2597" spans="1:2">
      <c r="A2597" s="129" t="s">
        <v>1418</v>
      </c>
      <c r="B2597" s="129" t="s">
        <v>2159</v>
      </c>
    </row>
    <row r="2598" spans="1:2">
      <c r="A2598" s="129" t="s">
        <v>249</v>
      </c>
      <c r="B2598" s="129" t="s">
        <v>3005</v>
      </c>
    </row>
    <row r="2599" spans="1:2">
      <c r="A2599" s="129" t="s">
        <v>3501</v>
      </c>
      <c r="B2599" s="129" t="s">
        <v>2410</v>
      </c>
    </row>
    <row r="2600" spans="1:2">
      <c r="A2600" s="129" t="s">
        <v>1105</v>
      </c>
      <c r="B2600" s="129" t="s">
        <v>3005</v>
      </c>
    </row>
    <row r="2601" spans="1:2">
      <c r="A2601" s="129" t="s">
        <v>1502</v>
      </c>
      <c r="B2601" s="129" t="s">
        <v>2410</v>
      </c>
    </row>
    <row r="2602" spans="1:2">
      <c r="A2602" s="129" t="s">
        <v>2385</v>
      </c>
      <c r="B2602" s="129" t="s">
        <v>3007</v>
      </c>
    </row>
    <row r="2603" spans="1:2">
      <c r="A2603" s="129" t="s">
        <v>2385</v>
      </c>
      <c r="B2603" s="129" t="s">
        <v>2155</v>
      </c>
    </row>
    <row r="2604" spans="1:2">
      <c r="A2604" s="129" t="s">
        <v>2062</v>
      </c>
      <c r="B2604" s="129" t="s">
        <v>2159</v>
      </c>
    </row>
    <row r="2605" spans="1:2">
      <c r="A2605" s="129" t="s">
        <v>1421</v>
      </c>
      <c r="B2605" s="129" t="s">
        <v>2159</v>
      </c>
    </row>
    <row r="2606" spans="1:2">
      <c r="A2606" s="129" t="s">
        <v>1407</v>
      </c>
      <c r="B2606" s="129" t="s">
        <v>2159</v>
      </c>
    </row>
    <row r="2607" spans="1:2">
      <c r="A2607" s="129" t="s">
        <v>2572</v>
      </c>
      <c r="B2607" s="129" t="s">
        <v>2159</v>
      </c>
    </row>
    <row r="2608" spans="1:2">
      <c r="A2608" s="129" t="s">
        <v>1447</v>
      </c>
      <c r="B2608" s="129" t="s">
        <v>2158</v>
      </c>
    </row>
    <row r="2609" spans="1:2">
      <c r="A2609" s="129" t="s">
        <v>1447</v>
      </c>
      <c r="B2609" s="129" t="s">
        <v>2159</v>
      </c>
    </row>
    <row r="2610" spans="1:2">
      <c r="A2610" s="129" t="s">
        <v>182</v>
      </c>
      <c r="B2610" s="129" t="s">
        <v>3005</v>
      </c>
    </row>
    <row r="2611" spans="1:2">
      <c r="A2611" s="129" t="s">
        <v>465</v>
      </c>
      <c r="B2611" s="129" t="s">
        <v>3005</v>
      </c>
    </row>
    <row r="2612" spans="1:2">
      <c r="A2612" s="129" t="s">
        <v>1654</v>
      </c>
      <c r="B2612" s="129" t="s">
        <v>2410</v>
      </c>
    </row>
    <row r="2613" spans="1:2">
      <c r="A2613" s="129" t="s">
        <v>3502</v>
      </c>
      <c r="B2613" s="129" t="s">
        <v>2159</v>
      </c>
    </row>
    <row r="2614" spans="1:2">
      <c r="A2614" s="129" t="s">
        <v>1596</v>
      </c>
      <c r="B2614" s="129" t="s">
        <v>2159</v>
      </c>
    </row>
    <row r="2615" spans="1:2">
      <c r="A2615" s="129" t="s">
        <v>3503</v>
      </c>
      <c r="B2615" s="129" t="s">
        <v>2159</v>
      </c>
    </row>
    <row r="2616" spans="1:2">
      <c r="A2616" s="129" t="s">
        <v>3504</v>
      </c>
      <c r="B2616" s="129" t="s">
        <v>2153</v>
      </c>
    </row>
    <row r="2617" spans="1:2">
      <c r="A2617" s="129" t="s">
        <v>1133</v>
      </c>
      <c r="B2617" s="129" t="s">
        <v>3008</v>
      </c>
    </row>
    <row r="2618" spans="1:2">
      <c r="A2618" s="129" t="s">
        <v>2117</v>
      </c>
      <c r="B2618" s="129" t="s">
        <v>2410</v>
      </c>
    </row>
    <row r="2619" spans="1:2">
      <c r="A2619" s="129" t="s">
        <v>3505</v>
      </c>
      <c r="B2619" s="129" t="s">
        <v>2410</v>
      </c>
    </row>
    <row r="2620" spans="1:2">
      <c r="A2620" s="129" t="s">
        <v>2032</v>
      </c>
      <c r="B2620" s="129" t="s">
        <v>3005</v>
      </c>
    </row>
    <row r="2621" spans="1:2">
      <c r="A2621" s="129" t="s">
        <v>1875</v>
      </c>
      <c r="B2621" s="129" t="s">
        <v>3005</v>
      </c>
    </row>
    <row r="2622" spans="1:2">
      <c r="A2622" s="129" t="s">
        <v>1875</v>
      </c>
      <c r="B2622" s="129" t="s">
        <v>2158</v>
      </c>
    </row>
    <row r="2623" spans="1:2">
      <c r="A2623" s="129" t="s">
        <v>1875</v>
      </c>
      <c r="B2623" s="129" t="s">
        <v>2153</v>
      </c>
    </row>
    <row r="2624" spans="1:2">
      <c r="A2624" s="129" t="s">
        <v>3506</v>
      </c>
      <c r="B2624" s="129" t="s">
        <v>2158</v>
      </c>
    </row>
    <row r="2625" spans="1:2">
      <c r="A2625" s="129" t="s">
        <v>3506</v>
      </c>
      <c r="B2625" s="129" t="s">
        <v>3005</v>
      </c>
    </row>
    <row r="2626" spans="1:2">
      <c r="A2626" s="129" t="s">
        <v>509</v>
      </c>
      <c r="B2626" s="129" t="s">
        <v>3005</v>
      </c>
    </row>
    <row r="2627" spans="1:2">
      <c r="A2627" s="129" t="s">
        <v>929</v>
      </c>
      <c r="B2627" s="129" t="s">
        <v>3005</v>
      </c>
    </row>
    <row r="2628" spans="1:2">
      <c r="A2628" s="129" t="s">
        <v>3507</v>
      </c>
      <c r="B2628" s="129" t="s">
        <v>3007</v>
      </c>
    </row>
    <row r="2629" spans="1:2">
      <c r="A2629" s="129" t="s">
        <v>3507</v>
      </c>
      <c r="B2629" s="129" t="s">
        <v>2155</v>
      </c>
    </row>
    <row r="2630" spans="1:2">
      <c r="A2630" s="129" t="s">
        <v>66</v>
      </c>
      <c r="B2630" s="129" t="s">
        <v>3007</v>
      </c>
    </row>
    <row r="2631" spans="1:2">
      <c r="A2631" s="129" t="s">
        <v>3508</v>
      </c>
      <c r="B2631" s="129" t="s">
        <v>2155</v>
      </c>
    </row>
    <row r="2632" spans="1:2">
      <c r="A2632" s="129" t="s">
        <v>3509</v>
      </c>
      <c r="B2632" s="129" t="s">
        <v>2153</v>
      </c>
    </row>
    <row r="2633" spans="1:2">
      <c r="A2633" s="129" t="s">
        <v>545</v>
      </c>
      <c r="B2633" s="129" t="s">
        <v>2153</v>
      </c>
    </row>
    <row r="2634" spans="1:2">
      <c r="A2634" s="129" t="s">
        <v>603</v>
      </c>
      <c r="B2634" s="129" t="s">
        <v>3005</v>
      </c>
    </row>
    <row r="2635" spans="1:2">
      <c r="A2635" s="129" t="s">
        <v>176</v>
      </c>
      <c r="B2635" s="129" t="s">
        <v>3007</v>
      </c>
    </row>
    <row r="2636" spans="1:2">
      <c r="A2636" s="129" t="s">
        <v>176</v>
      </c>
      <c r="B2636" s="129" t="s">
        <v>2153</v>
      </c>
    </row>
    <row r="2637" spans="1:2">
      <c r="A2637" s="129" t="s">
        <v>2135</v>
      </c>
      <c r="B2637" s="129" t="s">
        <v>2153</v>
      </c>
    </row>
    <row r="2638" spans="1:2">
      <c r="A2638" s="129" t="s">
        <v>2135</v>
      </c>
      <c r="B2638" s="129" t="s">
        <v>2158</v>
      </c>
    </row>
    <row r="2639" spans="1:2">
      <c r="A2639" s="129" t="s">
        <v>2135</v>
      </c>
      <c r="B2639" s="129" t="s">
        <v>2157</v>
      </c>
    </row>
    <row r="2640" spans="1:2">
      <c r="A2640" s="129" t="s">
        <v>2135</v>
      </c>
      <c r="B2640" s="129" t="s">
        <v>2159</v>
      </c>
    </row>
    <row r="2641" spans="1:2">
      <c r="A2641" s="129" t="s">
        <v>3510</v>
      </c>
      <c r="B2641" s="129" t="s">
        <v>2159</v>
      </c>
    </row>
    <row r="2642" spans="1:2">
      <c r="A2642" s="129" t="s">
        <v>1664</v>
      </c>
      <c r="B2642" s="129" t="s">
        <v>2410</v>
      </c>
    </row>
    <row r="2643" spans="1:2">
      <c r="A2643" s="129" t="s">
        <v>1843</v>
      </c>
      <c r="B2643" s="129" t="s">
        <v>2410</v>
      </c>
    </row>
    <row r="2644" spans="1:2">
      <c r="A2644" s="129" t="s">
        <v>2487</v>
      </c>
      <c r="B2644" s="129" t="s">
        <v>3005</v>
      </c>
    </row>
    <row r="2645" spans="1:2">
      <c r="A2645" s="129" t="s">
        <v>2487</v>
      </c>
      <c r="B2645" s="129" t="s">
        <v>3007</v>
      </c>
    </row>
    <row r="2646" spans="1:2">
      <c r="A2646" s="129" t="s">
        <v>2487</v>
      </c>
      <c r="B2646" s="129" t="s">
        <v>2153</v>
      </c>
    </row>
    <row r="2647" spans="1:2">
      <c r="A2647" s="129" t="s">
        <v>154</v>
      </c>
      <c r="B2647" s="129" t="s">
        <v>3005</v>
      </c>
    </row>
    <row r="2648" spans="1:2">
      <c r="A2648" s="129" t="s">
        <v>154</v>
      </c>
      <c r="B2648" s="129" t="s">
        <v>3007</v>
      </c>
    </row>
    <row r="2649" spans="1:2">
      <c r="A2649" s="129" t="s">
        <v>1797</v>
      </c>
      <c r="B2649" s="129" t="s">
        <v>3008</v>
      </c>
    </row>
    <row r="2650" spans="1:2">
      <c r="A2650" s="129" t="s">
        <v>1826</v>
      </c>
      <c r="B2650" s="129" t="s">
        <v>2410</v>
      </c>
    </row>
    <row r="2651" spans="1:2">
      <c r="A2651" s="129" t="s">
        <v>184</v>
      </c>
      <c r="B2651" s="129" t="s">
        <v>3086</v>
      </c>
    </row>
    <row r="2652" spans="1:2">
      <c r="A2652" s="129" t="s">
        <v>2610</v>
      </c>
      <c r="B2652" s="129" t="s">
        <v>2155</v>
      </c>
    </row>
    <row r="2653" spans="1:2">
      <c r="A2653" s="129" t="s">
        <v>2131</v>
      </c>
      <c r="B2653" s="129" t="s">
        <v>2155</v>
      </c>
    </row>
    <row r="2654" spans="1:2">
      <c r="A2654" s="129" t="s">
        <v>3511</v>
      </c>
      <c r="B2654" s="129" t="s">
        <v>2155</v>
      </c>
    </row>
    <row r="2655" spans="1:2">
      <c r="A2655" s="129" t="s">
        <v>3512</v>
      </c>
      <c r="B2655" s="129" t="s">
        <v>2159</v>
      </c>
    </row>
    <row r="2656" spans="1:2">
      <c r="A2656" s="129" t="s">
        <v>3512</v>
      </c>
      <c r="B2656" s="129" t="s">
        <v>2410</v>
      </c>
    </row>
    <row r="2657" spans="1:2">
      <c r="A2657" s="129" t="s">
        <v>288</v>
      </c>
      <c r="B2657" s="129" t="s">
        <v>3005</v>
      </c>
    </row>
    <row r="2658" spans="1:2">
      <c r="A2658" s="129" t="s">
        <v>1741</v>
      </c>
      <c r="B2658" s="129" t="s">
        <v>3005</v>
      </c>
    </row>
    <row r="2659" spans="1:2">
      <c r="A2659" s="129" t="s">
        <v>3513</v>
      </c>
      <c r="B2659" s="129" t="s">
        <v>2153</v>
      </c>
    </row>
    <row r="2660" spans="1:2">
      <c r="A2660" s="129" t="s">
        <v>1807</v>
      </c>
      <c r="B2660" s="129" t="s">
        <v>2153</v>
      </c>
    </row>
    <row r="2661" spans="1:2">
      <c r="A2661" s="129" t="s">
        <v>1807</v>
      </c>
      <c r="B2661" s="129" t="s">
        <v>3005</v>
      </c>
    </row>
    <row r="2662" spans="1:2">
      <c r="A2662" s="129" t="s">
        <v>328</v>
      </c>
      <c r="B2662" s="129" t="s">
        <v>2153</v>
      </c>
    </row>
    <row r="2663" spans="1:2">
      <c r="A2663" s="129" t="s">
        <v>316</v>
      </c>
      <c r="B2663" s="129" t="s">
        <v>3005</v>
      </c>
    </row>
    <row r="2664" spans="1:2">
      <c r="A2664" s="129" t="s">
        <v>1929</v>
      </c>
      <c r="B2664" s="129" t="s">
        <v>3008</v>
      </c>
    </row>
    <row r="2665" spans="1:2">
      <c r="A2665" s="129" t="s">
        <v>1929</v>
      </c>
      <c r="B2665" s="129" t="s">
        <v>2157</v>
      </c>
    </row>
    <row r="2666" spans="1:2">
      <c r="A2666" s="129" t="s">
        <v>262</v>
      </c>
      <c r="B2666" s="129" t="s">
        <v>3005</v>
      </c>
    </row>
    <row r="2667" spans="1:2">
      <c r="A2667" s="129" t="s">
        <v>262</v>
      </c>
      <c r="B2667" s="129" t="s">
        <v>2153</v>
      </c>
    </row>
    <row r="2668" spans="1:2">
      <c r="A2668" s="129" t="s">
        <v>3514</v>
      </c>
      <c r="B2668" s="129" t="s">
        <v>2159</v>
      </c>
    </row>
    <row r="2669" spans="1:2">
      <c r="A2669" s="129" t="s">
        <v>1960</v>
      </c>
      <c r="B2669" s="129" t="s">
        <v>2159</v>
      </c>
    </row>
    <row r="2670" spans="1:2">
      <c r="A2670" s="129" t="s">
        <v>3515</v>
      </c>
      <c r="B2670" s="129" t="s">
        <v>2155</v>
      </c>
    </row>
    <row r="2671" spans="1:2">
      <c r="A2671" s="129" t="s">
        <v>3515</v>
      </c>
      <c r="B2671" s="129" t="s">
        <v>3007</v>
      </c>
    </row>
    <row r="2672" spans="1:2">
      <c r="A2672" s="129" t="s">
        <v>3516</v>
      </c>
      <c r="B2672" s="129" t="s">
        <v>3007</v>
      </c>
    </row>
    <row r="2673" spans="1:2">
      <c r="A2673" s="129" t="s">
        <v>3516</v>
      </c>
      <c r="B2673" s="129" t="s">
        <v>2155</v>
      </c>
    </row>
    <row r="2674" spans="1:2">
      <c r="A2674" s="129" t="s">
        <v>2353</v>
      </c>
      <c r="B2674" s="129" t="s">
        <v>2153</v>
      </c>
    </row>
    <row r="2675" spans="1:2">
      <c r="A2675" s="129" t="s">
        <v>2557</v>
      </c>
      <c r="B2675" s="129" t="s">
        <v>2159</v>
      </c>
    </row>
    <row r="2676" spans="1:2">
      <c r="A2676" s="129" t="s">
        <v>2289</v>
      </c>
      <c r="B2676" s="129" t="s">
        <v>3005</v>
      </c>
    </row>
    <row r="2677" spans="1:2">
      <c r="A2677" s="129" t="s">
        <v>2289</v>
      </c>
      <c r="B2677" s="129" t="s">
        <v>2153</v>
      </c>
    </row>
    <row r="2678" spans="1:2">
      <c r="A2678" s="129" t="s">
        <v>2383</v>
      </c>
      <c r="B2678" s="129" t="s">
        <v>2153</v>
      </c>
    </row>
    <row r="2679" spans="1:2">
      <c r="A2679" s="129" t="s">
        <v>2383</v>
      </c>
      <c r="B2679" s="129" t="s">
        <v>3005</v>
      </c>
    </row>
    <row r="2680" spans="1:2">
      <c r="A2680" s="129" t="s">
        <v>2383</v>
      </c>
      <c r="B2680" s="129" t="s">
        <v>3517</v>
      </c>
    </row>
    <row r="2681" spans="1:2">
      <c r="A2681" s="129" t="s">
        <v>2383</v>
      </c>
      <c r="B2681" s="129" t="s">
        <v>3518</v>
      </c>
    </row>
    <row r="2682" spans="1:2">
      <c r="A2682" s="129" t="s">
        <v>1901</v>
      </c>
      <c r="B2682" s="129" t="s">
        <v>2159</v>
      </c>
    </row>
    <row r="2683" spans="1:2">
      <c r="A2683" s="129" t="s">
        <v>302</v>
      </c>
      <c r="B2683" s="129" t="s">
        <v>3005</v>
      </c>
    </row>
    <row r="2684" spans="1:2">
      <c r="A2684" s="129" t="s">
        <v>1631</v>
      </c>
      <c r="B2684" s="129" t="s">
        <v>2159</v>
      </c>
    </row>
    <row r="2685" spans="1:2">
      <c r="A2685" s="129" t="s">
        <v>2064</v>
      </c>
      <c r="B2685" s="129" t="s">
        <v>3008</v>
      </c>
    </row>
    <row r="2686" spans="1:2">
      <c r="A2686" s="129" t="s">
        <v>3519</v>
      </c>
      <c r="B2686" s="129" t="s">
        <v>2155</v>
      </c>
    </row>
    <row r="2687" spans="1:2">
      <c r="A2687" s="129" t="s">
        <v>1195</v>
      </c>
      <c r="B2687" s="129" t="s">
        <v>3005</v>
      </c>
    </row>
    <row r="2688" spans="1:2">
      <c r="A2688" s="129" t="s">
        <v>1195</v>
      </c>
      <c r="B2688" s="129" t="s">
        <v>2153</v>
      </c>
    </row>
    <row r="2689" spans="1:2">
      <c r="A2689" s="129" t="s">
        <v>1000</v>
      </c>
      <c r="B2689" s="129" t="s">
        <v>2153</v>
      </c>
    </row>
    <row r="2690" spans="1:2">
      <c r="A2690" s="129" t="s">
        <v>1486</v>
      </c>
      <c r="B2690" s="129" t="s">
        <v>2159</v>
      </c>
    </row>
    <row r="2691" spans="1:2">
      <c r="A2691" s="129" t="s">
        <v>1951</v>
      </c>
      <c r="B2691" s="129" t="s">
        <v>2410</v>
      </c>
    </row>
    <row r="2692" spans="1:2">
      <c r="A2692" s="129" t="s">
        <v>1705</v>
      </c>
      <c r="B2692" s="129" t="s">
        <v>2417</v>
      </c>
    </row>
    <row r="2693" spans="1:2">
      <c r="A2693" s="129" t="s">
        <v>2447</v>
      </c>
      <c r="B2693" s="129" t="s">
        <v>2153</v>
      </c>
    </row>
    <row r="2694" spans="1:2">
      <c r="A2694" s="129" t="s">
        <v>2447</v>
      </c>
      <c r="B2694" s="129" t="s">
        <v>3005</v>
      </c>
    </row>
    <row r="2695" spans="1:2">
      <c r="A2695" s="129" t="s">
        <v>1912</v>
      </c>
      <c r="B2695" s="129" t="s">
        <v>2159</v>
      </c>
    </row>
    <row r="2696" spans="1:2">
      <c r="A2696" s="129" t="s">
        <v>2066</v>
      </c>
      <c r="B2696" s="129" t="s">
        <v>2410</v>
      </c>
    </row>
    <row r="2697" spans="1:2">
      <c r="A2697" s="129" t="s">
        <v>1943</v>
      </c>
      <c r="B2697" s="129" t="s">
        <v>3008</v>
      </c>
    </row>
    <row r="2698" spans="1:2">
      <c r="A2698" s="129" t="s">
        <v>242</v>
      </c>
      <c r="B2698" s="129" t="s">
        <v>3005</v>
      </c>
    </row>
    <row r="2699" spans="1:2">
      <c r="A2699" s="129" t="s">
        <v>407</v>
      </c>
      <c r="B2699" s="129" t="s">
        <v>3005</v>
      </c>
    </row>
    <row r="2700" spans="1:2">
      <c r="A2700" s="129" t="s">
        <v>1540</v>
      </c>
      <c r="B2700" s="129" t="s">
        <v>2159</v>
      </c>
    </row>
    <row r="2701" spans="1:2">
      <c r="A2701" s="129" t="s">
        <v>2419</v>
      </c>
      <c r="B2701" s="129" t="s">
        <v>2153</v>
      </c>
    </row>
    <row r="2702" spans="1:2">
      <c r="A2702" s="129" t="s">
        <v>2419</v>
      </c>
      <c r="B2702" s="129" t="s">
        <v>3005</v>
      </c>
    </row>
    <row r="2703" spans="1:2">
      <c r="A2703" s="129" t="s">
        <v>1141</v>
      </c>
      <c r="B2703" s="129" t="s">
        <v>3005</v>
      </c>
    </row>
    <row r="2704" spans="1:2">
      <c r="A2704" s="129" t="s">
        <v>2115</v>
      </c>
      <c r="B2704" s="129" t="s">
        <v>2410</v>
      </c>
    </row>
    <row r="2705" spans="1:2">
      <c r="A2705" s="129" t="s">
        <v>226</v>
      </c>
      <c r="B2705" s="129" t="s">
        <v>3005</v>
      </c>
    </row>
    <row r="2706" spans="1:2">
      <c r="A2706" s="129" t="s">
        <v>1773</v>
      </c>
      <c r="B2706" s="129" t="s">
        <v>2410</v>
      </c>
    </row>
    <row r="2707" spans="1:2">
      <c r="A2707" s="129" t="s">
        <v>2250</v>
      </c>
      <c r="B2707" s="129" t="s">
        <v>3005</v>
      </c>
    </row>
    <row r="2708" spans="1:2">
      <c r="A2708" s="129" t="s">
        <v>2590</v>
      </c>
      <c r="B2708" s="129" t="s">
        <v>2159</v>
      </c>
    </row>
    <row r="2709" spans="1:2">
      <c r="A2709" s="129" t="s">
        <v>3520</v>
      </c>
      <c r="B2709" s="129" t="s">
        <v>2153</v>
      </c>
    </row>
    <row r="2710" spans="1:2">
      <c r="A2710" s="129" t="s">
        <v>1190</v>
      </c>
      <c r="B2710" s="129" t="s">
        <v>3005</v>
      </c>
    </row>
    <row r="2711" spans="1:2">
      <c r="A2711" s="129" t="s">
        <v>1190</v>
      </c>
      <c r="B2711" s="129" t="s">
        <v>2153</v>
      </c>
    </row>
    <row r="2712" spans="1:2">
      <c r="A2712" s="129" t="s">
        <v>1798</v>
      </c>
      <c r="B2712" s="129" t="s">
        <v>2157</v>
      </c>
    </row>
    <row r="2713" spans="1:2">
      <c r="A2713" s="129" t="s">
        <v>1798</v>
      </c>
      <c r="B2713" s="129" t="s">
        <v>3005</v>
      </c>
    </row>
    <row r="2714" spans="1:2">
      <c r="A2714" s="129" t="s">
        <v>1798</v>
      </c>
      <c r="B2714" s="129" t="s">
        <v>2153</v>
      </c>
    </row>
    <row r="2715" spans="1:2">
      <c r="A2715" s="129" t="s">
        <v>1249</v>
      </c>
      <c r="B2715" s="129" t="s">
        <v>3008</v>
      </c>
    </row>
    <row r="2716" spans="1:2">
      <c r="A2716" s="129" t="s">
        <v>1249</v>
      </c>
      <c r="B2716" s="129" t="s">
        <v>2157</v>
      </c>
    </row>
    <row r="2717" spans="1:2">
      <c r="A2717" s="129" t="s">
        <v>430</v>
      </c>
      <c r="B2717" s="129" t="s">
        <v>2153</v>
      </c>
    </row>
    <row r="2718" spans="1:2">
      <c r="A2718" s="129" t="s">
        <v>1497</v>
      </c>
      <c r="B2718" s="129" t="s">
        <v>2410</v>
      </c>
    </row>
    <row r="2719" spans="1:2">
      <c r="A2719" s="129" t="s">
        <v>2007</v>
      </c>
      <c r="B2719" s="129" t="s">
        <v>3008</v>
      </c>
    </row>
    <row r="2720" spans="1:2">
      <c r="A2720" s="129" t="s">
        <v>3521</v>
      </c>
      <c r="B2720" s="129" t="s">
        <v>3007</v>
      </c>
    </row>
    <row r="2721" spans="1:2">
      <c r="A2721" s="129" t="s">
        <v>1581</v>
      </c>
      <c r="B2721" s="129" t="s">
        <v>2159</v>
      </c>
    </row>
    <row r="2722" spans="1:2">
      <c r="A2722" s="129" t="s">
        <v>1581</v>
      </c>
      <c r="B2722" s="129" t="s">
        <v>2410</v>
      </c>
    </row>
    <row r="2723" spans="1:2">
      <c r="A2723" s="129" t="s">
        <v>788</v>
      </c>
      <c r="B2723" s="129" t="s">
        <v>3005</v>
      </c>
    </row>
    <row r="2724" spans="1:2">
      <c r="A2724" s="129" t="s">
        <v>1372</v>
      </c>
      <c r="B2724" s="129" t="s">
        <v>2410</v>
      </c>
    </row>
    <row r="2725" spans="1:2">
      <c r="A2725" s="129" t="s">
        <v>1372</v>
      </c>
      <c r="B2725" s="129" t="s">
        <v>2159</v>
      </c>
    </row>
    <row r="2726" spans="1:2">
      <c r="A2726" s="129" t="s">
        <v>294</v>
      </c>
      <c r="B2726" s="129" t="s">
        <v>3005</v>
      </c>
    </row>
    <row r="2727" spans="1:2">
      <c r="A2727" s="129" t="s">
        <v>1684</v>
      </c>
      <c r="B2727" s="129" t="s">
        <v>3008</v>
      </c>
    </row>
    <row r="2728" spans="1:2">
      <c r="A2728" s="129" t="s">
        <v>1417</v>
      </c>
      <c r="B2728" s="129" t="s">
        <v>2410</v>
      </c>
    </row>
    <row r="2729" spans="1:2">
      <c r="A2729" s="129" t="s">
        <v>2015</v>
      </c>
      <c r="B2729" s="129" t="s">
        <v>2410</v>
      </c>
    </row>
    <row r="2730" spans="1:2">
      <c r="A2730" s="129" t="s">
        <v>1034</v>
      </c>
      <c r="B2730" s="129" t="s">
        <v>2410</v>
      </c>
    </row>
    <row r="2731" spans="1:2">
      <c r="A2731" s="129" t="s">
        <v>901</v>
      </c>
      <c r="B2731" s="129" t="s">
        <v>2410</v>
      </c>
    </row>
    <row r="2732" spans="1:2">
      <c r="A2732" s="129" t="s">
        <v>2453</v>
      </c>
      <c r="B2732" s="129" t="s">
        <v>3007</v>
      </c>
    </row>
    <row r="2733" spans="1:2">
      <c r="A2733" s="129" t="s">
        <v>3522</v>
      </c>
      <c r="B2733" s="129" t="s">
        <v>3005</v>
      </c>
    </row>
    <row r="2734" spans="1:2">
      <c r="A2734" s="129" t="s">
        <v>3522</v>
      </c>
      <c r="B2734" s="129" t="s">
        <v>2153</v>
      </c>
    </row>
    <row r="2735" spans="1:2">
      <c r="A2735" s="129" t="s">
        <v>1845</v>
      </c>
      <c r="B2735" s="129" t="s">
        <v>2159</v>
      </c>
    </row>
    <row r="2736" spans="1:2">
      <c r="A2736" s="129" t="s">
        <v>1845</v>
      </c>
      <c r="B2736" s="129" t="s">
        <v>2410</v>
      </c>
    </row>
    <row r="2737" spans="1:2">
      <c r="A2737" s="129" t="s">
        <v>1721</v>
      </c>
      <c r="B2737" s="129" t="s">
        <v>2417</v>
      </c>
    </row>
    <row r="2738" spans="1:2">
      <c r="A2738" s="129" t="s">
        <v>3523</v>
      </c>
      <c r="B2738" s="129" t="s">
        <v>2159</v>
      </c>
    </row>
    <row r="2739" spans="1:2">
      <c r="A2739" s="129" t="s">
        <v>1692</v>
      </c>
      <c r="B2739" s="129" t="s">
        <v>2159</v>
      </c>
    </row>
  </sheetData>
  <autoFilter ref="A1:B2739" xr:uid="{9BCC25D5-DBC7-4224-8FE2-AA76A93A335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18"/>
  <sheetViews>
    <sheetView topLeftCell="A19" workbookViewId="0">
      <selection activeCell="A31" sqref="A31"/>
    </sheetView>
  </sheetViews>
  <sheetFormatPr defaultRowHeight="15"/>
  <cols>
    <col min="1" max="1" width="16.7109375" customWidth="1"/>
    <col min="2" max="2" width="19.28515625" customWidth="1"/>
    <col min="3" max="3" width="60.42578125" customWidth="1"/>
    <col min="4" max="5" width="18.85546875" customWidth="1"/>
    <col min="6" max="6" width="18.7109375" customWidth="1"/>
    <col min="7" max="7" width="18.85546875" customWidth="1"/>
    <col min="8" max="8" width="23" customWidth="1"/>
    <col min="9" max="9" width="20" customWidth="1"/>
    <col min="10" max="10" width="14.28515625" customWidth="1"/>
    <col min="11" max="11" width="14.85546875" customWidth="1"/>
    <col min="12" max="12" width="18" customWidth="1"/>
    <col min="13" max="13" width="16.7109375" customWidth="1"/>
    <col min="14" max="14" width="24.42578125" bestFit="1" customWidth="1"/>
    <col min="15" max="15" width="110.42578125" customWidth="1"/>
  </cols>
  <sheetData>
    <row r="1" spans="1:15" ht="49.5" customHeight="1">
      <c r="A1" s="50" t="s">
        <v>0</v>
      </c>
      <c r="B1" s="50" t="s">
        <v>1728</v>
      </c>
      <c r="C1" s="48" t="s">
        <v>2648</v>
      </c>
      <c r="D1" s="48" t="s">
        <v>2683</v>
      </c>
      <c r="E1" s="48" t="s">
        <v>2682</v>
      </c>
      <c r="F1" s="47" t="s">
        <v>2527</v>
      </c>
      <c r="G1" s="47" t="s">
        <v>2529</v>
      </c>
      <c r="H1" s="47" t="s">
        <v>2528</v>
      </c>
      <c r="I1" s="49" t="s">
        <v>2161</v>
      </c>
      <c r="J1" s="49" t="s">
        <v>2164</v>
      </c>
      <c r="K1" s="49" t="s">
        <v>2162</v>
      </c>
      <c r="L1" s="49" t="s">
        <v>2163</v>
      </c>
      <c r="M1" s="47" t="s">
        <v>2399</v>
      </c>
      <c r="N1" s="47" t="s">
        <v>2684</v>
      </c>
      <c r="O1" s="47" t="s">
        <v>1742</v>
      </c>
    </row>
    <row r="2" spans="1:15">
      <c r="A2" s="30" t="s">
        <v>2158</v>
      </c>
      <c r="B2" s="30" t="s">
        <v>2657</v>
      </c>
      <c r="C2" s="14" t="s">
        <v>2649</v>
      </c>
      <c r="D2" s="31">
        <v>9329.0499999999993</v>
      </c>
      <c r="E2" s="31">
        <v>12527.04</v>
      </c>
      <c r="F2" s="13"/>
      <c r="G2" s="13"/>
      <c r="H2" s="13"/>
      <c r="I2" s="13"/>
      <c r="J2" s="13"/>
      <c r="K2" s="13"/>
      <c r="L2" s="5" t="s">
        <v>1743</v>
      </c>
      <c r="M2" s="26">
        <v>45537</v>
      </c>
      <c r="N2" s="25" t="s">
        <v>2697</v>
      </c>
      <c r="O2" s="6" t="s">
        <v>2650</v>
      </c>
    </row>
    <row r="3" spans="1:15">
      <c r="A3" s="30" t="s">
        <v>2158</v>
      </c>
      <c r="B3" s="30" t="s">
        <v>2658</v>
      </c>
      <c r="C3" s="11" t="s">
        <v>2649</v>
      </c>
      <c r="D3" s="31">
        <v>71304.539999999994</v>
      </c>
      <c r="E3" s="31">
        <v>85692.93</v>
      </c>
      <c r="F3" s="5"/>
      <c r="G3" s="5"/>
      <c r="H3" s="5"/>
      <c r="I3" s="5"/>
      <c r="J3" s="5"/>
      <c r="K3" s="13"/>
      <c r="L3" s="5" t="s">
        <v>1743</v>
      </c>
      <c r="M3" s="26">
        <v>45537</v>
      </c>
      <c r="N3" s="26" t="s">
        <v>2698</v>
      </c>
      <c r="O3" s="6" t="s">
        <v>2651</v>
      </c>
    </row>
    <row r="4" spans="1:15">
      <c r="A4" s="30" t="s">
        <v>2158</v>
      </c>
      <c r="B4" s="30" t="s">
        <v>1360</v>
      </c>
      <c r="C4" s="11" t="s">
        <v>1361</v>
      </c>
      <c r="D4" s="32">
        <v>47544.29</v>
      </c>
      <c r="E4" s="32">
        <v>105084.64</v>
      </c>
      <c r="F4" s="13"/>
      <c r="G4" s="13"/>
      <c r="H4" s="13"/>
      <c r="I4" s="13"/>
      <c r="J4" s="13"/>
      <c r="K4" s="13"/>
      <c r="L4" s="13" t="s">
        <v>1743</v>
      </c>
      <c r="M4" s="26">
        <v>45610</v>
      </c>
      <c r="N4" s="26" t="s">
        <v>2727</v>
      </c>
      <c r="O4" s="6" t="s">
        <v>2728</v>
      </c>
    </row>
    <row r="5" spans="1:15">
      <c r="A5" s="30" t="s">
        <v>2157</v>
      </c>
      <c r="B5" s="30" t="s">
        <v>1750</v>
      </c>
      <c r="C5" s="11" t="s">
        <v>2655</v>
      </c>
      <c r="D5" s="32">
        <v>98423.34</v>
      </c>
      <c r="E5" s="32">
        <v>129841.68</v>
      </c>
      <c r="F5" s="13"/>
      <c r="G5" s="13"/>
      <c r="H5" s="13"/>
      <c r="I5" s="5"/>
      <c r="J5" s="13"/>
      <c r="K5" s="13"/>
      <c r="L5" s="13" t="s">
        <v>1743</v>
      </c>
      <c r="M5" s="26">
        <v>45518</v>
      </c>
      <c r="N5" s="26" t="s">
        <v>2687</v>
      </c>
      <c r="O5" s="6" t="s">
        <v>2656</v>
      </c>
    </row>
    <row r="6" spans="1:15">
      <c r="A6" s="30" t="s">
        <v>2157</v>
      </c>
      <c r="B6" s="30" t="s">
        <v>2659</v>
      </c>
      <c r="C6" s="11" t="s">
        <v>2655</v>
      </c>
      <c r="D6" s="31">
        <v>8949.4</v>
      </c>
      <c r="E6" s="31">
        <v>14962.57</v>
      </c>
      <c r="F6" s="13"/>
      <c r="G6" s="13"/>
      <c r="H6" s="13"/>
      <c r="I6" s="5"/>
      <c r="J6" s="5"/>
      <c r="K6" s="13"/>
      <c r="L6" s="13" t="s">
        <v>1743</v>
      </c>
      <c r="M6" s="26">
        <v>45516</v>
      </c>
      <c r="N6" s="26" t="s">
        <v>2686</v>
      </c>
      <c r="O6" s="30" t="s">
        <v>2681</v>
      </c>
    </row>
    <row r="7" spans="1:15">
      <c r="A7" s="6" t="s">
        <v>2157</v>
      </c>
      <c r="B7" s="30" t="s">
        <v>1787</v>
      </c>
      <c r="C7" s="11" t="s">
        <v>2661</v>
      </c>
      <c r="D7" s="32">
        <v>11218.4</v>
      </c>
      <c r="E7" s="32">
        <v>129841.68</v>
      </c>
      <c r="F7" s="13" t="s">
        <v>1743</v>
      </c>
      <c r="G7" s="13"/>
      <c r="H7" s="13"/>
      <c r="I7" s="13"/>
      <c r="J7" s="13"/>
      <c r="K7" s="13"/>
      <c r="L7" s="5"/>
      <c r="M7" s="26"/>
      <c r="N7" s="26"/>
      <c r="O7" s="6" t="s">
        <v>2680</v>
      </c>
    </row>
    <row r="8" spans="1:15">
      <c r="A8" s="6" t="s">
        <v>2159</v>
      </c>
      <c r="B8" s="30" t="s">
        <v>1780</v>
      </c>
      <c r="C8" s="11" t="s">
        <v>2295</v>
      </c>
      <c r="D8" s="31">
        <v>30213.35</v>
      </c>
      <c r="E8" s="31"/>
      <c r="F8" s="13" t="s">
        <v>1743</v>
      </c>
      <c r="G8" s="13"/>
      <c r="H8" s="13"/>
      <c r="I8" s="5"/>
      <c r="J8" s="5"/>
      <c r="K8" s="5"/>
      <c r="L8" s="13"/>
      <c r="M8" s="26"/>
      <c r="N8" s="26"/>
      <c r="O8" s="6" t="s">
        <v>2663</v>
      </c>
    </row>
    <row r="9" spans="1:15">
      <c r="A9" s="6" t="s">
        <v>2159</v>
      </c>
      <c r="B9" s="30" t="s">
        <v>1534</v>
      </c>
      <c r="C9" s="58" t="s">
        <v>1535</v>
      </c>
      <c r="D9" s="31">
        <v>36607.370000000003</v>
      </c>
      <c r="E9" s="31"/>
      <c r="F9" s="5" t="s">
        <v>1743</v>
      </c>
      <c r="G9" s="5"/>
      <c r="H9" s="5"/>
      <c r="I9" s="5"/>
      <c r="J9" s="5"/>
      <c r="K9" s="13"/>
      <c r="L9" s="13"/>
      <c r="M9" s="13"/>
      <c r="N9" s="13"/>
      <c r="O9" s="30" t="s">
        <v>2664</v>
      </c>
    </row>
    <row r="10" spans="1:15">
      <c r="A10" s="30" t="s">
        <v>2159</v>
      </c>
      <c r="B10" s="30" t="s">
        <v>1306</v>
      </c>
      <c r="C10" s="11" t="s">
        <v>1307</v>
      </c>
      <c r="D10" s="32">
        <v>26399.83</v>
      </c>
      <c r="E10" s="32">
        <v>35527.57</v>
      </c>
      <c r="F10" s="5"/>
      <c r="G10" s="5"/>
      <c r="H10" s="5"/>
      <c r="I10" s="13"/>
      <c r="J10" s="13"/>
      <c r="K10" s="13"/>
      <c r="L10" s="5" t="s">
        <v>1743</v>
      </c>
      <c r="M10" s="26">
        <v>45567</v>
      </c>
      <c r="N10" s="26" t="s">
        <v>2713</v>
      </c>
      <c r="O10" s="30" t="s">
        <v>2665</v>
      </c>
    </row>
    <row r="11" spans="1:15">
      <c r="A11" s="30" t="s">
        <v>2159</v>
      </c>
      <c r="B11" s="30" t="s">
        <v>1306</v>
      </c>
      <c r="C11" s="11" t="s">
        <v>1307</v>
      </c>
      <c r="D11" s="31">
        <v>1645.59</v>
      </c>
      <c r="E11" s="31">
        <v>2210.92</v>
      </c>
      <c r="F11" s="5"/>
      <c r="G11" s="13"/>
      <c r="H11" s="13"/>
      <c r="I11" s="5"/>
      <c r="J11" s="5"/>
      <c r="K11" s="13"/>
      <c r="L11" s="13" t="s">
        <v>1743</v>
      </c>
      <c r="M11" s="26">
        <v>45554</v>
      </c>
      <c r="N11" s="13" t="s">
        <v>2703</v>
      </c>
      <c r="O11" s="30" t="s">
        <v>2666</v>
      </c>
    </row>
    <row r="12" spans="1:15">
      <c r="A12" s="30" t="s">
        <v>2159</v>
      </c>
      <c r="B12" s="30" t="s">
        <v>1306</v>
      </c>
      <c r="C12" s="11" t="s">
        <v>1307</v>
      </c>
      <c r="D12" s="32">
        <v>1394.07</v>
      </c>
      <c r="E12" s="32">
        <v>1612.89</v>
      </c>
      <c r="F12" s="5"/>
      <c r="G12" s="13"/>
      <c r="H12" s="13"/>
      <c r="I12" s="5"/>
      <c r="J12" s="5"/>
      <c r="K12" s="5"/>
      <c r="L12" s="5" t="s">
        <v>1743</v>
      </c>
      <c r="M12" s="25">
        <v>45559</v>
      </c>
      <c r="N12" s="25" t="s">
        <v>2705</v>
      </c>
      <c r="O12" s="30" t="s">
        <v>2667</v>
      </c>
    </row>
    <row r="13" spans="1:15">
      <c r="A13" s="30" t="s">
        <v>2159</v>
      </c>
      <c r="B13" s="30" t="s">
        <v>1302</v>
      </c>
      <c r="C13" s="11" t="s">
        <v>1303</v>
      </c>
      <c r="D13" s="31">
        <v>114412.9</v>
      </c>
      <c r="E13" s="31">
        <v>140350.64000000001</v>
      </c>
      <c r="F13" s="5"/>
      <c r="G13" s="13"/>
      <c r="H13" s="13"/>
      <c r="I13" s="13"/>
      <c r="J13" s="13"/>
      <c r="K13" s="13"/>
      <c r="L13" s="13" t="s">
        <v>1743</v>
      </c>
      <c r="M13" s="26">
        <v>45537</v>
      </c>
      <c r="N13" s="13" t="s">
        <v>2696</v>
      </c>
      <c r="O13" s="30" t="s">
        <v>2668</v>
      </c>
    </row>
    <row r="14" spans="1:15">
      <c r="A14" s="6" t="s">
        <v>2159</v>
      </c>
      <c r="B14" s="30" t="s">
        <v>2669</v>
      </c>
      <c r="C14" s="14" t="s">
        <v>1303</v>
      </c>
      <c r="D14" s="31">
        <v>1670.68</v>
      </c>
      <c r="E14" s="31">
        <v>2026.6</v>
      </c>
      <c r="F14" s="13"/>
      <c r="G14" s="13"/>
      <c r="H14" s="13"/>
      <c r="I14" s="13"/>
      <c r="J14" s="13"/>
      <c r="K14" s="13"/>
      <c r="L14" s="13" t="s">
        <v>1743</v>
      </c>
      <c r="M14" s="26">
        <v>45520</v>
      </c>
      <c r="N14" s="26" t="s">
        <v>2688</v>
      </c>
      <c r="O14" s="6" t="s">
        <v>2670</v>
      </c>
    </row>
    <row r="15" spans="1:15">
      <c r="A15" s="6" t="s">
        <v>2159</v>
      </c>
      <c r="B15" s="30" t="s">
        <v>1710</v>
      </c>
      <c r="C15" s="30" t="s">
        <v>1711</v>
      </c>
      <c r="D15" s="32">
        <v>171813.16</v>
      </c>
      <c r="E15" s="32">
        <v>126849.22</v>
      </c>
      <c r="F15" s="13"/>
      <c r="G15" s="13"/>
      <c r="H15" s="13"/>
      <c r="I15" s="5"/>
      <c r="J15" s="13"/>
      <c r="K15" s="5"/>
      <c r="L15" s="5" t="s">
        <v>1743</v>
      </c>
      <c r="M15" s="25">
        <v>45567</v>
      </c>
      <c r="N15" s="25" t="s">
        <v>2714</v>
      </c>
      <c r="O15" s="6" t="s">
        <v>2670</v>
      </c>
    </row>
    <row r="16" spans="1:15">
      <c r="A16" s="6" t="s">
        <v>2159</v>
      </c>
      <c r="B16" s="30" t="s">
        <v>1245</v>
      </c>
      <c r="C16" s="14" t="s">
        <v>1246</v>
      </c>
      <c r="D16" s="31">
        <v>118672.21</v>
      </c>
      <c r="E16" s="31"/>
      <c r="F16" s="13" t="s">
        <v>2165</v>
      </c>
      <c r="G16" s="13"/>
      <c r="H16" s="13"/>
      <c r="I16" s="5"/>
      <c r="J16" s="5"/>
      <c r="K16" s="13"/>
      <c r="L16" s="13"/>
      <c r="M16" s="26"/>
      <c r="N16" s="26"/>
      <c r="O16" s="6" t="s">
        <v>2674</v>
      </c>
    </row>
    <row r="17" spans="1:15">
      <c r="A17" s="6" t="s">
        <v>2159</v>
      </c>
      <c r="B17" s="30" t="s">
        <v>1463</v>
      </c>
      <c r="C17" s="11" t="s">
        <v>2675</v>
      </c>
      <c r="D17" s="32">
        <v>66734.12</v>
      </c>
      <c r="E17" s="32">
        <v>94018.12</v>
      </c>
      <c r="F17" s="5"/>
      <c r="G17" s="12"/>
      <c r="H17" s="12"/>
      <c r="I17" s="5"/>
      <c r="J17" s="13"/>
      <c r="K17" s="13"/>
      <c r="L17" s="13" t="s">
        <v>1743</v>
      </c>
      <c r="M17" s="26">
        <v>45631</v>
      </c>
      <c r="N17" s="26"/>
      <c r="O17" s="6" t="s">
        <v>2733</v>
      </c>
    </row>
    <row r="18" spans="1:15">
      <c r="A18" s="6" t="s">
        <v>2159</v>
      </c>
      <c r="B18" s="30" t="s">
        <v>1463</v>
      </c>
      <c r="C18" s="11" t="s">
        <v>2675</v>
      </c>
      <c r="D18" s="32">
        <v>1457.81</v>
      </c>
      <c r="E18" s="32"/>
      <c r="F18" s="13"/>
      <c r="G18" s="13"/>
      <c r="H18" s="13"/>
      <c r="I18" s="13"/>
      <c r="J18" s="13"/>
      <c r="K18" s="5"/>
      <c r="L18" s="5" t="s">
        <v>1743</v>
      </c>
      <c r="M18" s="26">
        <v>45631</v>
      </c>
      <c r="N18" s="26"/>
      <c r="O18" s="6" t="s">
        <v>2735</v>
      </c>
    </row>
    <row r="19" spans="1:15">
      <c r="A19" s="6" t="s">
        <v>2159</v>
      </c>
      <c r="B19" s="30" t="s">
        <v>1463</v>
      </c>
      <c r="C19" s="11" t="s">
        <v>2675</v>
      </c>
      <c r="D19" s="32">
        <v>11282.44</v>
      </c>
      <c r="E19" s="32"/>
      <c r="F19" s="13"/>
      <c r="G19" s="13"/>
      <c r="H19" s="13"/>
      <c r="I19" s="13"/>
      <c r="J19" s="13"/>
      <c r="K19" s="5"/>
      <c r="L19" s="5" t="s">
        <v>1743</v>
      </c>
      <c r="M19" s="26">
        <v>45631</v>
      </c>
      <c r="N19" s="26"/>
      <c r="O19" s="6" t="s">
        <v>2734</v>
      </c>
    </row>
    <row r="20" spans="1:15">
      <c r="A20" s="6" t="s">
        <v>2157</v>
      </c>
      <c r="B20" s="30" t="s">
        <v>1701</v>
      </c>
      <c r="C20" s="14" t="s">
        <v>1702</v>
      </c>
      <c r="D20" s="32">
        <v>2106.36</v>
      </c>
      <c r="E20" s="32">
        <v>3491.16</v>
      </c>
      <c r="F20" s="13"/>
      <c r="G20" s="13"/>
      <c r="H20" s="13"/>
      <c r="I20" s="13"/>
      <c r="J20" s="13"/>
      <c r="K20" s="13"/>
      <c r="L20" s="13" t="s">
        <v>1743</v>
      </c>
      <c r="M20" s="26">
        <v>45576</v>
      </c>
      <c r="N20" s="13" t="s">
        <v>2717</v>
      </c>
      <c r="O20" s="6" t="s">
        <v>2676</v>
      </c>
    </row>
    <row r="21" spans="1:15">
      <c r="A21" s="6" t="s">
        <v>2157</v>
      </c>
      <c r="B21" s="30" t="s">
        <v>1701</v>
      </c>
      <c r="C21" s="11" t="s">
        <v>1702</v>
      </c>
      <c r="D21" s="32">
        <v>58616.52</v>
      </c>
      <c r="E21" s="32">
        <v>75152.87</v>
      </c>
      <c r="F21" s="5"/>
      <c r="G21" s="5"/>
      <c r="H21" s="5"/>
      <c r="I21" s="13"/>
      <c r="J21" s="13"/>
      <c r="K21" s="13"/>
      <c r="L21" s="13" t="s">
        <v>1743</v>
      </c>
      <c r="M21" s="26">
        <v>45614</v>
      </c>
      <c r="N21" s="26" t="s">
        <v>2729</v>
      </c>
      <c r="O21" s="6" t="s">
        <v>2677</v>
      </c>
    </row>
    <row r="22" spans="1:15">
      <c r="A22" s="6" t="s">
        <v>2157</v>
      </c>
      <c r="B22" s="30" t="s">
        <v>1968</v>
      </c>
      <c r="C22" s="11" t="s">
        <v>1969</v>
      </c>
      <c r="D22" s="32">
        <v>12985.78</v>
      </c>
      <c r="E22" s="32">
        <v>16207.47</v>
      </c>
      <c r="F22" s="13"/>
      <c r="G22" s="13"/>
      <c r="H22" s="13"/>
      <c r="I22" s="13"/>
      <c r="J22" s="13"/>
      <c r="K22" s="5"/>
      <c r="L22" s="5" t="s">
        <v>1743</v>
      </c>
      <c r="M22" s="25">
        <v>45573</v>
      </c>
      <c r="N22" s="25" t="s">
        <v>2716</v>
      </c>
      <c r="O22" s="6" t="s">
        <v>2678</v>
      </c>
    </row>
    <row r="23" spans="1:15">
      <c r="A23" s="6" t="s">
        <v>2159</v>
      </c>
      <c r="B23" s="30" t="s">
        <v>1579</v>
      </c>
      <c r="C23" s="11" t="s">
        <v>1580</v>
      </c>
      <c r="D23" s="32">
        <v>41639.47</v>
      </c>
      <c r="E23" s="32"/>
      <c r="F23" s="13"/>
      <c r="G23" s="13"/>
      <c r="H23" s="13"/>
      <c r="I23" s="13"/>
      <c r="J23" s="13"/>
      <c r="K23" s="13" t="s">
        <v>1743</v>
      </c>
      <c r="L23" s="13"/>
      <c r="M23" s="26"/>
      <c r="N23" s="26"/>
      <c r="O23" s="6" t="s">
        <v>2679</v>
      </c>
    </row>
    <row r="24" spans="1:15">
      <c r="A24" s="6" t="s">
        <v>2159</v>
      </c>
      <c r="B24" s="30" t="s">
        <v>2690</v>
      </c>
      <c r="C24" s="11" t="s">
        <v>2691</v>
      </c>
      <c r="D24" s="32">
        <v>6364.86</v>
      </c>
      <c r="E24" s="32"/>
      <c r="F24" s="13" t="s">
        <v>1743</v>
      </c>
      <c r="G24" s="13"/>
      <c r="H24" s="13"/>
      <c r="I24" s="13"/>
      <c r="J24" s="13"/>
      <c r="K24" s="13"/>
      <c r="L24" s="13"/>
      <c r="M24" s="26"/>
      <c r="N24" s="26"/>
      <c r="O24" s="6" t="s">
        <v>2692</v>
      </c>
    </row>
    <row r="25" spans="1:15">
      <c r="A25" s="6" t="s">
        <v>2158</v>
      </c>
      <c r="B25" s="30" t="s">
        <v>1914</v>
      </c>
      <c r="C25" s="11" t="s">
        <v>1915</v>
      </c>
      <c r="D25" s="32">
        <v>1241.1099999999999</v>
      </c>
      <c r="E25" s="56"/>
      <c r="F25" s="13" t="s">
        <v>1743</v>
      </c>
      <c r="G25" s="13"/>
      <c r="H25" s="13"/>
      <c r="I25" s="13"/>
      <c r="J25" s="13"/>
      <c r="K25" s="13"/>
      <c r="L25" s="13"/>
      <c r="M25" s="26"/>
      <c r="N25" s="26"/>
      <c r="O25" s="6" t="s">
        <v>2693</v>
      </c>
    </row>
    <row r="26" spans="1:15">
      <c r="A26" s="6" t="s">
        <v>2159</v>
      </c>
      <c r="B26" s="30" t="s">
        <v>1314</v>
      </c>
      <c r="C26" s="14" t="s">
        <v>2694</v>
      </c>
      <c r="D26" s="31">
        <v>9066.2199999999993</v>
      </c>
      <c r="E26" s="57"/>
      <c r="F26" s="13" t="s">
        <v>1743</v>
      </c>
      <c r="G26" s="13"/>
      <c r="H26" s="13"/>
      <c r="I26" s="5"/>
      <c r="J26" s="5"/>
      <c r="K26" s="13"/>
      <c r="L26" s="13"/>
      <c r="M26" s="13"/>
      <c r="N26" s="13"/>
      <c r="O26" s="6" t="s">
        <v>2695</v>
      </c>
    </row>
    <row r="27" spans="1:15">
      <c r="A27" s="6" t="s">
        <v>2159</v>
      </c>
      <c r="B27" s="30" t="s">
        <v>1506</v>
      </c>
      <c r="C27" s="11" t="s">
        <v>1507</v>
      </c>
      <c r="D27" s="32">
        <v>113623.86</v>
      </c>
      <c r="E27" s="56"/>
      <c r="F27" s="13" t="s">
        <v>1743</v>
      </c>
      <c r="G27" s="13"/>
      <c r="H27" s="13"/>
      <c r="I27" s="13"/>
      <c r="J27" s="13"/>
      <c r="K27" s="5"/>
      <c r="L27" s="5"/>
      <c r="M27" s="25"/>
      <c r="N27" s="25"/>
      <c r="O27" s="6" t="s">
        <v>2700</v>
      </c>
    </row>
    <row r="28" spans="1:15">
      <c r="A28" s="6" t="s">
        <v>2158</v>
      </c>
      <c r="B28" s="30" t="s">
        <v>1343</v>
      </c>
      <c r="C28" s="11" t="s">
        <v>2701</v>
      </c>
      <c r="D28" s="32">
        <v>208100.69</v>
      </c>
      <c r="E28" s="56"/>
      <c r="F28" s="13" t="s">
        <v>1743</v>
      </c>
      <c r="G28" s="13"/>
      <c r="H28" s="13"/>
      <c r="I28" s="13"/>
      <c r="J28" s="13"/>
      <c r="K28" s="5"/>
      <c r="L28" s="5"/>
      <c r="M28" s="25"/>
      <c r="N28" s="25"/>
      <c r="O28" s="6" t="s">
        <v>2702</v>
      </c>
    </row>
    <row r="29" spans="1:15">
      <c r="A29" s="6" t="s">
        <v>2159</v>
      </c>
      <c r="B29" s="30" t="s">
        <v>1330</v>
      </c>
      <c r="C29" s="11" t="s">
        <v>1331</v>
      </c>
      <c r="D29" s="32">
        <v>80728.02</v>
      </c>
      <c r="E29" s="32"/>
      <c r="F29" s="5" t="s">
        <v>1743</v>
      </c>
      <c r="G29" s="5"/>
      <c r="H29" s="5"/>
      <c r="I29" s="13"/>
      <c r="J29" s="13"/>
      <c r="K29" s="13"/>
      <c r="L29" s="13"/>
      <c r="M29" s="13"/>
      <c r="N29" s="13"/>
      <c r="O29" s="6" t="s">
        <v>2736</v>
      </c>
    </row>
    <row r="30" spans="1:15">
      <c r="A30" s="6" t="s">
        <v>2159</v>
      </c>
      <c r="B30" s="30" t="s">
        <v>1236</v>
      </c>
      <c r="C30" s="14" t="s">
        <v>1237</v>
      </c>
      <c r="D30" s="31">
        <v>46336.12</v>
      </c>
      <c r="E30" s="31"/>
      <c r="F30" s="13" t="s">
        <v>1743</v>
      </c>
      <c r="G30" s="13"/>
      <c r="H30" s="13"/>
      <c r="I30" s="13"/>
      <c r="J30" s="13"/>
      <c r="K30" s="13"/>
      <c r="L30" s="13"/>
      <c r="M30" s="26"/>
      <c r="N30" s="26"/>
      <c r="O30" s="6" t="s">
        <v>2737</v>
      </c>
    </row>
    <row r="31" spans="1:15">
      <c r="A31" s="6" t="s">
        <v>2159</v>
      </c>
      <c r="B31" s="30" t="s">
        <v>1566</v>
      </c>
      <c r="C31" s="14" t="s">
        <v>2740</v>
      </c>
      <c r="D31" s="31">
        <v>51863.28</v>
      </c>
      <c r="E31" s="31"/>
      <c r="F31" s="13" t="s">
        <v>1743</v>
      </c>
      <c r="G31" s="13"/>
      <c r="H31" s="13"/>
      <c r="I31" s="13"/>
      <c r="J31" s="13"/>
      <c r="K31" s="13"/>
      <c r="L31" s="13"/>
      <c r="M31" s="26"/>
      <c r="N31" s="26"/>
      <c r="O31" s="6" t="s">
        <v>2741</v>
      </c>
    </row>
    <row r="32" spans="1:15">
      <c r="A32" s="6" t="s">
        <v>2159</v>
      </c>
      <c r="B32" s="30" t="s">
        <v>2504</v>
      </c>
      <c r="C32" s="14" t="s">
        <v>2742</v>
      </c>
      <c r="D32" s="31">
        <v>10316.290000000001</v>
      </c>
      <c r="E32" s="31"/>
      <c r="F32" s="13" t="s">
        <v>1743</v>
      </c>
      <c r="G32" s="13"/>
      <c r="H32" s="13"/>
      <c r="I32" s="5"/>
      <c r="J32" s="13"/>
      <c r="K32" s="13"/>
      <c r="L32" s="13"/>
      <c r="M32" s="26"/>
      <c r="N32" s="26"/>
      <c r="O32" s="6" t="s">
        <v>2743</v>
      </c>
    </row>
    <row r="33" spans="1:15">
      <c r="A33" s="6"/>
      <c r="B33" s="30"/>
      <c r="C33" s="14"/>
      <c r="D33" s="31"/>
      <c r="E33" s="31"/>
      <c r="F33" s="13"/>
      <c r="G33" s="13"/>
      <c r="H33" s="13"/>
      <c r="I33" s="13"/>
      <c r="J33" s="13"/>
      <c r="K33" s="13"/>
      <c r="L33" s="13"/>
      <c r="M33" s="26"/>
      <c r="N33" s="26"/>
      <c r="O33" s="6"/>
    </row>
    <row r="34" spans="1:15">
      <c r="A34" s="6"/>
      <c r="B34" s="30"/>
      <c r="C34" s="11"/>
      <c r="D34" s="32"/>
      <c r="E34" s="32"/>
      <c r="F34" s="13"/>
      <c r="G34" s="13"/>
      <c r="H34" s="13"/>
      <c r="I34" s="13"/>
      <c r="J34" s="13"/>
      <c r="K34" s="13"/>
      <c r="L34" s="13"/>
      <c r="M34" s="26"/>
      <c r="N34" s="26"/>
      <c r="O34" s="6"/>
    </row>
    <row r="35" spans="1:15">
      <c r="A35" s="6"/>
      <c r="B35" s="30"/>
      <c r="C35" s="11"/>
      <c r="D35" s="32"/>
      <c r="E35" s="32"/>
      <c r="F35" s="13"/>
      <c r="G35" s="13"/>
      <c r="H35" s="13"/>
      <c r="I35" s="5"/>
      <c r="J35" s="12"/>
      <c r="K35" s="12"/>
      <c r="L35" s="13"/>
      <c r="M35" s="26"/>
      <c r="N35" s="26"/>
      <c r="O35" s="6"/>
    </row>
    <row r="36" spans="1:15">
      <c r="A36" s="6"/>
      <c r="B36" s="30"/>
      <c r="C36" s="11"/>
      <c r="D36" s="31"/>
      <c r="E36" s="31"/>
      <c r="F36" s="5"/>
      <c r="G36" s="5"/>
      <c r="H36" s="5"/>
      <c r="I36" s="5"/>
      <c r="J36" s="5"/>
      <c r="K36" s="13"/>
      <c r="L36" s="13"/>
      <c r="M36" s="13"/>
      <c r="N36" s="13"/>
      <c r="O36" s="6"/>
    </row>
    <row r="37" spans="1:15">
      <c r="A37" s="6"/>
      <c r="B37" s="30"/>
      <c r="C37" s="14"/>
      <c r="D37" s="31"/>
      <c r="E37" s="31"/>
      <c r="F37" s="13"/>
      <c r="G37" s="13"/>
      <c r="H37" s="13"/>
      <c r="I37" s="13"/>
      <c r="J37" s="13"/>
      <c r="K37" s="13"/>
      <c r="L37" s="13"/>
      <c r="M37" s="13"/>
      <c r="N37" s="13"/>
      <c r="O37" s="6"/>
    </row>
    <row r="38" spans="1:15">
      <c r="A38" s="6"/>
      <c r="B38" s="30"/>
      <c r="C38" s="14"/>
      <c r="D38" s="31"/>
      <c r="E38" s="31"/>
      <c r="F38" s="13"/>
      <c r="G38" s="13"/>
      <c r="H38" s="13"/>
      <c r="I38" s="5"/>
      <c r="J38" s="5"/>
      <c r="K38" s="13"/>
      <c r="L38" s="13"/>
      <c r="M38" s="26"/>
      <c r="N38" s="26"/>
      <c r="O38" s="6"/>
    </row>
    <row r="39" spans="1:15">
      <c r="A39" s="6"/>
      <c r="B39" s="30"/>
      <c r="C39" s="11"/>
      <c r="D39" s="32"/>
      <c r="E39" s="32"/>
      <c r="F39" s="5"/>
      <c r="G39" s="5"/>
      <c r="H39" s="5"/>
      <c r="I39" s="5"/>
      <c r="J39" s="5"/>
      <c r="K39" s="13"/>
      <c r="L39" s="13"/>
      <c r="M39" s="13"/>
      <c r="N39" s="13"/>
      <c r="O39" s="6"/>
    </row>
    <row r="40" spans="1:15">
      <c r="A40" s="6"/>
      <c r="B40" s="30"/>
      <c r="C40" s="11"/>
      <c r="D40" s="32"/>
      <c r="E40" s="32"/>
      <c r="F40" s="13"/>
      <c r="G40" s="13"/>
      <c r="H40" s="13"/>
      <c r="I40" s="13"/>
      <c r="J40" s="13"/>
      <c r="K40" s="13"/>
      <c r="L40" s="5"/>
      <c r="M40" s="26"/>
      <c r="N40" s="26"/>
      <c r="O40" s="6"/>
    </row>
    <row r="41" spans="1:15">
      <c r="A41" s="6"/>
      <c r="B41" s="30"/>
      <c r="C41" s="11"/>
      <c r="D41" s="31"/>
      <c r="E41" s="31"/>
      <c r="F41" s="13"/>
      <c r="G41" s="13"/>
      <c r="H41" s="13"/>
      <c r="I41" s="5"/>
      <c r="J41" s="5"/>
      <c r="K41" s="13"/>
      <c r="L41" s="13"/>
      <c r="M41" s="26"/>
      <c r="N41" s="26"/>
      <c r="O41" s="6"/>
    </row>
    <row r="42" spans="1:15">
      <c r="A42" s="6"/>
      <c r="B42" s="30"/>
      <c r="C42" s="11"/>
      <c r="D42" s="31"/>
      <c r="E42" s="31"/>
      <c r="F42" s="13"/>
      <c r="G42" s="13"/>
      <c r="H42" s="13"/>
      <c r="I42" s="5"/>
      <c r="J42" s="5"/>
      <c r="K42" s="13"/>
      <c r="L42" s="13"/>
      <c r="M42" s="26"/>
      <c r="N42" s="26"/>
      <c r="O42" s="6"/>
    </row>
    <row r="43" spans="1:15">
      <c r="A43" s="6"/>
      <c r="B43" s="30"/>
      <c r="C43" s="11"/>
      <c r="D43" s="32"/>
      <c r="E43" s="32"/>
      <c r="F43" s="13"/>
      <c r="G43" s="13"/>
      <c r="H43" s="13"/>
      <c r="I43" s="5"/>
      <c r="J43" s="13"/>
      <c r="K43" s="5"/>
      <c r="L43" s="5"/>
      <c r="M43" s="5"/>
      <c r="N43" s="5"/>
      <c r="O43" s="6"/>
    </row>
    <row r="44" spans="1:15">
      <c r="A44" s="6"/>
      <c r="B44" s="30"/>
      <c r="C44" s="14"/>
      <c r="D44" s="31"/>
      <c r="E44" s="31"/>
      <c r="F44" s="13"/>
      <c r="G44" s="13"/>
      <c r="H44" s="13"/>
      <c r="I44" s="13"/>
      <c r="J44" s="13"/>
      <c r="K44" s="13"/>
      <c r="L44" s="13"/>
      <c r="M44" s="13"/>
      <c r="N44" s="13"/>
      <c r="O44" s="6"/>
    </row>
    <row r="45" spans="1:15">
      <c r="A45" s="6"/>
      <c r="B45" s="30"/>
      <c r="C45" s="11"/>
      <c r="D45" s="32"/>
      <c r="E45" s="32"/>
      <c r="F45" s="13"/>
      <c r="G45" s="13"/>
      <c r="H45" s="13"/>
      <c r="I45" s="5"/>
      <c r="J45" s="13"/>
      <c r="K45" s="5"/>
      <c r="L45" s="5"/>
      <c r="M45" s="25"/>
      <c r="N45" s="25"/>
      <c r="O45" s="6"/>
    </row>
    <row r="46" spans="1:15">
      <c r="A46" s="6"/>
      <c r="B46" s="30"/>
      <c r="C46" s="11"/>
      <c r="D46" s="32"/>
      <c r="E46" s="32"/>
      <c r="F46" s="5"/>
      <c r="G46" s="5"/>
      <c r="H46" s="5"/>
      <c r="I46" s="13"/>
      <c r="J46" s="13"/>
      <c r="K46" s="13"/>
      <c r="L46" s="13"/>
      <c r="M46" s="26"/>
      <c r="N46" s="26"/>
      <c r="O46" s="6"/>
    </row>
    <row r="47" spans="1:15">
      <c r="A47" s="6"/>
      <c r="B47" s="30"/>
      <c r="C47" s="6"/>
      <c r="D47" s="32"/>
      <c r="E47" s="32"/>
      <c r="F47" s="5"/>
      <c r="G47" s="5"/>
      <c r="H47" s="5"/>
      <c r="I47" s="13"/>
      <c r="J47" s="13"/>
      <c r="K47" s="13"/>
      <c r="L47" s="13"/>
      <c r="M47" s="26"/>
      <c r="N47" s="26"/>
      <c r="O47" s="6"/>
    </row>
    <row r="48" spans="1:15">
      <c r="A48" s="6"/>
      <c r="B48" s="30"/>
      <c r="C48" s="11"/>
      <c r="D48" s="32"/>
      <c r="E48" s="32"/>
      <c r="F48" s="13"/>
      <c r="G48" s="13"/>
      <c r="H48" s="13"/>
      <c r="I48" s="5"/>
      <c r="J48" s="13"/>
      <c r="K48" s="5"/>
      <c r="L48" s="5"/>
      <c r="M48" s="25"/>
      <c r="N48" s="25"/>
      <c r="O48" s="6"/>
    </row>
    <row r="49" spans="1:15">
      <c r="A49" s="6"/>
      <c r="B49" s="30"/>
      <c r="C49" s="11"/>
      <c r="D49" s="32"/>
      <c r="E49" s="32"/>
      <c r="F49" s="13"/>
      <c r="G49" s="13"/>
      <c r="H49" s="13"/>
      <c r="I49" s="13"/>
      <c r="J49" s="13"/>
      <c r="K49" s="13"/>
      <c r="L49" s="13"/>
      <c r="M49" s="26"/>
      <c r="N49" s="26"/>
      <c r="O49" s="6"/>
    </row>
    <row r="50" spans="1:15">
      <c r="A50" s="6"/>
      <c r="B50" s="30"/>
      <c r="C50" s="14"/>
      <c r="D50" s="31"/>
      <c r="E50" s="31"/>
      <c r="F50" s="13"/>
      <c r="G50" s="13"/>
      <c r="H50" s="13"/>
      <c r="I50" s="13"/>
      <c r="J50" s="13"/>
      <c r="K50" s="13"/>
      <c r="L50" s="13"/>
      <c r="M50" s="26"/>
      <c r="N50" s="26"/>
      <c r="O50" s="6"/>
    </row>
    <row r="51" spans="1:15">
      <c r="A51" s="6"/>
      <c r="B51" s="30"/>
      <c r="C51" s="11"/>
      <c r="D51" s="32"/>
      <c r="E51" s="32"/>
      <c r="F51" s="13"/>
      <c r="G51" s="13"/>
      <c r="H51" s="13"/>
      <c r="I51" s="13"/>
      <c r="J51" s="13"/>
      <c r="K51" s="13"/>
      <c r="L51" s="13"/>
      <c r="M51" s="26"/>
      <c r="N51" s="26"/>
      <c r="O51" s="6"/>
    </row>
    <row r="52" spans="1:15">
      <c r="A52" s="6"/>
      <c r="B52" s="30"/>
      <c r="C52" s="27"/>
      <c r="D52" s="37"/>
      <c r="E52" s="37"/>
      <c r="F52" s="28"/>
      <c r="G52" s="28"/>
      <c r="H52" s="28"/>
      <c r="I52" s="28"/>
      <c r="J52" s="28"/>
      <c r="K52" s="28"/>
      <c r="L52" s="28"/>
      <c r="M52" s="29"/>
      <c r="N52" s="29"/>
      <c r="O52" s="6"/>
    </row>
    <row r="53" spans="1:15">
      <c r="A53" s="6"/>
      <c r="B53" s="30"/>
      <c r="C53" s="27"/>
      <c r="D53" s="37"/>
      <c r="E53" s="37"/>
      <c r="F53" s="28"/>
      <c r="G53" s="28"/>
      <c r="H53" s="28"/>
      <c r="I53" s="28"/>
      <c r="J53" s="28"/>
      <c r="K53" s="28"/>
      <c r="L53" s="28"/>
      <c r="M53" s="29"/>
      <c r="N53" s="29"/>
      <c r="O53" s="6"/>
    </row>
    <row r="54" spans="1:15">
      <c r="A54" s="6"/>
      <c r="B54" s="30"/>
      <c r="C54" s="36"/>
      <c r="D54" s="37"/>
      <c r="E54" s="37"/>
      <c r="F54" s="13"/>
      <c r="G54" s="13"/>
      <c r="H54" s="13"/>
      <c r="I54" s="13"/>
      <c r="J54" s="13"/>
      <c r="K54" s="13"/>
      <c r="L54" s="13"/>
      <c r="M54" s="26"/>
      <c r="N54" s="26"/>
      <c r="O54" s="6"/>
    </row>
    <row r="55" spans="1:15">
      <c r="A55" s="6"/>
      <c r="B55" s="30"/>
      <c r="C55" s="11"/>
      <c r="D55" s="31"/>
      <c r="E55" s="31"/>
      <c r="F55" s="13"/>
      <c r="G55" s="13"/>
      <c r="H55" s="13"/>
      <c r="I55" s="13"/>
      <c r="J55" s="13"/>
      <c r="K55" s="13"/>
      <c r="L55" s="5"/>
      <c r="M55" s="26"/>
      <c r="N55" s="26"/>
      <c r="O55" s="6"/>
    </row>
    <row r="56" spans="1:15">
      <c r="A56" s="6"/>
      <c r="B56" s="30"/>
      <c r="C56" s="11"/>
      <c r="D56" s="32"/>
      <c r="E56" s="32"/>
      <c r="F56" s="13"/>
      <c r="G56" s="13"/>
      <c r="H56" s="13"/>
      <c r="I56" s="13"/>
      <c r="J56" s="13"/>
      <c r="K56" s="13"/>
      <c r="L56" s="13"/>
      <c r="M56" s="13"/>
      <c r="N56" s="13"/>
      <c r="O56" s="6"/>
    </row>
    <row r="57" spans="1:15">
      <c r="A57" s="6"/>
      <c r="B57" s="30"/>
      <c r="C57" s="11"/>
      <c r="D57" s="31"/>
      <c r="E57" s="31"/>
      <c r="F57" s="5"/>
      <c r="G57" s="5"/>
      <c r="H57" s="5"/>
      <c r="I57" s="5"/>
      <c r="J57" s="5"/>
      <c r="K57" s="13"/>
      <c r="L57" s="5"/>
      <c r="M57" s="26"/>
      <c r="N57" s="26"/>
      <c r="O57" s="6"/>
    </row>
    <row r="58" spans="1:15">
      <c r="A58" s="6"/>
      <c r="B58" s="30"/>
      <c r="C58" s="11"/>
      <c r="D58" s="32"/>
      <c r="E58" s="32"/>
      <c r="F58" s="13"/>
      <c r="G58" s="13"/>
      <c r="H58" s="13"/>
      <c r="I58" s="13"/>
      <c r="J58" s="13"/>
      <c r="K58" s="13"/>
      <c r="L58" s="13"/>
      <c r="M58" s="26"/>
      <c r="N58" s="26"/>
      <c r="O58" s="6"/>
    </row>
    <row r="59" spans="1:15">
      <c r="A59" s="6"/>
      <c r="B59" s="30"/>
      <c r="C59" s="14"/>
      <c r="D59" s="31"/>
      <c r="E59" s="31"/>
      <c r="F59" s="5"/>
      <c r="G59" s="5"/>
      <c r="H59" s="5"/>
      <c r="I59" s="5"/>
      <c r="J59" s="5"/>
      <c r="K59" s="13"/>
      <c r="L59" s="13"/>
      <c r="M59" s="13"/>
      <c r="N59" s="13"/>
      <c r="O59" s="6"/>
    </row>
    <row r="60" spans="1:15">
      <c r="A60" s="6"/>
      <c r="B60" s="30"/>
      <c r="C60" s="11"/>
      <c r="D60" s="32"/>
      <c r="E60" s="32"/>
      <c r="F60" s="13"/>
      <c r="G60" s="13"/>
      <c r="H60" s="13"/>
      <c r="I60" s="13"/>
      <c r="J60" s="13"/>
      <c r="K60" s="13"/>
      <c r="L60" s="13"/>
      <c r="M60" s="13"/>
      <c r="N60" s="13"/>
      <c r="O60" s="6"/>
    </row>
    <row r="61" spans="1:15">
      <c r="A61" s="6"/>
      <c r="B61" s="30"/>
      <c r="C61" s="18"/>
      <c r="D61" s="32"/>
      <c r="E61" s="32"/>
      <c r="F61" s="5"/>
      <c r="G61" s="5"/>
      <c r="H61" s="5"/>
      <c r="I61" s="13"/>
      <c r="J61" s="13"/>
      <c r="K61" s="13"/>
      <c r="L61" s="13"/>
      <c r="M61" s="26"/>
      <c r="N61" s="26"/>
      <c r="O61" s="6"/>
    </row>
    <row r="62" spans="1:15">
      <c r="A62" s="6"/>
      <c r="B62" s="30"/>
      <c r="C62" s="17"/>
      <c r="D62" s="32"/>
      <c r="E62" s="32"/>
      <c r="F62" s="13"/>
      <c r="G62" s="13"/>
      <c r="H62" s="13"/>
      <c r="I62" s="13"/>
      <c r="J62" s="13"/>
      <c r="K62" s="13"/>
      <c r="L62" s="13"/>
      <c r="M62" s="13"/>
      <c r="N62" s="13"/>
      <c r="O62" s="6"/>
    </row>
    <row r="63" spans="1:15">
      <c r="A63" s="6"/>
      <c r="B63" s="30"/>
      <c r="C63" s="39"/>
      <c r="D63" s="32"/>
      <c r="E63" s="32"/>
      <c r="F63" s="13"/>
      <c r="G63" s="13"/>
      <c r="H63" s="13"/>
      <c r="I63" s="13"/>
      <c r="J63" s="13"/>
      <c r="K63" s="13"/>
      <c r="L63" s="13"/>
      <c r="M63" s="13"/>
      <c r="N63" s="13"/>
      <c r="O63" s="6"/>
    </row>
    <row r="64" spans="1:15">
      <c r="A64" s="6"/>
      <c r="B64" s="30"/>
      <c r="C64" s="11"/>
      <c r="D64" s="32"/>
      <c r="E64" s="32"/>
      <c r="F64" s="13"/>
      <c r="G64" s="13"/>
      <c r="H64" s="13"/>
      <c r="I64" s="13"/>
      <c r="J64" s="13"/>
      <c r="K64" s="5"/>
      <c r="L64" s="5"/>
      <c r="M64" s="25"/>
      <c r="N64" s="25"/>
      <c r="O64" s="6"/>
    </row>
    <row r="65" spans="1:15">
      <c r="A65" s="6"/>
      <c r="B65" s="30"/>
      <c r="C65" s="11"/>
      <c r="D65" s="32"/>
      <c r="E65" s="32"/>
      <c r="F65" s="13"/>
      <c r="G65" s="13"/>
      <c r="H65" s="13"/>
      <c r="I65" s="13"/>
      <c r="J65" s="13"/>
      <c r="K65" s="13"/>
      <c r="L65" s="13"/>
      <c r="M65" s="26"/>
      <c r="N65" s="26"/>
      <c r="O65" s="6"/>
    </row>
    <row r="66" spans="1:15">
      <c r="A66" s="6"/>
      <c r="B66" s="30"/>
      <c r="C66" s="19"/>
      <c r="D66" s="32"/>
      <c r="E66" s="32"/>
      <c r="F66" s="5"/>
      <c r="G66" s="5"/>
      <c r="H66" s="5"/>
      <c r="I66" s="13"/>
      <c r="J66" s="13"/>
      <c r="K66" s="13"/>
      <c r="L66" s="13"/>
      <c r="M66" s="26"/>
      <c r="N66" s="26"/>
      <c r="O66" s="6"/>
    </row>
    <row r="67" spans="1:15">
      <c r="A67" s="6"/>
      <c r="B67" s="30"/>
      <c r="C67" s="14"/>
      <c r="D67" s="31"/>
      <c r="E67" s="31"/>
      <c r="F67" s="5"/>
      <c r="G67" s="5"/>
      <c r="H67" s="5"/>
      <c r="I67" s="5"/>
      <c r="J67" s="5"/>
      <c r="K67" s="13"/>
      <c r="L67" s="13"/>
      <c r="M67" s="13"/>
      <c r="N67" s="13"/>
      <c r="O67" s="6"/>
    </row>
    <row r="68" spans="1:15">
      <c r="A68" s="6"/>
      <c r="B68" s="30"/>
      <c r="C68" s="11"/>
      <c r="D68" s="32"/>
      <c r="E68" s="32"/>
      <c r="F68" s="13"/>
      <c r="G68" s="13"/>
      <c r="H68" s="13"/>
      <c r="I68" s="13"/>
      <c r="J68" s="13"/>
      <c r="K68" s="13"/>
      <c r="L68" s="13"/>
      <c r="M68" s="13"/>
      <c r="N68" s="13"/>
      <c r="O68" s="6"/>
    </row>
    <row r="69" spans="1:15">
      <c r="A69" s="6"/>
      <c r="B69" s="30"/>
      <c r="C69" s="11"/>
      <c r="D69" s="32"/>
      <c r="E69" s="32"/>
      <c r="F69" s="13"/>
      <c r="G69" s="13"/>
      <c r="H69" s="13"/>
      <c r="I69" s="13"/>
      <c r="J69" s="13"/>
      <c r="K69" s="13"/>
      <c r="L69" s="13"/>
      <c r="M69" s="13"/>
      <c r="N69" s="13"/>
      <c r="O69" s="6"/>
    </row>
    <row r="70" spans="1:15">
      <c r="A70" s="6"/>
      <c r="B70" s="30"/>
      <c r="C70" s="35"/>
      <c r="D70" s="32"/>
      <c r="E70" s="32"/>
      <c r="F70" s="5"/>
      <c r="G70" s="5"/>
      <c r="H70" s="5"/>
      <c r="I70" s="13"/>
      <c r="J70" s="13"/>
      <c r="K70" s="13"/>
      <c r="L70" s="13"/>
      <c r="M70" s="26"/>
      <c r="N70" s="26"/>
      <c r="O70" s="6"/>
    </row>
    <row r="71" spans="1:15">
      <c r="A71" s="6"/>
      <c r="B71" s="30"/>
      <c r="C71" s="11"/>
      <c r="D71" s="32"/>
      <c r="E71" s="32"/>
      <c r="F71" s="13"/>
      <c r="G71" s="13"/>
      <c r="H71" s="13"/>
      <c r="I71" s="13"/>
      <c r="J71" s="13"/>
      <c r="K71" s="13"/>
      <c r="L71" s="13"/>
      <c r="M71" s="26"/>
      <c r="N71" s="26"/>
      <c r="O71" s="6"/>
    </row>
    <row r="72" spans="1:15">
      <c r="A72" s="6"/>
      <c r="B72" s="30"/>
      <c r="C72" s="11"/>
      <c r="D72" s="32"/>
      <c r="E72" s="32"/>
      <c r="F72" s="13"/>
      <c r="G72" s="13"/>
      <c r="H72" s="13"/>
      <c r="I72" s="13"/>
      <c r="J72" s="13"/>
      <c r="K72" s="13"/>
      <c r="L72" s="13"/>
      <c r="M72" s="26"/>
      <c r="N72" s="26"/>
      <c r="O72" s="6"/>
    </row>
    <row r="73" spans="1:15">
      <c r="A73" s="6"/>
      <c r="B73" s="30"/>
      <c r="C73" s="11"/>
      <c r="D73" s="32"/>
      <c r="E73" s="32"/>
      <c r="F73" s="13"/>
      <c r="G73" s="13"/>
      <c r="H73" s="13"/>
      <c r="I73" s="13"/>
      <c r="J73" s="13"/>
      <c r="K73" s="13"/>
      <c r="L73" s="13"/>
      <c r="M73" s="26"/>
      <c r="N73" s="26"/>
      <c r="O73" s="6"/>
    </row>
    <row r="74" spans="1:15">
      <c r="A74" s="6"/>
      <c r="B74" s="30"/>
      <c r="C74" s="11"/>
      <c r="D74" s="32"/>
      <c r="E74" s="32"/>
      <c r="F74" s="13"/>
      <c r="G74" s="13"/>
      <c r="H74" s="13"/>
      <c r="I74" s="13"/>
      <c r="J74" s="13"/>
      <c r="K74" s="13"/>
      <c r="L74" s="13"/>
      <c r="M74" s="26"/>
      <c r="N74" s="26"/>
      <c r="O74" s="6"/>
    </row>
    <row r="75" spans="1:15">
      <c r="A75" s="6"/>
      <c r="B75" s="30"/>
      <c r="C75" s="14"/>
      <c r="D75" s="31"/>
      <c r="E75" s="31"/>
      <c r="F75" s="13"/>
      <c r="G75" s="13"/>
      <c r="H75" s="13"/>
      <c r="I75" s="5"/>
      <c r="J75" s="5"/>
      <c r="K75" s="13"/>
      <c r="L75" s="13"/>
      <c r="M75" s="13"/>
      <c r="N75" s="13"/>
      <c r="O75" s="6"/>
    </row>
    <row r="76" spans="1:15">
      <c r="A76" s="6"/>
      <c r="B76" s="30"/>
      <c r="C76" s="14"/>
      <c r="D76" s="31"/>
      <c r="E76" s="31"/>
      <c r="F76" s="13"/>
      <c r="G76" s="13"/>
      <c r="H76" s="13"/>
      <c r="I76" s="13"/>
      <c r="J76" s="13"/>
      <c r="K76" s="13"/>
      <c r="L76" s="13"/>
      <c r="M76" s="26"/>
      <c r="N76" s="26"/>
      <c r="O76" s="6"/>
    </row>
    <row r="77" spans="1:15">
      <c r="A77" s="6"/>
      <c r="B77" s="30"/>
      <c r="C77" s="11"/>
      <c r="D77" s="32"/>
      <c r="E77" s="32"/>
      <c r="F77" s="5"/>
      <c r="G77" s="5"/>
      <c r="H77" s="5"/>
      <c r="I77" s="5"/>
      <c r="J77" s="5"/>
      <c r="K77" s="5"/>
      <c r="L77" s="5"/>
      <c r="M77" s="25"/>
      <c r="N77" s="25"/>
      <c r="O77" s="6"/>
    </row>
    <row r="78" spans="1:15">
      <c r="A78" s="6"/>
      <c r="B78" s="30"/>
      <c r="C78" s="11"/>
      <c r="D78" s="32"/>
      <c r="E78" s="32"/>
      <c r="F78" s="13"/>
      <c r="G78" s="13"/>
      <c r="H78" s="13"/>
      <c r="I78" s="13"/>
      <c r="J78" s="13"/>
      <c r="K78" s="13"/>
      <c r="L78" s="5"/>
      <c r="M78" s="25"/>
      <c r="N78" s="25"/>
      <c r="O78" s="6"/>
    </row>
    <row r="79" spans="1:15">
      <c r="A79" s="6"/>
      <c r="B79" s="30"/>
      <c r="C79" s="11"/>
      <c r="D79" s="32"/>
      <c r="E79" s="32"/>
      <c r="F79" s="13"/>
      <c r="G79" s="13"/>
      <c r="H79" s="13"/>
      <c r="I79" s="13"/>
      <c r="J79" s="13"/>
      <c r="K79" s="5"/>
      <c r="L79" s="13"/>
      <c r="M79" s="26"/>
      <c r="N79" s="26"/>
      <c r="O79" s="6"/>
    </row>
    <row r="80" spans="1:15">
      <c r="A80" s="6"/>
      <c r="B80" s="30"/>
      <c r="C80" s="14"/>
      <c r="D80" s="31"/>
      <c r="E80" s="31"/>
      <c r="F80" s="13"/>
      <c r="G80" s="13"/>
      <c r="H80" s="13"/>
      <c r="I80" s="5"/>
      <c r="J80" s="5"/>
      <c r="K80" s="13"/>
      <c r="L80" s="13"/>
      <c r="M80" s="26"/>
      <c r="N80" s="26"/>
      <c r="O80" s="6"/>
    </row>
    <row r="81" spans="1:15">
      <c r="A81" s="6"/>
      <c r="B81" s="30"/>
      <c r="C81" s="11"/>
      <c r="D81" s="32"/>
      <c r="E81" s="32"/>
      <c r="F81" s="5"/>
      <c r="G81" s="5"/>
      <c r="H81" s="5"/>
      <c r="I81" s="5"/>
      <c r="J81" s="5"/>
      <c r="K81" s="5"/>
      <c r="L81" s="5"/>
      <c r="M81" s="25"/>
      <c r="N81" s="25"/>
      <c r="O81" s="6"/>
    </row>
    <row r="82" spans="1:15">
      <c r="A82" s="6"/>
      <c r="B82" s="30"/>
      <c r="C82" s="11"/>
      <c r="D82" s="32"/>
      <c r="E82" s="32"/>
      <c r="F82" s="13"/>
      <c r="G82" s="13"/>
      <c r="H82" s="13"/>
      <c r="I82" s="13"/>
      <c r="J82" s="13"/>
      <c r="K82" s="13"/>
      <c r="L82" s="13"/>
      <c r="M82" s="26"/>
      <c r="N82" s="26"/>
      <c r="O82" s="6"/>
    </row>
    <row r="83" spans="1:15">
      <c r="A83" s="6"/>
      <c r="B83" s="30"/>
      <c r="C83" s="14"/>
      <c r="D83" s="31"/>
      <c r="E83" s="31"/>
      <c r="F83" s="5"/>
      <c r="G83" s="5"/>
      <c r="H83" s="5"/>
      <c r="I83" s="5"/>
      <c r="J83" s="5"/>
      <c r="K83" s="13"/>
      <c r="L83" s="13"/>
      <c r="M83" s="26"/>
      <c r="N83" s="26"/>
      <c r="O83" s="6"/>
    </row>
    <row r="84" spans="1:15">
      <c r="A84" s="6"/>
      <c r="B84" s="30"/>
      <c r="C84" s="11"/>
      <c r="D84" s="31"/>
      <c r="E84" s="31"/>
      <c r="F84" s="13"/>
      <c r="G84" s="5"/>
      <c r="H84" s="13"/>
      <c r="I84" s="13"/>
      <c r="J84" s="13"/>
      <c r="K84" s="13"/>
      <c r="L84" s="13"/>
      <c r="M84" s="13"/>
      <c r="N84" s="13"/>
      <c r="O84" s="6"/>
    </row>
    <row r="85" spans="1:15">
      <c r="A85" s="6"/>
      <c r="B85" s="30"/>
      <c r="C85" s="11"/>
      <c r="D85" s="32"/>
      <c r="E85" s="32"/>
      <c r="F85" s="13"/>
      <c r="G85" s="13"/>
      <c r="H85" s="13"/>
      <c r="I85" s="13"/>
      <c r="J85" s="13"/>
      <c r="K85" s="13"/>
      <c r="L85" s="5"/>
      <c r="M85" s="26"/>
      <c r="N85" s="26"/>
      <c r="O85" s="6"/>
    </row>
    <row r="86" spans="1:15">
      <c r="A86" s="6"/>
      <c r="B86" s="30"/>
      <c r="C86" s="11"/>
      <c r="D86" s="32"/>
      <c r="E86" s="32"/>
      <c r="F86" s="5"/>
      <c r="G86" s="5"/>
      <c r="H86" s="5"/>
      <c r="I86" s="5"/>
      <c r="J86" s="5"/>
      <c r="K86" s="13"/>
      <c r="L86" s="13"/>
      <c r="M86" s="26"/>
      <c r="N86" s="26"/>
      <c r="O86" s="6"/>
    </row>
    <row r="87" spans="1:15">
      <c r="A87" s="6"/>
      <c r="B87" s="30"/>
      <c r="C87" s="6"/>
      <c r="D87" s="32"/>
      <c r="E87" s="32"/>
      <c r="F87" s="5"/>
      <c r="G87" s="5"/>
      <c r="H87" s="5"/>
      <c r="I87" s="13"/>
      <c r="J87" s="13"/>
      <c r="K87" s="13"/>
      <c r="L87" s="13"/>
      <c r="M87" s="26"/>
      <c r="N87" s="26"/>
      <c r="O87" s="6"/>
    </row>
    <row r="88" spans="1:15">
      <c r="A88" s="6"/>
      <c r="B88" s="30"/>
      <c r="C88" s="14"/>
      <c r="D88" s="31"/>
      <c r="E88" s="31"/>
      <c r="F88" s="13"/>
      <c r="G88" s="13"/>
      <c r="H88" s="13"/>
      <c r="I88" s="13"/>
      <c r="J88" s="13"/>
      <c r="K88" s="13"/>
      <c r="L88" s="13"/>
      <c r="M88" s="26"/>
      <c r="N88" s="26"/>
      <c r="O88" s="6"/>
    </row>
    <row r="89" spans="1:15">
      <c r="A89" s="6"/>
      <c r="B89" s="30"/>
      <c r="C89" s="11"/>
      <c r="D89" s="32"/>
      <c r="E89" s="32"/>
      <c r="F89" s="13"/>
      <c r="G89" s="13"/>
      <c r="H89" s="13"/>
      <c r="I89" s="13"/>
      <c r="J89" s="13"/>
      <c r="K89" s="13"/>
      <c r="L89" s="13"/>
      <c r="M89" s="26"/>
      <c r="N89" s="26"/>
      <c r="O89" s="6"/>
    </row>
    <row r="90" spans="1:15">
      <c r="A90" s="6"/>
      <c r="B90" s="30"/>
      <c r="C90" s="11"/>
      <c r="D90" s="31"/>
      <c r="E90" s="31"/>
      <c r="F90" s="13"/>
      <c r="G90" s="13"/>
      <c r="H90" s="13"/>
      <c r="I90" s="13"/>
      <c r="J90" s="13"/>
      <c r="K90" s="13"/>
      <c r="L90" s="13"/>
      <c r="M90" s="13"/>
      <c r="N90" s="13"/>
      <c r="O90" s="6"/>
    </row>
    <row r="91" spans="1:15">
      <c r="A91" s="6"/>
      <c r="B91" s="30"/>
      <c r="C91" s="11"/>
      <c r="D91" s="32"/>
      <c r="E91" s="32"/>
      <c r="F91" s="13"/>
      <c r="G91" s="13"/>
      <c r="H91" s="13"/>
      <c r="I91" s="13"/>
      <c r="J91" s="13"/>
      <c r="K91" s="13"/>
      <c r="L91" s="13"/>
      <c r="M91" s="26"/>
      <c r="N91" s="26"/>
      <c r="O91" s="6"/>
    </row>
    <row r="92" spans="1:15">
      <c r="A92" s="6"/>
      <c r="B92" s="30"/>
      <c r="C92" s="6"/>
      <c r="D92" s="32"/>
      <c r="E92" s="32"/>
      <c r="F92" s="13"/>
      <c r="G92" s="13"/>
      <c r="H92" s="13"/>
      <c r="I92" s="5"/>
      <c r="J92" s="5"/>
      <c r="K92" s="13"/>
      <c r="L92" s="13"/>
      <c r="M92" s="26"/>
      <c r="N92" s="26"/>
      <c r="O92" s="6"/>
    </row>
    <row r="93" spans="1:15">
      <c r="A93" s="6"/>
      <c r="B93" s="30"/>
      <c r="C93" s="14"/>
      <c r="D93" s="31"/>
      <c r="E93" s="31"/>
      <c r="F93" s="5"/>
      <c r="G93" s="5"/>
      <c r="H93" s="5"/>
      <c r="I93" s="5"/>
      <c r="J93" s="5"/>
      <c r="K93" s="13"/>
      <c r="L93" s="13"/>
      <c r="M93" s="13"/>
      <c r="N93" s="13"/>
      <c r="O93" s="6"/>
    </row>
    <row r="94" spans="1:15">
      <c r="A94" s="6"/>
      <c r="B94" s="30"/>
      <c r="C94" s="11"/>
      <c r="D94" s="32"/>
      <c r="E94" s="32"/>
      <c r="F94" s="13"/>
      <c r="G94" s="13"/>
      <c r="H94" s="13"/>
      <c r="I94" s="5"/>
      <c r="J94" s="13"/>
      <c r="K94" s="13"/>
      <c r="L94" s="13"/>
      <c r="M94" s="26"/>
      <c r="N94" s="26"/>
      <c r="O94" s="6"/>
    </row>
    <row r="95" spans="1:15">
      <c r="A95" s="6"/>
      <c r="B95" s="30"/>
      <c r="C95" s="11"/>
      <c r="D95" s="32"/>
      <c r="E95" s="32"/>
      <c r="F95" s="13"/>
      <c r="G95" s="13"/>
      <c r="H95" s="13"/>
      <c r="I95" s="13"/>
      <c r="J95" s="13"/>
      <c r="K95" s="13"/>
      <c r="L95" s="13"/>
      <c r="M95" s="13"/>
      <c r="N95" s="13"/>
      <c r="O95" s="6"/>
    </row>
    <row r="96" spans="1:15">
      <c r="A96" s="6"/>
      <c r="B96" s="30"/>
      <c r="C96" s="11"/>
      <c r="D96" s="32"/>
      <c r="E96" s="32"/>
      <c r="F96" s="13"/>
      <c r="G96" s="13"/>
      <c r="H96" s="13"/>
      <c r="I96" s="5"/>
      <c r="J96" s="13"/>
      <c r="K96" s="13"/>
      <c r="L96" s="13"/>
      <c r="M96" s="26"/>
      <c r="N96" s="26"/>
      <c r="O96" s="6"/>
    </row>
    <row r="97" spans="1:15">
      <c r="A97" s="6"/>
      <c r="B97" s="30"/>
      <c r="C97" s="14"/>
      <c r="D97" s="32"/>
      <c r="E97" s="32"/>
      <c r="F97" s="13"/>
      <c r="G97" s="13"/>
      <c r="H97" s="13"/>
      <c r="I97" s="13"/>
      <c r="J97" s="13"/>
      <c r="K97" s="13"/>
      <c r="L97" s="13"/>
      <c r="M97" s="26"/>
      <c r="N97" s="26"/>
      <c r="O97" s="6"/>
    </row>
    <row r="98" spans="1:15">
      <c r="A98" s="6"/>
      <c r="B98" s="30"/>
      <c r="C98" s="14"/>
      <c r="D98" s="31"/>
      <c r="E98" s="31"/>
      <c r="F98" s="13"/>
      <c r="G98" s="13"/>
      <c r="H98" s="13"/>
      <c r="I98" s="13"/>
      <c r="J98" s="13"/>
      <c r="K98" s="13"/>
      <c r="L98" s="13"/>
      <c r="M98" s="26"/>
      <c r="N98" s="26"/>
      <c r="O98" s="6"/>
    </row>
    <row r="99" spans="1:15">
      <c r="A99" s="6"/>
      <c r="B99" s="30"/>
      <c r="C99" s="14"/>
      <c r="D99" s="31"/>
      <c r="E99" s="31"/>
      <c r="F99" s="13"/>
      <c r="G99" s="13"/>
      <c r="H99" s="13"/>
      <c r="I99" s="13"/>
      <c r="J99" s="13"/>
      <c r="K99" s="13"/>
      <c r="L99" s="13"/>
      <c r="M99" s="26"/>
      <c r="N99" s="26"/>
      <c r="O99" s="6"/>
    </row>
    <row r="100" spans="1:15">
      <c r="A100" s="6"/>
      <c r="B100" s="30"/>
      <c r="C100" s="11"/>
      <c r="D100" s="32"/>
      <c r="E100" s="32"/>
      <c r="F100" s="13"/>
      <c r="G100" s="13"/>
      <c r="H100" s="13"/>
      <c r="I100" s="13"/>
      <c r="J100" s="13"/>
      <c r="K100" s="5"/>
      <c r="L100" s="5"/>
      <c r="M100" s="25"/>
      <c r="N100" s="25"/>
      <c r="O100" s="6"/>
    </row>
    <row r="101" spans="1:15">
      <c r="A101" s="6"/>
      <c r="B101" s="30"/>
      <c r="C101" s="11"/>
      <c r="D101" s="32"/>
      <c r="E101" s="32"/>
      <c r="F101" s="13"/>
      <c r="G101" s="13"/>
      <c r="H101" s="13"/>
      <c r="I101" s="13"/>
      <c r="J101" s="13"/>
      <c r="K101" s="13"/>
      <c r="L101" s="13"/>
      <c r="M101" s="13"/>
      <c r="N101" s="13"/>
      <c r="O101" s="6"/>
    </row>
    <row r="102" spans="1:15">
      <c r="A102" s="6"/>
      <c r="B102" s="30"/>
      <c r="C102" s="11"/>
      <c r="D102" s="32"/>
      <c r="E102" s="32"/>
      <c r="F102" s="5"/>
      <c r="G102" s="5"/>
      <c r="H102" s="5"/>
      <c r="I102" s="5"/>
      <c r="J102" s="5"/>
      <c r="K102" s="5"/>
      <c r="L102" s="5"/>
      <c r="M102" s="5"/>
      <c r="N102" s="5"/>
      <c r="O102" s="6"/>
    </row>
    <row r="103" spans="1:15">
      <c r="A103" s="6"/>
      <c r="B103" s="30"/>
      <c r="C103" s="11"/>
      <c r="D103" s="32"/>
      <c r="E103" s="32"/>
      <c r="F103" s="13"/>
      <c r="G103" s="13"/>
      <c r="H103" s="13"/>
      <c r="I103" s="13"/>
      <c r="J103" s="13"/>
      <c r="K103" s="13"/>
      <c r="L103" s="13"/>
      <c r="M103" s="26"/>
      <c r="N103" s="26"/>
      <c r="O103" s="6"/>
    </row>
    <row r="104" spans="1:15">
      <c r="A104" s="6"/>
      <c r="B104" s="30"/>
      <c r="C104" s="6"/>
      <c r="D104" s="32"/>
      <c r="E104" s="32"/>
      <c r="F104" s="13"/>
      <c r="G104" s="13"/>
      <c r="H104" s="13"/>
      <c r="I104" s="5"/>
      <c r="J104" s="13"/>
      <c r="K104" s="5"/>
      <c r="L104" s="5"/>
      <c r="M104" s="25"/>
      <c r="N104" s="25"/>
      <c r="O104" s="6"/>
    </row>
    <row r="105" spans="1:15">
      <c r="A105" s="6"/>
      <c r="B105" s="30"/>
      <c r="C105" s="11"/>
      <c r="D105" s="32"/>
      <c r="E105" s="32"/>
      <c r="F105" s="13"/>
      <c r="G105" s="13"/>
      <c r="H105" s="13"/>
      <c r="I105" s="13"/>
      <c r="J105" s="13"/>
      <c r="K105" s="13"/>
      <c r="L105" s="13"/>
      <c r="M105" s="26"/>
      <c r="N105" s="26"/>
      <c r="O105" s="6"/>
    </row>
    <row r="106" spans="1:15">
      <c r="A106" s="6"/>
      <c r="B106" s="30"/>
      <c r="C106" s="14"/>
      <c r="D106" s="32"/>
      <c r="E106" s="32"/>
      <c r="F106" s="13"/>
      <c r="G106" s="13"/>
      <c r="H106" s="13"/>
      <c r="I106" s="5"/>
      <c r="J106" s="12"/>
      <c r="K106" s="12"/>
      <c r="L106" s="13"/>
      <c r="M106" s="26"/>
      <c r="N106" s="26"/>
      <c r="O106" s="6"/>
    </row>
    <row r="107" spans="1:15">
      <c r="A107" s="6"/>
      <c r="B107" s="30"/>
      <c r="C107" s="11"/>
      <c r="D107" s="32"/>
      <c r="E107" s="32"/>
      <c r="F107" s="13"/>
      <c r="G107" s="13"/>
      <c r="H107" s="13"/>
      <c r="I107" s="13"/>
      <c r="J107" s="13"/>
      <c r="K107" s="13"/>
      <c r="L107" s="5"/>
      <c r="M107" s="25"/>
      <c r="N107" s="25"/>
      <c r="O107" s="6"/>
    </row>
    <row r="108" spans="1:15">
      <c r="A108" s="6"/>
      <c r="B108" s="30"/>
      <c r="C108" s="14"/>
      <c r="D108" s="31"/>
      <c r="E108" s="31"/>
      <c r="F108" s="5"/>
      <c r="G108" s="5"/>
      <c r="H108" s="5"/>
      <c r="I108" s="5"/>
      <c r="J108" s="5"/>
      <c r="K108" s="13"/>
      <c r="L108" s="13"/>
      <c r="M108" s="26"/>
      <c r="N108" s="26"/>
      <c r="O108" s="6"/>
    </row>
    <row r="109" spans="1:15">
      <c r="A109" s="6"/>
      <c r="B109" s="30"/>
      <c r="C109" s="11"/>
      <c r="D109" s="32"/>
      <c r="E109" s="32"/>
      <c r="F109" s="13"/>
      <c r="G109" s="5"/>
      <c r="H109" s="13"/>
      <c r="I109" s="13"/>
      <c r="J109" s="13"/>
      <c r="K109" s="5"/>
      <c r="L109" s="13"/>
      <c r="M109" s="13"/>
      <c r="N109" s="13"/>
      <c r="O109" s="6"/>
    </row>
    <row r="110" spans="1:15">
      <c r="A110" s="6"/>
      <c r="B110" s="30"/>
      <c r="C110" s="14"/>
      <c r="D110" s="31"/>
      <c r="E110" s="31"/>
      <c r="F110" s="5"/>
      <c r="G110" s="5"/>
      <c r="H110" s="5"/>
      <c r="I110" s="5"/>
      <c r="J110" s="5"/>
      <c r="K110" s="13"/>
      <c r="L110" s="13"/>
      <c r="M110" s="26"/>
      <c r="N110" s="26"/>
      <c r="O110" s="6"/>
    </row>
    <row r="111" spans="1:15">
      <c r="A111" s="6"/>
      <c r="B111" s="30"/>
      <c r="C111" s="14"/>
      <c r="D111" s="31"/>
      <c r="E111" s="31"/>
      <c r="F111" s="13"/>
      <c r="G111" s="13"/>
      <c r="H111" s="13"/>
      <c r="I111" s="13"/>
      <c r="J111" s="13"/>
      <c r="K111" s="13"/>
      <c r="L111" s="13"/>
      <c r="M111" s="26"/>
      <c r="N111" s="26"/>
      <c r="O111" s="6"/>
    </row>
    <row r="112" spans="1:15">
      <c r="A112" s="6"/>
      <c r="B112" s="30"/>
      <c r="C112" s="11"/>
      <c r="D112" s="32"/>
      <c r="E112" s="32"/>
      <c r="F112" s="13"/>
      <c r="G112" s="13"/>
      <c r="H112" s="13"/>
      <c r="I112" s="13"/>
      <c r="J112" s="13"/>
      <c r="K112" s="13"/>
      <c r="L112" s="5"/>
      <c r="M112" s="26"/>
      <c r="N112" s="26"/>
      <c r="O112" s="6"/>
    </row>
    <row r="113" spans="1:15">
      <c r="A113" s="6"/>
      <c r="B113" s="30"/>
      <c r="C113" s="14"/>
      <c r="D113" s="31"/>
      <c r="E113" s="31"/>
      <c r="F113" s="13"/>
      <c r="G113" s="13"/>
      <c r="H113" s="13"/>
      <c r="I113" s="13"/>
      <c r="J113" s="13"/>
      <c r="K113" s="13"/>
      <c r="L113" s="13"/>
      <c r="M113" s="13"/>
      <c r="N113" s="13"/>
      <c r="O113" s="6"/>
    </row>
    <row r="114" spans="1:15">
      <c r="A114" s="6"/>
      <c r="B114" s="30"/>
      <c r="C114" s="11"/>
      <c r="D114" s="32"/>
      <c r="E114" s="32"/>
      <c r="F114" s="13"/>
      <c r="G114" s="13"/>
      <c r="H114" s="13"/>
      <c r="I114" s="13"/>
      <c r="J114" s="13"/>
      <c r="K114" s="13"/>
      <c r="L114" s="13"/>
      <c r="M114" s="13"/>
      <c r="N114" s="13"/>
      <c r="O114" s="6"/>
    </row>
    <row r="115" spans="1:15">
      <c r="A115" s="6"/>
      <c r="B115" s="30"/>
      <c r="C115" s="11"/>
      <c r="D115" s="31"/>
      <c r="E115" s="31"/>
      <c r="F115" s="5"/>
      <c r="G115" s="5"/>
      <c r="H115" s="5"/>
      <c r="I115" s="13"/>
      <c r="J115" s="13"/>
      <c r="K115" s="13"/>
      <c r="L115" s="13"/>
      <c r="M115" s="26"/>
      <c r="N115" s="26"/>
      <c r="O115" s="6"/>
    </row>
    <row r="116" spans="1:15">
      <c r="A116" s="6"/>
      <c r="B116" s="30"/>
      <c r="C116" s="11"/>
      <c r="D116" s="46"/>
      <c r="E116" s="46"/>
      <c r="F116" s="5"/>
      <c r="G116" s="5"/>
      <c r="H116" s="5"/>
      <c r="I116" s="5"/>
      <c r="J116" s="13"/>
      <c r="K116" s="13"/>
      <c r="L116" s="13"/>
      <c r="M116" s="13"/>
      <c r="N116" s="13"/>
      <c r="O116" s="6"/>
    </row>
    <row r="117" spans="1:15">
      <c r="A117" s="6"/>
      <c r="B117" s="30"/>
      <c r="C117" s="11"/>
      <c r="D117" s="31"/>
      <c r="E117" s="31"/>
      <c r="F117" s="5"/>
      <c r="G117" s="5"/>
      <c r="H117" s="5"/>
      <c r="I117" s="13"/>
      <c r="J117" s="13"/>
      <c r="K117" s="5"/>
      <c r="L117" s="5"/>
      <c r="M117" s="26"/>
      <c r="N117" s="26"/>
      <c r="O117" s="6"/>
    </row>
    <row r="118" spans="1:15">
      <c r="A118" s="6"/>
      <c r="B118" s="30"/>
      <c r="C118" s="23"/>
      <c r="D118" s="33"/>
      <c r="E118" s="33"/>
      <c r="F118" s="5"/>
      <c r="G118" s="5"/>
      <c r="H118" s="5"/>
      <c r="I118" s="13"/>
      <c r="J118" s="13"/>
      <c r="K118" s="5"/>
      <c r="L118" s="13"/>
      <c r="M118" s="26"/>
      <c r="N118" s="26"/>
      <c r="O118" s="6"/>
    </row>
    <row r="119" spans="1:15">
      <c r="A119" s="6"/>
      <c r="B119" s="30"/>
      <c r="C119" s="22"/>
      <c r="D119" s="32"/>
      <c r="E119" s="32"/>
      <c r="F119" s="13"/>
      <c r="G119" s="13"/>
      <c r="H119" s="13"/>
      <c r="I119" s="13"/>
      <c r="J119" s="13"/>
      <c r="K119" s="5"/>
      <c r="L119" s="13"/>
      <c r="M119" s="26"/>
      <c r="N119" s="26"/>
      <c r="O119" s="6"/>
    </row>
    <row r="120" spans="1:15">
      <c r="A120" s="6"/>
      <c r="B120" s="30"/>
      <c r="C120" s="11"/>
      <c r="D120" s="34"/>
      <c r="E120" s="34"/>
      <c r="F120" s="5"/>
      <c r="G120" s="5"/>
      <c r="H120" s="5"/>
      <c r="I120" s="5"/>
      <c r="J120" s="12"/>
      <c r="K120" s="5"/>
      <c r="L120" s="5"/>
      <c r="M120" s="5"/>
      <c r="N120" s="5"/>
      <c r="O120" s="6"/>
    </row>
    <row r="121" spans="1:15">
      <c r="A121" s="6"/>
      <c r="B121" s="30"/>
      <c r="C121" s="11"/>
      <c r="D121" s="34"/>
      <c r="E121" s="34"/>
      <c r="F121" s="5"/>
      <c r="G121" s="5"/>
      <c r="H121" s="5"/>
      <c r="I121" s="13"/>
      <c r="J121" s="13"/>
      <c r="K121" s="13"/>
      <c r="L121" s="5"/>
      <c r="M121" s="26"/>
      <c r="N121" s="26"/>
      <c r="O121" s="6"/>
    </row>
    <row r="122" spans="1:15">
      <c r="A122" s="6"/>
      <c r="B122" s="30"/>
      <c r="C122" s="11"/>
      <c r="D122" s="34"/>
      <c r="E122" s="34"/>
      <c r="F122" s="5"/>
      <c r="G122" s="5"/>
      <c r="H122" s="5"/>
      <c r="I122" s="13"/>
      <c r="J122" s="13"/>
      <c r="K122" s="13"/>
      <c r="L122" s="5"/>
      <c r="M122" s="26"/>
      <c r="N122" s="26"/>
      <c r="O122" s="6"/>
    </row>
    <row r="123" spans="1:15">
      <c r="A123" s="6"/>
      <c r="B123" s="30"/>
      <c r="C123" s="11"/>
      <c r="D123" s="34"/>
      <c r="E123" s="34"/>
      <c r="F123" s="5"/>
      <c r="G123" s="5"/>
      <c r="H123" s="5"/>
      <c r="I123" s="5"/>
      <c r="J123" s="12"/>
      <c r="K123" s="5"/>
      <c r="L123" s="5"/>
      <c r="M123" s="5"/>
      <c r="N123" s="5"/>
      <c r="O123" s="6"/>
    </row>
    <row r="124" spans="1:15">
      <c r="A124" s="6"/>
      <c r="B124" s="30"/>
      <c r="C124" s="11"/>
      <c r="D124" s="21"/>
      <c r="E124" s="21"/>
      <c r="F124" s="13"/>
      <c r="G124" s="13"/>
      <c r="H124" s="13"/>
      <c r="I124" s="13"/>
      <c r="J124" s="13"/>
      <c r="K124" s="5"/>
      <c r="L124" s="13"/>
      <c r="M124" s="26"/>
      <c r="N124" s="26"/>
      <c r="O124" s="6"/>
    </row>
    <row r="125" spans="1:15">
      <c r="A125" s="6"/>
      <c r="B125" s="30"/>
      <c r="C125" s="11"/>
      <c r="D125" s="21"/>
      <c r="E125" s="21"/>
      <c r="F125" s="13"/>
      <c r="G125" s="13"/>
      <c r="H125" s="13"/>
      <c r="I125" s="13"/>
      <c r="J125" s="13"/>
      <c r="K125" s="5"/>
      <c r="L125" s="13"/>
      <c r="M125" s="26"/>
      <c r="N125" s="26"/>
      <c r="O125" s="6"/>
    </row>
    <row r="126" spans="1:15">
      <c r="A126" s="6"/>
      <c r="B126" s="30"/>
      <c r="C126" s="11"/>
      <c r="D126" s="34"/>
      <c r="E126" s="34"/>
      <c r="F126" s="13"/>
      <c r="G126" s="13"/>
      <c r="H126" s="13"/>
      <c r="I126" s="13"/>
      <c r="J126" s="13"/>
      <c r="K126" s="13"/>
      <c r="L126" s="5"/>
      <c r="M126" s="26"/>
      <c r="N126" s="26"/>
      <c r="O126" s="6"/>
    </row>
    <row r="127" spans="1:15">
      <c r="A127" s="6"/>
      <c r="B127" s="30"/>
      <c r="C127" s="11"/>
      <c r="D127" s="21"/>
      <c r="E127" s="21"/>
      <c r="F127" s="13"/>
      <c r="G127" s="13"/>
      <c r="H127" s="13"/>
      <c r="I127" s="5"/>
      <c r="J127" s="5"/>
      <c r="K127" s="5"/>
      <c r="L127" s="13"/>
      <c r="M127" s="26"/>
      <c r="N127" s="26"/>
      <c r="O127" s="6"/>
    </row>
    <row r="128" spans="1:15">
      <c r="A128" s="6"/>
      <c r="B128" s="30"/>
      <c r="C128" s="11"/>
      <c r="D128" s="21"/>
      <c r="E128" s="21"/>
      <c r="F128" s="5"/>
      <c r="G128" s="5"/>
      <c r="H128" s="5"/>
      <c r="I128" s="5"/>
      <c r="J128" s="5"/>
      <c r="K128" s="5"/>
      <c r="L128" s="5"/>
      <c r="M128" s="26"/>
      <c r="N128" s="26"/>
      <c r="O128" s="6"/>
    </row>
    <row r="129" spans="1:15">
      <c r="A129" s="6"/>
      <c r="B129" s="30"/>
      <c r="C129" s="14"/>
      <c r="D129" s="21"/>
      <c r="E129" s="21"/>
      <c r="F129" s="13"/>
      <c r="G129" s="13"/>
      <c r="H129" s="13"/>
      <c r="I129" s="5"/>
      <c r="J129" s="5"/>
      <c r="K129" s="5"/>
      <c r="L129" s="5"/>
      <c r="M129" s="25"/>
      <c r="N129" s="25"/>
      <c r="O129" s="6"/>
    </row>
    <row r="130" spans="1:15">
      <c r="A130" s="6"/>
      <c r="B130" s="30"/>
      <c r="C130" s="11"/>
      <c r="D130" s="21"/>
      <c r="E130" s="21"/>
      <c r="F130" s="5"/>
      <c r="G130" s="5"/>
      <c r="H130" s="5"/>
      <c r="I130" s="5"/>
      <c r="J130" s="5"/>
      <c r="K130" s="13"/>
      <c r="L130" s="13"/>
      <c r="M130" s="13"/>
      <c r="N130" s="13"/>
      <c r="O130" s="6"/>
    </row>
    <row r="131" spans="1:15">
      <c r="A131" s="6"/>
      <c r="B131" s="30"/>
      <c r="C131" s="11"/>
      <c r="D131" s="34"/>
      <c r="E131" s="34"/>
      <c r="F131" s="5"/>
      <c r="G131" s="5"/>
      <c r="H131" s="5"/>
      <c r="I131" s="13"/>
      <c r="J131" s="13"/>
      <c r="K131" s="13"/>
      <c r="L131" s="13"/>
      <c r="M131" s="13"/>
      <c r="N131" s="13"/>
      <c r="O131" s="6"/>
    </row>
    <row r="132" spans="1:15">
      <c r="A132" s="6"/>
      <c r="B132" s="30"/>
      <c r="C132" s="45"/>
      <c r="D132" s="21"/>
      <c r="E132" s="21"/>
      <c r="F132" s="5"/>
      <c r="G132" s="5"/>
      <c r="H132" s="5"/>
      <c r="I132" s="5"/>
      <c r="J132" s="5"/>
      <c r="K132" s="44"/>
      <c r="L132" s="13"/>
      <c r="M132" s="13"/>
      <c r="N132" s="13"/>
      <c r="O132" s="6"/>
    </row>
    <row r="133" spans="1:15">
      <c r="A133" s="6"/>
      <c r="B133" s="30"/>
      <c r="C133" s="14"/>
      <c r="D133" s="21"/>
      <c r="E133" s="21"/>
      <c r="F133" s="5"/>
      <c r="G133" s="5"/>
      <c r="H133" s="5"/>
      <c r="I133" s="5"/>
      <c r="J133" s="5"/>
      <c r="K133" s="13"/>
      <c r="L133" s="13"/>
      <c r="M133" s="26"/>
      <c r="N133" s="26"/>
      <c r="O133" s="6"/>
    </row>
    <row r="134" spans="1:15">
      <c r="A134" s="6"/>
      <c r="B134" s="30"/>
      <c r="C134" s="11"/>
      <c r="D134" s="34"/>
      <c r="E134" s="34"/>
      <c r="F134" s="5"/>
      <c r="G134" s="5"/>
      <c r="H134" s="5"/>
      <c r="I134" s="13"/>
      <c r="J134" s="13"/>
      <c r="K134" s="5"/>
      <c r="L134" s="5"/>
      <c r="M134" s="25"/>
      <c r="N134" s="25"/>
      <c r="O134" s="6"/>
    </row>
    <row r="135" spans="1:15">
      <c r="A135" s="6"/>
      <c r="B135" s="30"/>
      <c r="C135" s="11"/>
      <c r="D135" s="34"/>
      <c r="E135" s="34"/>
      <c r="F135" s="5"/>
      <c r="G135" s="5"/>
      <c r="H135" s="5"/>
      <c r="I135" s="13"/>
      <c r="J135" s="13"/>
      <c r="K135" s="5"/>
      <c r="L135" s="5"/>
      <c r="M135" s="25"/>
      <c r="N135" s="25"/>
      <c r="O135" s="6"/>
    </row>
    <row r="136" spans="1:15">
      <c r="A136" s="6"/>
      <c r="B136" s="30"/>
      <c r="C136" s="11"/>
      <c r="D136" s="34"/>
      <c r="E136" s="34"/>
      <c r="F136" s="13"/>
      <c r="G136" s="13"/>
      <c r="H136" s="13"/>
      <c r="I136" s="13"/>
      <c r="J136" s="13"/>
      <c r="K136" s="13"/>
      <c r="L136" s="13"/>
      <c r="M136" s="26"/>
      <c r="N136" s="26"/>
      <c r="O136" s="6"/>
    </row>
    <row r="137" spans="1:15">
      <c r="A137" s="6"/>
      <c r="B137" s="30"/>
      <c r="C137" s="11"/>
      <c r="D137" s="34"/>
      <c r="E137" s="34"/>
      <c r="F137" s="13"/>
      <c r="G137" s="13"/>
      <c r="H137" s="13"/>
      <c r="I137" s="13"/>
      <c r="J137" s="13"/>
      <c r="K137" s="13"/>
      <c r="L137" s="13"/>
      <c r="M137" s="26"/>
      <c r="N137" s="26"/>
      <c r="O137" s="6"/>
    </row>
    <row r="138" spans="1:15">
      <c r="A138" s="6"/>
      <c r="B138" s="30"/>
      <c r="C138" s="42"/>
      <c r="D138" s="21"/>
      <c r="E138" s="21"/>
      <c r="F138" s="13"/>
      <c r="G138" s="13"/>
      <c r="H138" s="13"/>
      <c r="I138" s="5"/>
      <c r="J138" s="5"/>
      <c r="K138" s="5"/>
      <c r="L138" s="13"/>
      <c r="M138" s="13"/>
      <c r="N138" s="13"/>
      <c r="O138" s="6"/>
    </row>
    <row r="139" spans="1:15">
      <c r="A139" s="6"/>
      <c r="B139" s="30"/>
      <c r="C139" s="11"/>
      <c r="D139" s="21"/>
      <c r="E139" s="21"/>
      <c r="F139" s="5"/>
      <c r="G139" s="5"/>
      <c r="H139" s="5"/>
      <c r="I139" s="5"/>
      <c r="J139" s="5"/>
      <c r="K139" s="5"/>
      <c r="L139" s="13"/>
      <c r="M139" s="13"/>
      <c r="N139" s="13"/>
      <c r="O139" s="6"/>
    </row>
    <row r="140" spans="1:15">
      <c r="A140" s="6"/>
      <c r="B140" s="30"/>
      <c r="C140" s="14"/>
      <c r="D140" s="21"/>
      <c r="E140" s="21"/>
      <c r="F140" s="5"/>
      <c r="G140" s="5"/>
      <c r="H140" s="5"/>
      <c r="I140" s="5"/>
      <c r="J140" s="5"/>
      <c r="K140" s="13"/>
      <c r="L140" s="13"/>
      <c r="M140" s="13"/>
      <c r="N140" s="13"/>
      <c r="O140" s="6"/>
    </row>
    <row r="141" spans="1:15">
      <c r="A141" s="6"/>
      <c r="B141" s="30"/>
      <c r="C141" s="11"/>
      <c r="D141" s="34"/>
      <c r="E141" s="34"/>
      <c r="F141" s="13"/>
      <c r="G141" s="13"/>
      <c r="H141" s="13"/>
      <c r="I141" s="13"/>
      <c r="J141" s="13"/>
      <c r="K141" s="13"/>
      <c r="L141" s="13"/>
      <c r="M141" s="13"/>
      <c r="N141" s="13"/>
      <c r="O141" s="6"/>
    </row>
    <row r="142" spans="1:15">
      <c r="A142" s="6"/>
      <c r="B142" s="30"/>
      <c r="C142" s="11"/>
      <c r="D142" s="21"/>
      <c r="E142" s="21"/>
      <c r="F142" s="5"/>
      <c r="G142" s="5"/>
      <c r="H142" s="5"/>
      <c r="I142" s="5"/>
      <c r="J142" s="5"/>
      <c r="K142" s="44"/>
      <c r="L142" s="13"/>
      <c r="M142" s="13"/>
      <c r="N142" s="13"/>
      <c r="O142" s="6"/>
    </row>
    <row r="143" spans="1:15">
      <c r="A143" s="6"/>
      <c r="B143" s="30"/>
      <c r="C143" s="14"/>
      <c r="D143" s="21"/>
      <c r="E143" s="21"/>
      <c r="F143" s="13"/>
      <c r="G143" s="13"/>
      <c r="H143" s="13"/>
      <c r="I143" s="5"/>
      <c r="J143" s="5"/>
      <c r="K143" s="13"/>
      <c r="L143" s="13"/>
      <c r="M143" s="26"/>
      <c r="N143" s="26"/>
      <c r="O143" s="6"/>
    </row>
    <row r="144" spans="1:15">
      <c r="A144" s="6"/>
      <c r="B144" s="30"/>
      <c r="C144" s="40"/>
      <c r="D144" s="34"/>
      <c r="E144" s="34"/>
      <c r="F144" s="13"/>
      <c r="G144" s="13"/>
      <c r="H144" s="13"/>
      <c r="I144" s="13"/>
      <c r="J144" s="13"/>
      <c r="K144" s="13"/>
      <c r="L144" s="13"/>
      <c r="M144" s="13"/>
      <c r="N144" s="13"/>
      <c r="O144" s="6"/>
    </row>
    <row r="145" spans="1:15">
      <c r="A145" s="6"/>
      <c r="B145" s="30"/>
      <c r="C145" s="43"/>
      <c r="D145" s="21"/>
      <c r="E145" s="21"/>
      <c r="F145" s="13"/>
      <c r="G145" s="13"/>
      <c r="H145" s="13"/>
      <c r="I145" s="5"/>
      <c r="J145" s="5"/>
      <c r="K145" s="5"/>
      <c r="L145" s="13"/>
      <c r="M145" s="13"/>
      <c r="N145" s="13"/>
      <c r="O145" s="6"/>
    </row>
    <row r="146" spans="1:15">
      <c r="A146" s="6"/>
      <c r="B146" s="30"/>
      <c r="C146" s="11"/>
      <c r="D146" s="21"/>
      <c r="E146" s="21"/>
      <c r="F146" s="5"/>
      <c r="G146" s="5"/>
      <c r="H146" s="5"/>
      <c r="I146" s="5"/>
      <c r="J146" s="5"/>
      <c r="K146" s="5"/>
      <c r="L146" s="13"/>
      <c r="M146" s="13"/>
      <c r="N146" s="13"/>
      <c r="O146" s="6"/>
    </row>
    <row r="147" spans="1:15">
      <c r="A147" s="6"/>
      <c r="B147" s="30"/>
      <c r="C147" s="11"/>
      <c r="D147" s="21"/>
      <c r="E147" s="21"/>
      <c r="F147" s="5"/>
      <c r="G147" s="5"/>
      <c r="H147" s="5"/>
      <c r="I147" s="5"/>
      <c r="J147" s="5"/>
      <c r="K147" s="44"/>
      <c r="L147" s="13"/>
      <c r="M147" s="13"/>
      <c r="N147" s="13"/>
      <c r="O147" s="6"/>
    </row>
    <row r="148" spans="1:15">
      <c r="A148" s="6"/>
      <c r="B148" s="30"/>
      <c r="C148" s="11"/>
      <c r="D148" s="21"/>
      <c r="E148" s="21"/>
      <c r="F148" s="5"/>
      <c r="G148" s="5"/>
      <c r="H148" s="5"/>
      <c r="I148" s="5"/>
      <c r="J148" s="5"/>
      <c r="K148" s="44"/>
      <c r="L148" s="13"/>
      <c r="M148" s="13"/>
      <c r="N148" s="13"/>
      <c r="O148" s="6"/>
    </row>
    <row r="149" spans="1:15">
      <c r="A149" s="6"/>
      <c r="B149" s="59"/>
      <c r="C149" s="11"/>
      <c r="D149" s="34"/>
      <c r="E149" s="34"/>
      <c r="F149" s="5"/>
      <c r="G149" s="5"/>
      <c r="H149" s="5"/>
      <c r="I149" s="5"/>
      <c r="J149" s="12"/>
      <c r="K149" s="5"/>
      <c r="L149" s="5"/>
      <c r="M149" s="5"/>
      <c r="N149" s="5"/>
      <c r="O149" s="6"/>
    </row>
    <row r="150" spans="1:15">
      <c r="A150" s="6"/>
      <c r="B150" s="30"/>
      <c r="C150" s="11"/>
      <c r="D150" s="21"/>
      <c r="E150" s="21"/>
      <c r="F150" s="5"/>
      <c r="G150" s="5"/>
      <c r="H150" s="5"/>
      <c r="I150" s="5"/>
      <c r="J150" s="5"/>
      <c r="K150" s="41"/>
      <c r="L150" s="13"/>
      <c r="M150" s="13"/>
      <c r="N150" s="13"/>
      <c r="O150" s="6"/>
    </row>
    <row r="151" spans="1:15">
      <c r="A151" s="6"/>
      <c r="B151" s="30"/>
      <c r="C151" s="11"/>
      <c r="D151" s="34"/>
      <c r="E151" s="34"/>
      <c r="F151" s="13"/>
      <c r="G151" s="13"/>
      <c r="H151" s="13"/>
      <c r="I151" s="5"/>
      <c r="J151" s="5"/>
      <c r="K151" s="13"/>
      <c r="L151" s="13"/>
      <c r="M151" s="13"/>
      <c r="N151" s="13"/>
      <c r="O151" s="6"/>
    </row>
    <row r="152" spans="1:15">
      <c r="A152" s="6"/>
      <c r="B152" s="30"/>
      <c r="C152" s="14"/>
      <c r="D152" s="21"/>
      <c r="E152" s="21"/>
      <c r="F152" s="13"/>
      <c r="G152" s="13"/>
      <c r="H152" s="13"/>
      <c r="I152" s="13"/>
      <c r="J152" s="13"/>
      <c r="K152" s="13"/>
      <c r="L152" s="13"/>
      <c r="M152" s="26"/>
      <c r="N152" s="26"/>
      <c r="O152" s="6"/>
    </row>
    <row r="153" spans="1:15">
      <c r="A153" s="6"/>
      <c r="B153" s="30"/>
      <c r="C153" s="11"/>
      <c r="D153" s="14"/>
      <c r="E153" s="14"/>
      <c r="F153" s="5"/>
      <c r="G153" s="5"/>
      <c r="H153" s="5"/>
      <c r="I153" s="5"/>
      <c r="J153" s="5"/>
      <c r="K153" s="13"/>
      <c r="L153" s="13"/>
      <c r="M153" s="13"/>
      <c r="N153" s="13"/>
      <c r="O153" s="6"/>
    </row>
    <row r="154" spans="1:15">
      <c r="A154" s="6"/>
      <c r="B154" s="30"/>
      <c r="C154" s="11"/>
      <c r="D154" s="34"/>
      <c r="E154" s="34"/>
      <c r="F154" s="5"/>
      <c r="G154" s="5"/>
      <c r="H154" s="5"/>
      <c r="I154" s="5"/>
      <c r="J154" s="5"/>
      <c r="K154" s="13"/>
      <c r="L154" s="13"/>
      <c r="M154" s="13"/>
      <c r="N154" s="13"/>
      <c r="O154" s="6"/>
    </row>
    <row r="155" spans="1:15">
      <c r="A155" s="6"/>
      <c r="B155" s="30"/>
      <c r="C155" s="11"/>
      <c r="D155" s="34"/>
      <c r="E155" s="34"/>
      <c r="F155" s="13"/>
      <c r="G155" s="13"/>
      <c r="H155" s="13"/>
      <c r="I155" s="13"/>
      <c r="J155" s="13"/>
      <c r="K155" s="5"/>
      <c r="L155" s="13"/>
      <c r="M155" s="26"/>
      <c r="N155" s="26"/>
      <c r="O155" s="6"/>
    </row>
    <row r="156" spans="1:15">
      <c r="A156" s="6"/>
      <c r="B156" s="30"/>
      <c r="C156" s="11"/>
      <c r="D156" s="34"/>
      <c r="E156" s="34"/>
      <c r="F156" s="13"/>
      <c r="G156" s="13"/>
      <c r="H156" s="13"/>
      <c r="I156" s="13"/>
      <c r="J156" s="13"/>
      <c r="K156" s="44"/>
      <c r="L156" s="13"/>
      <c r="M156" s="13"/>
      <c r="N156" s="13"/>
      <c r="O156" s="6"/>
    </row>
    <row r="157" spans="1:15">
      <c r="A157" s="6"/>
      <c r="B157" s="30"/>
      <c r="C157" s="11"/>
      <c r="D157" s="34"/>
      <c r="E157" s="34"/>
      <c r="F157" s="13"/>
      <c r="G157" s="13"/>
      <c r="H157" s="13"/>
      <c r="I157" s="13"/>
      <c r="J157" s="13"/>
      <c r="K157" s="13"/>
      <c r="L157" s="13"/>
      <c r="M157" s="13"/>
      <c r="N157" s="13"/>
      <c r="O157" s="6"/>
    </row>
    <row r="158" spans="1:15">
      <c r="A158" s="6"/>
      <c r="B158" s="30"/>
      <c r="C158" s="14"/>
      <c r="D158" s="21"/>
      <c r="E158" s="21"/>
      <c r="F158" s="13"/>
      <c r="G158" s="13"/>
      <c r="H158" s="13"/>
      <c r="I158" s="5"/>
      <c r="J158" s="5"/>
      <c r="K158" s="13"/>
      <c r="L158" s="13"/>
      <c r="M158" s="26"/>
      <c r="N158" s="26"/>
      <c r="O158" s="6"/>
    </row>
    <row r="159" spans="1:15">
      <c r="A159" s="6"/>
      <c r="B159" s="30"/>
      <c r="C159" s="11"/>
      <c r="D159" s="34"/>
      <c r="E159" s="34"/>
      <c r="F159" s="5"/>
      <c r="G159" s="13"/>
      <c r="H159" s="13"/>
      <c r="I159" s="13"/>
      <c r="J159" s="13"/>
      <c r="K159" s="13"/>
      <c r="L159" s="13"/>
      <c r="M159" s="13"/>
      <c r="N159" s="13"/>
      <c r="O159" s="6"/>
    </row>
    <row r="160" spans="1:15">
      <c r="A160" s="6"/>
      <c r="B160" s="30"/>
      <c r="C160" s="11"/>
      <c r="D160" s="21"/>
      <c r="E160" s="21"/>
      <c r="F160" s="5"/>
      <c r="G160" s="5"/>
      <c r="H160" s="5"/>
      <c r="I160" s="5"/>
      <c r="J160" s="5"/>
      <c r="K160" s="44"/>
      <c r="L160" s="13"/>
      <c r="M160" s="13"/>
      <c r="N160" s="13"/>
      <c r="O160" s="6"/>
    </row>
    <row r="161" spans="1:15">
      <c r="A161" s="6"/>
      <c r="B161" s="30"/>
      <c r="C161" s="11"/>
      <c r="D161" s="21"/>
      <c r="E161" s="21"/>
      <c r="F161" s="5"/>
      <c r="G161" s="13"/>
      <c r="H161" s="13"/>
      <c r="I161" s="13"/>
      <c r="J161" s="13"/>
      <c r="K161" s="13"/>
      <c r="L161" s="13"/>
      <c r="M161" s="13"/>
      <c r="N161" s="13"/>
      <c r="O161" s="6"/>
    </row>
    <row r="162" spans="1:15">
      <c r="A162" s="6"/>
      <c r="B162" s="30"/>
      <c r="C162" s="11"/>
      <c r="D162" s="21"/>
      <c r="E162" s="21"/>
      <c r="F162" s="5"/>
      <c r="G162" s="5"/>
      <c r="H162" s="5"/>
      <c r="I162" s="5"/>
      <c r="J162" s="5"/>
      <c r="K162" s="13"/>
      <c r="L162" s="13"/>
      <c r="M162" s="13"/>
      <c r="N162" s="13"/>
      <c r="O162" s="6"/>
    </row>
    <row r="163" spans="1:15">
      <c r="A163" s="6"/>
      <c r="B163" s="30"/>
      <c r="C163" s="11"/>
      <c r="D163" s="11"/>
      <c r="E163" s="11"/>
      <c r="F163" s="5"/>
      <c r="G163" s="13"/>
      <c r="H163" s="5"/>
      <c r="I163" s="5"/>
      <c r="J163" s="5"/>
      <c r="K163" s="13"/>
      <c r="L163" s="13"/>
      <c r="M163" s="13"/>
      <c r="N163" s="13"/>
      <c r="O163" s="6"/>
    </row>
    <row r="164" spans="1:15">
      <c r="A164" s="6"/>
      <c r="B164" s="30"/>
      <c r="C164" s="11"/>
      <c r="D164" s="21"/>
      <c r="E164" s="21"/>
      <c r="F164" s="5"/>
      <c r="G164" s="13"/>
      <c r="H164" s="5"/>
      <c r="I164" s="13"/>
      <c r="J164" s="13"/>
      <c r="K164" s="13"/>
      <c r="L164" s="13"/>
      <c r="M164" s="13"/>
      <c r="N164" s="13"/>
      <c r="O164" s="6"/>
    </row>
    <row r="165" spans="1:15">
      <c r="A165" s="6"/>
      <c r="B165" s="30"/>
      <c r="C165" s="14"/>
      <c r="D165" s="21"/>
      <c r="E165" s="21"/>
      <c r="F165" s="13"/>
      <c r="G165" s="13"/>
      <c r="H165" s="13"/>
      <c r="I165" s="5"/>
      <c r="J165" s="5"/>
      <c r="K165" s="13"/>
      <c r="L165" s="13"/>
      <c r="M165" s="13"/>
      <c r="N165" s="13"/>
      <c r="O165" s="6"/>
    </row>
    <row r="166" spans="1:15">
      <c r="A166" s="6"/>
      <c r="B166" s="30"/>
      <c r="C166" s="14"/>
      <c r="D166" s="21"/>
      <c r="E166" s="21"/>
      <c r="F166" s="13"/>
      <c r="G166" s="13"/>
      <c r="H166" s="13"/>
      <c r="I166" s="13"/>
      <c r="J166" s="13"/>
      <c r="K166" s="13"/>
      <c r="L166" s="13"/>
      <c r="M166" s="13"/>
      <c r="N166" s="13"/>
      <c r="O166" s="6"/>
    </row>
    <row r="167" spans="1:15">
      <c r="A167" s="6"/>
      <c r="B167" s="30"/>
      <c r="C167" s="14"/>
      <c r="D167" s="21"/>
      <c r="E167" s="21"/>
      <c r="F167" s="5"/>
      <c r="G167" s="5"/>
      <c r="H167" s="5"/>
      <c r="I167" s="5"/>
      <c r="J167" s="5"/>
      <c r="K167" s="13"/>
      <c r="L167" s="13"/>
      <c r="M167" s="13"/>
      <c r="N167" s="13"/>
      <c r="O167" s="6"/>
    </row>
    <row r="168" spans="1:15">
      <c r="A168" s="6"/>
      <c r="B168" s="30"/>
      <c r="C168" s="11"/>
      <c r="D168" s="34"/>
      <c r="E168" s="34"/>
      <c r="F168" s="13"/>
      <c r="G168" s="13"/>
      <c r="H168" s="13"/>
      <c r="I168" s="13"/>
      <c r="J168" s="13"/>
      <c r="K168" s="13"/>
      <c r="L168" s="13"/>
      <c r="M168" s="13"/>
      <c r="N168" s="13"/>
      <c r="O168" s="6"/>
    </row>
    <row r="169" spans="1:15">
      <c r="A169" s="6"/>
      <c r="B169" s="30"/>
      <c r="C169" s="14"/>
      <c r="D169" s="21"/>
      <c r="E169" s="21"/>
      <c r="F169" s="5"/>
      <c r="G169" s="5"/>
      <c r="H169" s="5"/>
      <c r="I169" s="5"/>
      <c r="J169" s="5"/>
      <c r="K169" s="13"/>
      <c r="L169" s="13"/>
      <c r="M169" s="26"/>
      <c r="N169" s="26"/>
      <c r="O169" s="6"/>
    </row>
    <row r="170" spans="1:15">
      <c r="A170" s="6"/>
      <c r="B170" s="30"/>
      <c r="C170" s="11"/>
      <c r="D170" s="21"/>
      <c r="E170" s="21"/>
      <c r="F170" s="5"/>
      <c r="G170" s="5"/>
      <c r="H170" s="5"/>
      <c r="I170" s="5"/>
      <c r="J170" s="5"/>
      <c r="K170" s="13"/>
      <c r="L170" s="13"/>
      <c r="M170" s="13"/>
      <c r="N170" s="13"/>
      <c r="O170" s="6"/>
    </row>
    <row r="171" spans="1:15">
      <c r="A171" s="6"/>
      <c r="B171" s="30"/>
      <c r="C171" s="11"/>
      <c r="D171" s="21"/>
      <c r="E171" s="21"/>
      <c r="F171" s="5"/>
      <c r="G171" s="5"/>
      <c r="H171" s="5"/>
      <c r="I171" s="5"/>
      <c r="J171" s="5"/>
      <c r="K171" s="44"/>
      <c r="L171" s="13"/>
      <c r="M171" s="13"/>
      <c r="N171" s="13"/>
      <c r="O171" s="6"/>
    </row>
    <row r="172" spans="1:15">
      <c r="A172" s="6"/>
      <c r="B172" s="30"/>
      <c r="C172" s="11"/>
      <c r="D172" s="34"/>
      <c r="E172" s="34"/>
      <c r="F172" s="5"/>
      <c r="G172" s="5"/>
      <c r="H172" s="5"/>
      <c r="I172" s="5"/>
      <c r="J172" s="5"/>
      <c r="K172" s="5"/>
      <c r="L172" s="5"/>
      <c r="M172" s="25"/>
      <c r="N172" s="25"/>
      <c r="O172" s="6"/>
    </row>
    <row r="173" spans="1:15">
      <c r="A173" s="6"/>
      <c r="B173" s="30"/>
      <c r="C173" s="11"/>
      <c r="D173" s="21"/>
      <c r="E173" s="21"/>
      <c r="F173" s="5"/>
      <c r="G173" s="5"/>
      <c r="H173" s="5"/>
      <c r="I173" s="5"/>
      <c r="J173" s="5"/>
      <c r="K173" s="13"/>
      <c r="L173" s="13"/>
      <c r="M173" s="13"/>
      <c r="N173" s="13"/>
      <c r="O173" s="6"/>
    </row>
    <row r="174" spans="1:15">
      <c r="A174" s="6"/>
      <c r="B174" s="30"/>
      <c r="C174" s="14"/>
      <c r="D174" s="21"/>
      <c r="E174" s="21"/>
      <c r="F174" s="13"/>
      <c r="G174" s="13"/>
      <c r="H174" s="13"/>
      <c r="I174" s="13"/>
      <c r="J174" s="13"/>
      <c r="K174" s="13"/>
      <c r="L174" s="13"/>
      <c r="M174" s="13"/>
      <c r="N174" s="13"/>
      <c r="O174" s="6"/>
    </row>
    <row r="175" spans="1:15">
      <c r="A175" s="6"/>
      <c r="B175" s="30"/>
      <c r="C175" s="11"/>
      <c r="D175" s="34"/>
      <c r="E175" s="34"/>
      <c r="F175" s="5"/>
      <c r="G175" s="5"/>
      <c r="H175" s="5"/>
      <c r="I175" s="5"/>
      <c r="J175" s="5"/>
      <c r="K175" s="44"/>
      <c r="L175" s="13"/>
      <c r="M175" s="13"/>
      <c r="N175" s="13"/>
      <c r="O175" s="6"/>
    </row>
    <row r="176" spans="1:15">
      <c r="A176" s="6"/>
      <c r="B176" s="30"/>
      <c r="C176" s="38"/>
      <c r="D176" s="21"/>
      <c r="E176" s="21"/>
      <c r="F176" s="13"/>
      <c r="G176" s="13"/>
      <c r="H176" s="13"/>
      <c r="I176" s="13"/>
      <c r="J176" s="13"/>
      <c r="K176" s="13"/>
      <c r="L176" s="13"/>
      <c r="M176" s="13"/>
      <c r="N176" s="13"/>
      <c r="O176" s="6"/>
    </row>
    <row r="177" spans="1:15">
      <c r="A177" s="6"/>
      <c r="B177" s="30"/>
      <c r="C177" s="11"/>
      <c r="D177" s="21"/>
      <c r="E177" s="21"/>
      <c r="F177" s="5"/>
      <c r="G177" s="5"/>
      <c r="H177" s="5"/>
      <c r="I177" s="5"/>
      <c r="J177" s="5"/>
      <c r="K177" s="13"/>
      <c r="L177" s="13"/>
      <c r="M177" s="13"/>
      <c r="N177" s="13"/>
      <c r="O177" s="6"/>
    </row>
    <row r="178" spans="1:15">
      <c r="A178" s="6"/>
      <c r="B178" s="30"/>
      <c r="C178" s="14"/>
      <c r="D178" s="21"/>
      <c r="E178" s="21"/>
      <c r="F178" s="5"/>
      <c r="G178" s="5"/>
      <c r="H178" s="5"/>
      <c r="I178" s="5"/>
      <c r="J178" s="5"/>
      <c r="K178" s="41"/>
      <c r="L178" s="13"/>
      <c r="M178" s="13"/>
      <c r="N178" s="13"/>
      <c r="O178" s="6"/>
    </row>
    <row r="179" spans="1:15">
      <c r="A179" s="6"/>
      <c r="B179" s="30"/>
      <c r="C179" s="14"/>
      <c r="D179" s="21"/>
      <c r="E179" s="21"/>
      <c r="F179" s="13"/>
      <c r="G179" s="13"/>
      <c r="H179" s="13"/>
      <c r="I179" s="13"/>
      <c r="J179" s="13"/>
      <c r="K179" s="41"/>
      <c r="L179" s="13"/>
      <c r="M179" s="13"/>
      <c r="N179" s="13"/>
      <c r="O179" s="6"/>
    </row>
    <row r="180" spans="1:15">
      <c r="A180" s="6"/>
      <c r="B180" s="30"/>
      <c r="C180" s="11"/>
      <c r="D180" s="21"/>
      <c r="E180" s="21"/>
      <c r="F180" s="5"/>
      <c r="G180" s="5"/>
      <c r="H180" s="5"/>
      <c r="I180" s="5"/>
      <c r="J180" s="5"/>
      <c r="K180" s="44"/>
      <c r="L180" s="13"/>
      <c r="M180" s="13"/>
      <c r="N180" s="13"/>
      <c r="O180" s="6"/>
    </row>
    <row r="181" spans="1:15">
      <c r="A181" s="6"/>
      <c r="B181" s="30"/>
      <c r="C181" s="11"/>
      <c r="D181" s="21"/>
      <c r="E181" s="21"/>
      <c r="F181" s="5"/>
      <c r="G181" s="5"/>
      <c r="H181" s="5"/>
      <c r="I181" s="5"/>
      <c r="J181" s="5"/>
      <c r="K181" s="44"/>
      <c r="L181" s="13"/>
      <c r="M181" s="13"/>
      <c r="N181" s="13"/>
      <c r="O181" s="6"/>
    </row>
    <row r="182" spans="1:15">
      <c r="A182" s="6"/>
      <c r="B182" s="30"/>
      <c r="C182" s="14"/>
      <c r="D182" s="21"/>
      <c r="E182" s="21"/>
      <c r="F182" s="13"/>
      <c r="G182" s="13"/>
      <c r="H182" s="13"/>
      <c r="I182" s="13"/>
      <c r="J182" s="13"/>
      <c r="K182" s="13"/>
      <c r="L182" s="13"/>
      <c r="M182" s="13"/>
      <c r="N182" s="13"/>
      <c r="O182" s="6"/>
    </row>
    <row r="183" spans="1:15">
      <c r="A183" s="6"/>
      <c r="B183" s="30"/>
      <c r="C183" s="14"/>
      <c r="D183" s="21"/>
      <c r="E183" s="21"/>
      <c r="F183" s="5"/>
      <c r="G183" s="5"/>
      <c r="H183" s="5"/>
      <c r="I183" s="5"/>
      <c r="J183" s="5"/>
      <c r="K183" s="13"/>
      <c r="L183" s="13"/>
      <c r="M183" s="13"/>
      <c r="N183" s="13"/>
      <c r="O183" s="6"/>
    </row>
    <row r="184" spans="1:15">
      <c r="A184" s="6"/>
      <c r="B184" s="30"/>
      <c r="C184" s="14"/>
      <c r="D184" s="14"/>
      <c r="E184" s="14"/>
      <c r="F184" s="13"/>
      <c r="G184" s="13"/>
      <c r="H184" s="13"/>
      <c r="I184" s="5"/>
      <c r="J184" s="5"/>
      <c r="K184" s="13"/>
      <c r="L184" s="13"/>
      <c r="M184" s="13"/>
      <c r="N184" s="13"/>
      <c r="O184" s="6"/>
    </row>
    <row r="185" spans="1:15">
      <c r="A185" s="6"/>
      <c r="B185" s="30"/>
      <c r="C185" s="14"/>
      <c r="D185" s="14"/>
      <c r="E185" s="14"/>
      <c r="F185" s="13"/>
      <c r="G185" s="13"/>
      <c r="H185" s="13"/>
      <c r="I185" s="13"/>
      <c r="J185" s="13"/>
      <c r="K185" s="13"/>
      <c r="L185" s="13"/>
      <c r="M185" s="13"/>
      <c r="N185" s="13"/>
      <c r="O185" s="6"/>
    </row>
    <row r="186" spans="1:15">
      <c r="A186" s="6"/>
      <c r="B186" s="30"/>
      <c r="C186" s="14"/>
      <c r="D186" s="21"/>
      <c r="E186" s="21"/>
      <c r="F186" s="13"/>
      <c r="G186" s="13"/>
      <c r="H186" s="13"/>
      <c r="I186" s="13"/>
      <c r="J186" s="13"/>
      <c r="K186" s="13"/>
      <c r="L186" s="13"/>
      <c r="M186" s="13"/>
      <c r="N186" s="13"/>
      <c r="O186" s="6"/>
    </row>
    <row r="187" spans="1:15">
      <c r="A187" s="6"/>
      <c r="B187" s="30"/>
      <c r="C187" s="11"/>
      <c r="D187" s="11"/>
      <c r="E187" s="11"/>
      <c r="F187" s="13"/>
      <c r="G187" s="13"/>
      <c r="H187" s="13"/>
      <c r="I187" s="13"/>
      <c r="J187" s="13"/>
      <c r="K187" s="13"/>
      <c r="L187" s="13"/>
      <c r="M187" s="13"/>
      <c r="N187" s="13"/>
      <c r="O187" s="6"/>
    </row>
    <row r="188" spans="1:15">
      <c r="A188" s="6"/>
      <c r="B188" s="30"/>
      <c r="C188" s="11"/>
      <c r="D188" s="14"/>
      <c r="E188" s="14"/>
      <c r="F188" s="5"/>
      <c r="G188" s="13"/>
      <c r="H188" s="13"/>
      <c r="I188" s="13"/>
      <c r="J188" s="13"/>
      <c r="K188" s="13"/>
      <c r="L188" s="13"/>
      <c r="M188" s="13"/>
      <c r="N188" s="13"/>
      <c r="O188" s="6"/>
    </row>
    <row r="189" spans="1:15">
      <c r="A189" s="6"/>
      <c r="B189" s="30"/>
      <c r="C189" s="11"/>
      <c r="D189" s="21"/>
      <c r="E189" s="21"/>
      <c r="F189" s="5"/>
      <c r="G189" s="5"/>
      <c r="H189" s="5"/>
      <c r="I189" s="5"/>
      <c r="J189" s="5"/>
      <c r="K189" s="13"/>
      <c r="L189" s="13"/>
      <c r="M189" s="13"/>
      <c r="N189" s="13"/>
      <c r="O189" s="6"/>
    </row>
    <row r="190" spans="1:15">
      <c r="A190" s="6"/>
      <c r="B190" s="30"/>
      <c r="C190" s="11"/>
      <c r="D190" s="21"/>
      <c r="E190" s="21"/>
      <c r="F190" s="13"/>
      <c r="G190" s="13"/>
      <c r="H190" s="13"/>
      <c r="I190" s="5"/>
      <c r="J190" s="5"/>
      <c r="K190" s="13"/>
      <c r="L190" s="13"/>
      <c r="M190" s="13"/>
      <c r="N190" s="13"/>
      <c r="O190" s="6"/>
    </row>
    <row r="191" spans="1:15">
      <c r="A191" s="6"/>
      <c r="B191" s="30"/>
      <c r="C191" s="11"/>
      <c r="D191" s="21"/>
      <c r="E191" s="21"/>
      <c r="F191" s="13"/>
      <c r="G191" s="13"/>
      <c r="H191" s="13"/>
      <c r="I191" s="5"/>
      <c r="J191" s="5"/>
      <c r="K191" s="13"/>
      <c r="L191" s="13"/>
      <c r="M191" s="13"/>
      <c r="N191" s="13"/>
      <c r="O191" s="6"/>
    </row>
    <row r="192" spans="1:15">
      <c r="A192" s="6"/>
      <c r="B192" s="30"/>
      <c r="C192" s="11"/>
      <c r="D192" s="14"/>
      <c r="E192" s="14"/>
      <c r="F192" s="13"/>
      <c r="G192" s="5"/>
      <c r="H192" s="13"/>
      <c r="I192" s="13"/>
      <c r="J192" s="13"/>
      <c r="K192" s="13"/>
      <c r="L192" s="13"/>
      <c r="M192" s="13"/>
      <c r="N192" s="13"/>
      <c r="O192" s="6"/>
    </row>
    <row r="193" spans="1:15">
      <c r="A193" s="6"/>
      <c r="B193" s="30"/>
      <c r="C193" s="11"/>
      <c r="D193" s="21"/>
      <c r="E193" s="21"/>
      <c r="F193" s="13"/>
      <c r="G193" s="13"/>
      <c r="H193" s="13"/>
      <c r="I193" s="5"/>
      <c r="J193" s="5"/>
      <c r="K193" s="13"/>
      <c r="L193" s="13"/>
      <c r="M193" s="13"/>
      <c r="N193" s="13"/>
      <c r="O193" s="6"/>
    </row>
    <row r="194" spans="1:15">
      <c r="A194" s="6"/>
      <c r="B194" s="30"/>
      <c r="C194" s="11"/>
      <c r="D194" s="34"/>
      <c r="E194" s="34"/>
      <c r="F194" s="13"/>
      <c r="G194" s="13"/>
      <c r="H194" s="13"/>
      <c r="I194" s="13"/>
      <c r="J194" s="13"/>
      <c r="K194" s="13"/>
      <c r="L194" s="13"/>
      <c r="M194" s="13"/>
      <c r="N194" s="13"/>
      <c r="O194" s="6"/>
    </row>
    <row r="195" spans="1:15">
      <c r="A195" s="6"/>
      <c r="B195" s="30"/>
      <c r="C195" s="11"/>
      <c r="D195" s="21"/>
      <c r="E195" s="21"/>
      <c r="F195" s="5"/>
      <c r="G195" s="5"/>
      <c r="H195" s="5"/>
      <c r="I195" s="5"/>
      <c r="J195" s="5"/>
      <c r="K195" s="13"/>
      <c r="L195" s="13"/>
      <c r="M195" s="13"/>
      <c r="N195" s="13"/>
      <c r="O195" s="6"/>
    </row>
    <row r="196" spans="1:15">
      <c r="A196" s="6"/>
      <c r="B196" s="30"/>
      <c r="C196" s="11"/>
      <c r="D196" s="21"/>
      <c r="E196" s="21"/>
      <c r="F196" s="5"/>
      <c r="G196" s="5"/>
      <c r="H196" s="5"/>
      <c r="I196" s="5"/>
      <c r="J196" s="5"/>
      <c r="K196" s="13"/>
      <c r="L196" s="13"/>
      <c r="M196" s="13"/>
      <c r="N196" s="13"/>
      <c r="O196" s="6"/>
    </row>
    <row r="197" spans="1:15">
      <c r="A197" s="6"/>
      <c r="B197" s="30"/>
      <c r="C197" s="11"/>
      <c r="D197" s="21"/>
      <c r="E197" s="21"/>
      <c r="F197" s="5"/>
      <c r="G197" s="13"/>
      <c r="H197" s="13"/>
      <c r="I197" s="5"/>
      <c r="J197" s="5"/>
      <c r="K197" s="13"/>
      <c r="L197" s="13"/>
      <c r="M197" s="13"/>
      <c r="N197" s="13"/>
      <c r="O197" s="6"/>
    </row>
    <row r="198" spans="1:15">
      <c r="A198" s="6"/>
      <c r="B198" s="30"/>
      <c r="C198" s="14"/>
      <c r="D198" s="21"/>
      <c r="E198" s="21"/>
      <c r="F198" s="5"/>
      <c r="G198" s="5"/>
      <c r="H198" s="5"/>
      <c r="I198" s="5"/>
      <c r="J198" s="5"/>
      <c r="K198" s="13"/>
      <c r="L198" s="13"/>
      <c r="M198" s="13"/>
      <c r="N198" s="13"/>
      <c r="O198" s="6"/>
    </row>
    <row r="199" spans="1:15">
      <c r="A199" s="6"/>
      <c r="B199" s="30"/>
      <c r="C199" s="11"/>
      <c r="D199" s="34"/>
      <c r="E199" s="34"/>
      <c r="F199" s="13"/>
      <c r="G199" s="13"/>
      <c r="H199" s="13"/>
      <c r="I199" s="13"/>
      <c r="J199" s="13"/>
      <c r="K199" s="13"/>
      <c r="L199" s="13"/>
      <c r="M199" s="13"/>
      <c r="N199" s="13"/>
      <c r="O199" s="6"/>
    </row>
    <row r="200" spans="1:15">
      <c r="A200" s="6"/>
      <c r="B200" s="30"/>
      <c r="C200" s="14"/>
      <c r="D200" s="21"/>
      <c r="E200" s="21"/>
      <c r="F200" s="5"/>
      <c r="G200" s="5"/>
      <c r="H200" s="5"/>
      <c r="I200" s="5"/>
      <c r="J200" s="5"/>
      <c r="K200" s="13"/>
      <c r="L200" s="13"/>
      <c r="M200" s="13"/>
      <c r="N200" s="13"/>
      <c r="O200" s="6"/>
    </row>
    <row r="201" spans="1:15">
      <c r="A201" s="6"/>
      <c r="B201" s="30"/>
      <c r="C201" s="11"/>
      <c r="D201" s="34"/>
      <c r="E201" s="34"/>
      <c r="F201" s="13"/>
      <c r="G201" s="13"/>
      <c r="H201" s="13"/>
      <c r="I201" s="13"/>
      <c r="J201" s="13"/>
      <c r="K201" s="13"/>
      <c r="L201" s="13"/>
      <c r="M201" s="13"/>
      <c r="N201" s="13"/>
      <c r="O201" s="6"/>
    </row>
    <row r="202" spans="1:15">
      <c r="A202" s="6"/>
      <c r="B202" s="30"/>
      <c r="C202" s="14"/>
      <c r="D202" s="21"/>
      <c r="E202" s="21"/>
      <c r="F202" s="13"/>
      <c r="G202" s="13"/>
      <c r="H202" s="13"/>
      <c r="I202" s="5"/>
      <c r="J202" s="5"/>
      <c r="K202" s="13"/>
      <c r="L202" s="13"/>
      <c r="M202" s="13"/>
      <c r="N202" s="13"/>
      <c r="O202" s="6"/>
    </row>
    <row r="203" spans="1:15">
      <c r="A203" s="6"/>
      <c r="B203" s="30"/>
      <c r="C203" s="14"/>
      <c r="D203" s="21"/>
      <c r="E203" s="21"/>
      <c r="F203" s="5"/>
      <c r="G203" s="5"/>
      <c r="H203" s="5"/>
      <c r="I203" s="5"/>
      <c r="J203" s="5"/>
      <c r="K203" s="13"/>
      <c r="L203" s="13"/>
      <c r="M203" s="13"/>
      <c r="N203" s="13"/>
      <c r="O203" s="6"/>
    </row>
    <row r="204" spans="1:15">
      <c r="A204" s="6"/>
      <c r="B204" s="30"/>
      <c r="C204" s="14"/>
      <c r="D204" s="14"/>
      <c r="E204" s="14"/>
      <c r="F204" s="13"/>
      <c r="G204" s="13"/>
      <c r="H204" s="13"/>
      <c r="I204" s="13"/>
      <c r="J204" s="13"/>
      <c r="K204" s="13"/>
      <c r="L204" s="13"/>
      <c r="M204" s="13"/>
      <c r="N204" s="13"/>
      <c r="O204" s="6"/>
    </row>
    <row r="205" spans="1:15">
      <c r="A205" s="6"/>
      <c r="B205" s="30"/>
      <c r="C205" s="14"/>
      <c r="D205" s="14"/>
      <c r="E205" s="14"/>
      <c r="F205" s="13"/>
      <c r="G205" s="13"/>
      <c r="H205" s="13"/>
      <c r="I205" s="13"/>
      <c r="J205" s="13"/>
      <c r="K205" s="13"/>
      <c r="L205" s="13"/>
      <c r="M205" s="13"/>
      <c r="N205" s="13"/>
      <c r="O205" s="6"/>
    </row>
    <row r="206" spans="1:15">
      <c r="A206" s="6"/>
      <c r="B206" s="30"/>
      <c r="C206" s="14"/>
      <c r="D206" s="14"/>
      <c r="E206" s="14"/>
      <c r="F206" s="13"/>
      <c r="G206" s="13"/>
      <c r="H206" s="13"/>
      <c r="I206" s="5"/>
      <c r="J206" s="5"/>
      <c r="K206" s="13"/>
      <c r="L206" s="13"/>
      <c r="M206" s="13"/>
      <c r="N206" s="13"/>
      <c r="O206" s="6"/>
    </row>
    <row r="207" spans="1:15">
      <c r="A207" s="6"/>
      <c r="B207" s="30"/>
      <c r="C207" s="14"/>
      <c r="D207" s="14"/>
      <c r="E207" s="14"/>
      <c r="F207" s="5"/>
      <c r="G207" s="5"/>
      <c r="H207" s="5"/>
      <c r="I207" s="5"/>
      <c r="J207" s="5"/>
      <c r="K207" s="5"/>
      <c r="L207" s="5"/>
      <c r="M207" s="5"/>
      <c r="N207" s="5"/>
      <c r="O207" s="6"/>
    </row>
    <row r="208" spans="1:15">
      <c r="A208" s="6"/>
      <c r="B208" s="30"/>
      <c r="C208" s="14"/>
      <c r="D208" s="14"/>
      <c r="E208" s="14"/>
      <c r="F208" s="13"/>
      <c r="G208" s="13"/>
      <c r="H208" s="13"/>
      <c r="I208" s="13"/>
      <c r="J208" s="13"/>
      <c r="K208" s="13"/>
      <c r="L208" s="13"/>
      <c r="M208" s="13"/>
      <c r="N208" s="13"/>
      <c r="O208" s="6"/>
    </row>
    <row r="209" spans="1:15">
      <c r="A209" s="6"/>
      <c r="B209" s="30"/>
      <c r="C209" s="11"/>
      <c r="D209" s="11"/>
      <c r="E209" s="11"/>
      <c r="F209" s="13"/>
      <c r="G209" s="13"/>
      <c r="H209" s="13"/>
      <c r="I209" s="13"/>
      <c r="J209" s="13"/>
      <c r="K209" s="13"/>
      <c r="L209" s="13"/>
      <c r="M209" s="13"/>
      <c r="N209" s="13"/>
      <c r="O209" s="6"/>
    </row>
    <row r="210" spans="1:15">
      <c r="A210" s="6"/>
      <c r="B210" s="30"/>
      <c r="C210" s="14"/>
      <c r="D210" s="14"/>
      <c r="E210" s="14"/>
      <c r="F210" s="13"/>
      <c r="G210" s="13"/>
      <c r="H210" s="13"/>
      <c r="I210" s="5"/>
      <c r="J210" s="5"/>
      <c r="K210" s="13"/>
      <c r="L210" s="13"/>
      <c r="M210" s="13"/>
      <c r="N210" s="13"/>
      <c r="O210" s="6"/>
    </row>
    <row r="211" spans="1:15">
      <c r="A211" s="6"/>
      <c r="B211" s="30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>
      <c r="A212" s="6"/>
      <c r="B212" s="30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>
      <c r="A213" s="6"/>
      <c r="B213" s="30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>
      <c r="A214" s="6"/>
      <c r="B214" s="30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>
      <c r="A215" s="6"/>
      <c r="B215" s="30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>
      <c r="A216" s="6"/>
      <c r="B216" s="30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>
      <c r="A217" s="6"/>
      <c r="B217" s="30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>
      <c r="A218" s="6"/>
      <c r="B218" s="30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>
      <c r="A219" s="6"/>
      <c r="B219" s="30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>
      <c r="A220" s="6"/>
      <c r="B220" s="30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>
      <c r="A221" s="6"/>
      <c r="B221" s="30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>
      <c r="A222" s="6"/>
      <c r="B222" s="30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>
      <c r="A223" s="6"/>
      <c r="B223" s="30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>
      <c r="A224" s="6"/>
      <c r="B224" s="30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>
      <c r="A225" s="6"/>
      <c r="B225" s="30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>
      <c r="A226" s="6"/>
      <c r="B226" s="30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>
      <c r="A227" s="6"/>
      <c r="B227" s="30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>
      <c r="A228" s="6"/>
      <c r="B228" s="30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>
      <c r="A229" s="6"/>
      <c r="B229" s="30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>
      <c r="A230" s="6"/>
      <c r="B230" s="30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>
      <c r="A231" s="6"/>
      <c r="B231" s="30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>
      <c r="A232" s="6"/>
      <c r="B232" s="30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>
      <c r="A233" s="6"/>
      <c r="B233" s="30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>
      <c r="A234" s="6"/>
      <c r="B234" s="30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>
      <c r="A235" s="6"/>
      <c r="B235" s="30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>
      <c r="A236" s="6"/>
      <c r="B236" s="30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>
      <c r="A237" s="6"/>
      <c r="B237" s="30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>
      <c r="A238" s="6"/>
      <c r="B238" s="30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>
      <c r="A239" s="6"/>
      <c r="B239" s="30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>
      <c r="A240" s="6"/>
      <c r="B240" s="30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>
      <c r="A241" s="6"/>
      <c r="B241" s="30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>
      <c r="A242" s="6"/>
      <c r="B242" s="30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>
      <c r="A243" s="6"/>
      <c r="B243" s="30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>
      <c r="A244" s="6"/>
      <c r="B244" s="30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>
      <c r="A245" s="6"/>
      <c r="B245" s="30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>
      <c r="A246" s="6"/>
      <c r="B246" s="30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>
      <c r="A247" s="6"/>
      <c r="B247" s="30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>
      <c r="A248" s="6"/>
      <c r="B248" s="30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>
      <c r="A249" s="6"/>
      <c r="B249" s="30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>
      <c r="A250" s="6"/>
      <c r="B250" s="30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>
      <c r="A251" s="6"/>
      <c r="B251" s="30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>
      <c r="A252" s="6"/>
      <c r="B252" s="30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>
      <c r="A253" s="6"/>
      <c r="B253" s="30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>
      <c r="A254" s="6"/>
      <c r="B254" s="30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>
      <c r="A255" s="6"/>
      <c r="B255" s="30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>
      <c r="A256" s="6"/>
      <c r="B256" s="30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>
      <c r="A257" s="6"/>
      <c r="B257" s="30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>
      <c r="A258" s="6"/>
      <c r="B258" s="30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>
      <c r="A259" s="6"/>
      <c r="B259" s="30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>
      <c r="A260" s="6"/>
      <c r="B260" s="30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>
      <c r="A261" s="6"/>
      <c r="B261" s="30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>
      <c r="A262" s="6"/>
      <c r="B262" s="30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>
      <c r="A263" s="6"/>
      <c r="B263" s="30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>
      <c r="A264" s="6"/>
      <c r="B264" s="30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>
      <c r="A265" s="6"/>
      <c r="B265" s="30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>
      <c r="A266" s="6"/>
      <c r="B266" s="30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>
      <c r="A267" s="6"/>
      <c r="B267" s="30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>
      <c r="A268" s="6"/>
      <c r="B268" s="30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>
      <c r="A269" s="6"/>
      <c r="B269" s="30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>
      <c r="A270" s="6"/>
      <c r="B270" s="30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>
      <c r="A271" s="6"/>
      <c r="B271" s="30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>
      <c r="A272" s="6"/>
      <c r="B272" s="30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>
      <c r="A273" s="6"/>
      <c r="B273" s="30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>
      <c r="A274" s="6"/>
      <c r="B274" s="30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>
      <c r="A275" s="6"/>
      <c r="B275" s="30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>
      <c r="A276" s="6"/>
      <c r="B276" s="30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>
      <c r="A277" s="6"/>
      <c r="B277" s="30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>
      <c r="A278" s="6"/>
      <c r="B278" s="30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>
      <c r="A279" s="6"/>
      <c r="B279" s="30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>
      <c r="A280" s="6"/>
      <c r="B280" s="30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>
      <c r="A281" s="6"/>
      <c r="B281" s="30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>
      <c r="A282" s="6"/>
      <c r="B282" s="30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>
      <c r="A283" s="6"/>
      <c r="B283" s="30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>
      <c r="A284" s="6"/>
      <c r="B284" s="30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>
      <c r="A285" s="6"/>
      <c r="B285" s="30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>
      <c r="A286" s="6"/>
      <c r="B286" s="30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>
      <c r="A287" s="6"/>
      <c r="B287" s="30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>
      <c r="A288" s="6"/>
      <c r="B288" s="30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>
      <c r="A289" s="6"/>
      <c r="B289" s="30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>
      <c r="A290" s="6"/>
      <c r="B290" s="30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>
      <c r="A291" s="6"/>
      <c r="B291" s="30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>
      <c r="A292" s="6"/>
      <c r="B292" s="30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>
      <c r="A293" s="6"/>
      <c r="B293" s="30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>
      <c r="A294" s="6"/>
      <c r="B294" s="30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>
      <c r="A295" s="6"/>
      <c r="B295" s="30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>
      <c r="A296" s="6"/>
      <c r="B296" s="30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>
      <c r="A297" s="6"/>
      <c r="B297" s="30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>
      <c r="A298" s="6"/>
      <c r="B298" s="30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>
      <c r="A299" s="6"/>
      <c r="B299" s="30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>
      <c r="A300" s="6"/>
      <c r="B300" s="30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>
      <c r="A301" s="6"/>
      <c r="B301" s="30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>
      <c r="A302" s="6"/>
      <c r="B302" s="30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>
      <c r="A303" s="6"/>
      <c r="B303" s="30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>
      <c r="A304" s="6"/>
      <c r="B304" s="30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>
      <c r="A305" s="6"/>
      <c r="B305" s="30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>
      <c r="A306" s="6"/>
      <c r="B306" s="30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>
      <c r="A307" s="6"/>
      <c r="B307" s="30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>
      <c r="A308" s="6"/>
      <c r="B308" s="30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>
      <c r="A309" s="6"/>
      <c r="B309" s="30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>
      <c r="A310" s="6"/>
      <c r="B310" s="30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>
      <c r="A311" s="6"/>
      <c r="B311" s="30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>
      <c r="A312" s="6"/>
      <c r="B312" s="30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>
      <c r="A313" s="6"/>
      <c r="B313" s="30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>
      <c r="A314" s="6"/>
      <c r="B314" s="30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>
      <c r="A315" s="6"/>
      <c r="B315" s="30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>
      <c r="A316" s="6"/>
      <c r="B316" s="30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>
      <c r="A317" s="6"/>
      <c r="B317" s="30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>
      <c r="A318" s="6"/>
      <c r="B318" s="30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>
      <c r="A319" s="6"/>
      <c r="B319" s="30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>
      <c r="A320" s="6"/>
      <c r="B320" s="30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>
      <c r="A321" s="6"/>
      <c r="B321" s="30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>
      <c r="A322" s="6"/>
      <c r="B322" s="30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>
      <c r="A323" s="6"/>
      <c r="B323" s="30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>
      <c r="A324" s="6"/>
      <c r="B324" s="30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>
      <c r="A325" s="6"/>
      <c r="B325" s="30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>
      <c r="A326" s="6"/>
      <c r="B326" s="30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>
      <c r="A327" s="6"/>
      <c r="B327" s="30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>
      <c r="A328" s="6"/>
      <c r="B328" s="30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>
      <c r="A329" s="6"/>
      <c r="B329" s="30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>
      <c r="A330" s="6"/>
      <c r="B330" s="30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>
      <c r="A331" s="6"/>
      <c r="B331" s="30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>
      <c r="A332" s="6"/>
      <c r="B332" s="30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>
      <c r="A333" s="6"/>
      <c r="B333" s="30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>
      <c r="A334" s="6"/>
      <c r="B334" s="30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>
      <c r="A335" s="6"/>
      <c r="B335" s="30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>
      <c r="A336" s="6"/>
      <c r="B336" s="30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>
      <c r="A337" s="6"/>
      <c r="B337" s="30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>
      <c r="A338" s="6"/>
      <c r="B338" s="30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>
      <c r="A339" s="6"/>
      <c r="B339" s="30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>
      <c r="A340" s="6"/>
      <c r="B340" s="30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>
      <c r="A341" s="6"/>
      <c r="B341" s="30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>
      <c r="A342" s="6"/>
      <c r="B342" s="30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>
      <c r="A343" s="6"/>
      <c r="B343" s="30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>
      <c r="A344" s="6"/>
      <c r="B344" s="30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>
      <c r="A345" s="6"/>
      <c r="B345" s="30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>
      <c r="A346" s="6"/>
      <c r="B346" s="30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>
      <c r="A347" s="6"/>
      <c r="B347" s="30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>
      <c r="A348" s="6"/>
      <c r="B348" s="30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>
      <c r="A349" s="6"/>
      <c r="B349" s="30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>
      <c r="A350" s="6"/>
      <c r="B350" s="30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>
      <c r="A351" s="6"/>
      <c r="B351" s="30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>
      <c r="A352" s="6"/>
      <c r="B352" s="30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>
      <c r="A353" s="6"/>
      <c r="B353" s="30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>
      <c r="A354" s="6"/>
      <c r="B354" s="30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>
      <c r="A355" s="6"/>
      <c r="B355" s="30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>
      <c r="A356" s="6"/>
      <c r="B356" s="30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>
      <c r="A357" s="6"/>
      <c r="B357" s="30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>
      <c r="A358" s="6"/>
      <c r="B358" s="30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>
      <c r="A359" s="6"/>
      <c r="B359" s="30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>
      <c r="A360" s="6"/>
      <c r="B360" s="30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>
      <c r="A361" s="6"/>
      <c r="B361" s="30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>
      <c r="A362" s="6"/>
      <c r="B362" s="30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>
      <c r="A363" s="6"/>
      <c r="B363" s="30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>
      <c r="A364" s="6"/>
      <c r="B364" s="30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>
      <c r="A365" s="6"/>
      <c r="B365" s="30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>
      <c r="A366" s="6"/>
      <c r="B366" s="30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>
      <c r="A367" s="6"/>
      <c r="B367" s="30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>
      <c r="A368" s="6"/>
      <c r="B368" s="30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>
      <c r="A369" s="6"/>
      <c r="B369" s="30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>
      <c r="A370" s="6"/>
      <c r="B370" s="30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>
      <c r="A371" s="6"/>
      <c r="B371" s="30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>
      <c r="A372" s="6"/>
      <c r="B372" s="30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>
      <c r="A373" s="6"/>
      <c r="B373" s="30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>
      <c r="A374" s="6"/>
      <c r="B374" s="30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>
      <c r="A375" s="6"/>
      <c r="B375" s="30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>
      <c r="A376" s="6"/>
      <c r="B376" s="30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>
      <c r="A377" s="6"/>
      <c r="B377" s="30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>
      <c r="A378" s="6"/>
      <c r="B378" s="30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>
      <c r="A379" s="6"/>
      <c r="B379" s="30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>
      <c r="A380" s="6"/>
      <c r="B380" s="30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>
      <c r="A381" s="6"/>
      <c r="B381" s="30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>
      <c r="A382" s="6"/>
      <c r="B382" s="30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>
      <c r="A383" s="6"/>
      <c r="B383" s="30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>
      <c r="A384" s="6"/>
      <c r="B384" s="30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>
      <c r="A385" s="6"/>
      <c r="B385" s="30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>
      <c r="A386" s="6"/>
      <c r="B386" s="30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>
      <c r="A387" s="6"/>
      <c r="B387" s="30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>
      <c r="A388" s="6"/>
      <c r="B388" s="30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>
      <c r="A389" s="6"/>
      <c r="B389" s="30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>
      <c r="A390" s="6"/>
      <c r="B390" s="30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>
      <c r="A391" s="6"/>
      <c r="B391" s="30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>
      <c r="A392" s="6"/>
      <c r="B392" s="30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>
      <c r="A393" s="6"/>
      <c r="B393" s="30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>
      <c r="A394" s="6"/>
      <c r="B394" s="30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>
      <c r="A395" s="6"/>
      <c r="B395" s="30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>
      <c r="A396" s="6"/>
      <c r="B396" s="30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>
      <c r="A397" s="6"/>
      <c r="B397" s="30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>
      <c r="A398" s="6"/>
      <c r="B398" s="30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>
      <c r="A399" s="6"/>
      <c r="B399" s="30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>
      <c r="A400" s="6"/>
      <c r="B400" s="30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>
      <c r="A401" s="6"/>
      <c r="B401" s="30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>
      <c r="A402" s="6"/>
      <c r="B402" s="30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>
      <c r="A403" s="6"/>
      <c r="B403" s="30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>
      <c r="A404" s="6"/>
      <c r="B404" s="30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>
      <c r="A405" s="6"/>
      <c r="B405" s="30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>
      <c r="A406" s="6"/>
      <c r="B406" s="30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>
      <c r="A407" s="6"/>
      <c r="B407" s="30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>
      <c r="A408" s="6"/>
      <c r="B408" s="30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>
      <c r="A409" s="6"/>
      <c r="B409" s="30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>
      <c r="A410" s="6"/>
      <c r="B410" s="30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>
      <c r="A411" s="6"/>
      <c r="B411" s="30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>
      <c r="A412" s="6"/>
      <c r="B412" s="30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>
      <c r="A413" s="6"/>
      <c r="B413" s="30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>
      <c r="A414" s="6"/>
      <c r="B414" s="30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>
      <c r="A415" s="6"/>
      <c r="B415" s="30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>
      <c r="A416" s="6"/>
      <c r="B416" s="30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>
      <c r="A417" s="6"/>
      <c r="B417" s="30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>
      <c r="A418" s="6"/>
      <c r="B418" s="30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>
      <c r="A419" s="6"/>
      <c r="B419" s="30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>
      <c r="A420" s="6"/>
      <c r="B420" s="30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>
      <c r="A421" s="6"/>
      <c r="B421" s="30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>
      <c r="A422" s="6"/>
      <c r="B422" s="30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>
      <c r="A423" s="6"/>
      <c r="B423" s="30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>
      <c r="A424" s="6"/>
      <c r="B424" s="30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>
      <c r="A425" s="6"/>
      <c r="B425" s="30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>
      <c r="A426" s="6"/>
      <c r="B426" s="30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>
      <c r="A427" s="6"/>
      <c r="B427" s="30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>
      <c r="A428" s="6"/>
      <c r="B428" s="30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>
      <c r="A429" s="6"/>
      <c r="B429" s="30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>
      <c r="A430" s="6"/>
      <c r="B430" s="30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>
      <c r="A431" s="6"/>
      <c r="B431" s="30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1:15">
      <c r="A432" s="6"/>
      <c r="B432" s="30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>
      <c r="A433" s="6"/>
      <c r="B433" s="30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>
      <c r="A434" s="6"/>
      <c r="B434" s="30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>
      <c r="A435" s="6"/>
      <c r="B435" s="30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>
      <c r="A436" s="6"/>
      <c r="B436" s="30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>
      <c r="A437" s="6"/>
      <c r="B437" s="30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spans="1:15">
      <c r="A438" s="6"/>
      <c r="B438" s="30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>
      <c r="A439" s="6"/>
      <c r="B439" s="30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spans="1:15">
      <c r="A440" s="6"/>
      <c r="B440" s="30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spans="1:15">
      <c r="A441" s="6"/>
      <c r="B441" s="30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1:15">
      <c r="A442" s="6"/>
      <c r="B442" s="30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>
      <c r="A443" s="6"/>
      <c r="B443" s="30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spans="1:15">
      <c r="A444" s="6"/>
      <c r="B444" s="30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>
      <c r="A445" s="6"/>
      <c r="B445" s="30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spans="1:15">
      <c r="A446" s="6"/>
      <c r="B446" s="30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spans="1:15">
      <c r="A447" s="6"/>
      <c r="B447" s="30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>
      <c r="A448" s="6"/>
      <c r="B448" s="30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spans="1:15">
      <c r="A449" s="6"/>
      <c r="B449" s="30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1:15">
      <c r="A450" s="6"/>
      <c r="B450" s="30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1:15">
      <c r="A451" s="6"/>
      <c r="B451" s="30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spans="1:15">
      <c r="A452" s="6"/>
      <c r="B452" s="30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spans="1:15">
      <c r="A453" s="6"/>
      <c r="B453" s="30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>
      <c r="A454" s="6"/>
      <c r="B454" s="30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spans="1:15">
      <c r="A455" s="6"/>
      <c r="B455" s="30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1:15">
      <c r="A456" s="6"/>
      <c r="B456" s="30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1:15">
      <c r="A457" s="6"/>
      <c r="B457" s="30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1:15">
      <c r="A458" s="6"/>
      <c r="B458" s="30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1:15">
      <c r="A459" s="6"/>
      <c r="B459" s="30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1:15">
      <c r="A460" s="6"/>
      <c r="B460" s="30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1:15">
      <c r="A461" s="6"/>
      <c r="B461" s="30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spans="1:15">
      <c r="A462" s="6"/>
      <c r="B462" s="30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1:15">
      <c r="A463" s="6"/>
      <c r="B463" s="30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1:15">
      <c r="A464" s="6"/>
      <c r="B464" s="30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1:15">
      <c r="A465" s="6"/>
      <c r="B465" s="30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>
      <c r="A466" s="6"/>
      <c r="B466" s="30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>
      <c r="A467" s="6"/>
      <c r="B467" s="30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1:15">
      <c r="A468" s="6"/>
      <c r="B468" s="30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spans="1:15">
      <c r="A469" s="6"/>
      <c r="B469" s="30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>
      <c r="A470" s="6"/>
      <c r="B470" s="30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>
      <c r="A471" s="6"/>
      <c r="B471" s="30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1:15">
      <c r="A472" s="6"/>
      <c r="B472" s="30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1:15">
      <c r="A473" s="6"/>
      <c r="B473" s="30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spans="1:15">
      <c r="A474" s="6"/>
      <c r="B474" s="30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spans="1:15">
      <c r="A475" s="6"/>
      <c r="B475" s="30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1:15">
      <c r="A476" s="6"/>
      <c r="B476" s="30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>
      <c r="A477" s="6"/>
      <c r="B477" s="30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>
      <c r="A478" s="6"/>
      <c r="B478" s="30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>
      <c r="A479" s="6"/>
      <c r="B479" s="30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1:15">
      <c r="A480" s="6"/>
      <c r="B480" s="30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1:15">
      <c r="A481" s="6"/>
      <c r="B481" s="30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>
      <c r="A482" s="6"/>
      <c r="B482" s="30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>
      <c r="A483" s="6"/>
      <c r="B483" s="30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>
      <c r="A484" s="6"/>
      <c r="B484" s="30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1:15">
      <c r="A485" s="6"/>
      <c r="B485" s="30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spans="1:15">
      <c r="A486" s="6"/>
      <c r="B486" s="30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1:15">
      <c r="A487" s="6"/>
      <c r="B487" s="30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1:15">
      <c r="A488" s="6"/>
      <c r="B488" s="30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spans="1:15">
      <c r="A489" s="6"/>
      <c r="B489" s="30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spans="1:15">
      <c r="A490" s="6"/>
      <c r="B490" s="30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spans="1:15">
      <c r="A491" s="6"/>
      <c r="B491" s="30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1:15">
      <c r="A492" s="6"/>
      <c r="B492" s="30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spans="1:15">
      <c r="A493" s="6"/>
      <c r="B493" s="30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1:15">
      <c r="A494" s="6"/>
      <c r="B494" s="30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spans="1:15">
      <c r="A495" s="6"/>
      <c r="B495" s="30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spans="1:15">
      <c r="A496" s="6"/>
      <c r="B496" s="30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spans="1:15">
      <c r="A497" s="6"/>
      <c r="B497" s="30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spans="1:15">
      <c r="A498" s="6"/>
      <c r="B498" s="30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spans="1:15">
      <c r="A499" s="6"/>
      <c r="B499" s="30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1:15">
      <c r="A500" s="6"/>
      <c r="B500" s="30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spans="1:15">
      <c r="A501" s="6"/>
      <c r="B501" s="30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spans="1:15">
      <c r="A502" s="6"/>
      <c r="B502" s="30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spans="1:15">
      <c r="A503" s="6"/>
      <c r="B503" s="30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spans="1:15">
      <c r="A504" s="6"/>
      <c r="B504" s="30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spans="1:15">
      <c r="A505" s="6"/>
      <c r="B505" s="30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spans="1:15">
      <c r="A506" s="6"/>
      <c r="B506" s="30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spans="1:15">
      <c r="A507" s="6"/>
      <c r="B507" s="30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spans="1:15">
      <c r="A508" s="6"/>
      <c r="B508" s="30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spans="1:15">
      <c r="A509" s="6"/>
      <c r="B509" s="30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spans="1:15">
      <c r="A510" s="6"/>
      <c r="B510" s="30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spans="1:15">
      <c r="A511" s="6"/>
      <c r="B511" s="30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spans="1:15">
      <c r="A512" s="6"/>
      <c r="B512" s="30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spans="1:15">
      <c r="A513" s="6"/>
      <c r="B513" s="30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spans="1:15">
      <c r="A514" s="6"/>
      <c r="B514" s="30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spans="1:15">
      <c r="A515" s="6"/>
      <c r="B515" s="30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spans="1:15">
      <c r="A516" s="6"/>
      <c r="B516" s="30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spans="1:15">
      <c r="A517" s="6"/>
      <c r="B517" s="30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spans="1:15">
      <c r="A518" s="6"/>
      <c r="B518" s="30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</sheetData>
  <autoFilter ref="A1:O145" xr:uid="{00000000-0009-0000-0000-00000A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showGridLines="0" topLeftCell="A235" zoomScale="80" zoomScaleNormal="80" workbookViewId="0">
      <selection activeCell="AF256" sqref="AF256"/>
    </sheetView>
  </sheetViews>
  <sheetFormatPr defaultColWidth="9.140625" defaultRowHeight="15"/>
  <cols>
    <col min="1" max="16384" width="9.140625" style="1"/>
  </cols>
  <sheetData/>
  <pageMargins left="0.118110236220472" right="0.118110236220472" top="0.78740157480314998" bottom="0.78740157480314998" header="0.31496062992126" footer="0.31496062992126"/>
  <pageSetup paperSize="9" scale="6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Drop Down 1">
              <controlPr defaultSize="0" autoLine="0" autoPict="0">
                <anchor moveWithCells="1">
                  <from>
                    <xdr:col>0</xdr:col>
                    <xdr:colOff>85725</xdr:colOff>
                    <xdr:row>0</xdr:row>
                    <xdr:rowOff>66675</xdr:rowOff>
                  </from>
                  <to>
                    <xdr:col>5</xdr:col>
                    <xdr:colOff>257175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FLUXO</vt:lpstr>
      <vt:lpstr>AJUIZADOS</vt:lpstr>
      <vt:lpstr>LEGENDA</vt:lpstr>
      <vt:lpstr>BASE DE DADOS</vt:lpstr>
      <vt:lpstr>AJUIZADOS - AC CURSOS</vt:lpstr>
      <vt:lpstr>PAINEL Novo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Naiana Grein</cp:lastModifiedBy>
  <cp:lastPrinted>2026-04-14T14:00:21Z</cp:lastPrinted>
  <dcterms:created xsi:type="dcterms:W3CDTF">2019-11-13T00:13:00Z</dcterms:created>
  <dcterms:modified xsi:type="dcterms:W3CDTF">2026-09-21T12:12:58Z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1046-11.2.0.10101</vt:lpwstr>
  </property>
</Properties>
</file>